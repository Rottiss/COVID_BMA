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j blackops\Documents\COVID_BMA\"/>
    </mc:Choice>
  </mc:AlternateContent>
  <xr:revisionPtr revIDLastSave="0" documentId="13_ncr:1_{D27124EE-99CA-4EB5-858A-429A4267263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presentação" sheetId="1" r:id="rId1"/>
    <sheet name="Glossário" sheetId="20" r:id="rId2"/>
    <sheet name="Estatisticas" sheetId="7" r:id="rId3"/>
    <sheet name="Correlações" sheetId="25" r:id="rId4"/>
    <sheet name="Matriz de Correlações" sheetId="24" r:id="rId5"/>
    <sheet name="raw" sheetId="16" r:id="rId6"/>
    <sheet name="AUDITORIA_CORRECOES" sheetId="26" r:id="rId7"/>
  </sheets>
  <calcPr calcId="181029"/>
</workbook>
</file>

<file path=xl/calcChain.xml><?xml version="1.0" encoding="utf-8"?>
<calcChain xmlns="http://schemas.openxmlformats.org/spreadsheetml/2006/main">
  <c r="AT2" i="1" l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<sst xmlns="http://schemas.openxmlformats.org/spreadsheetml/2006/main" count="21130" uniqueCount="2651">
  <si>
    <t>Municípios</t>
  </si>
  <si>
    <t>Código IBGE</t>
  </si>
  <si>
    <t xml:space="preserve">Casos de COVID confirmados acumulados </t>
  </si>
  <si>
    <t xml:space="preserve">Casos de COVID  confirmados acumulados/100k hab. </t>
  </si>
  <si>
    <t xml:space="preserve">Óbitos por COVID acumulados </t>
  </si>
  <si>
    <t xml:space="preserve">Óbitos por COVID  confirmados acumulados/100k hab. </t>
  </si>
  <si>
    <t xml:space="preserve">Taxa de letalidade (mortes/confirmados) </t>
  </si>
  <si>
    <t xml:space="preserve">População estimada </t>
  </si>
  <si>
    <t>Recursos Federais Transferidos para combate à pandemia/100k hab. (Março-Julho)</t>
  </si>
  <si>
    <t>Auxilio Emergencial/100k hab. (Abril-Julho)</t>
  </si>
  <si>
    <t>Área Territorial (km²)</t>
  </si>
  <si>
    <t>Densidade demográfica (hab/km²)</t>
  </si>
  <si>
    <t>PIB per capita</t>
  </si>
  <si>
    <t>Índice de Desenvolvimento Humano Municipal (IDHM)</t>
  </si>
  <si>
    <t>Índice de Desenvolvimento Municipal (IDM)</t>
  </si>
  <si>
    <t xml:space="preserve">Despesas municipais  - saúde e saneamento/100k hab. </t>
  </si>
  <si>
    <t xml:space="preserve">Despesas municipais - educação e cultura/100k hab. </t>
  </si>
  <si>
    <t>IDEB dos alunos do 5º ano</t>
  </si>
  <si>
    <t>IDEB dos alunos do 9º ano</t>
  </si>
  <si>
    <t>IDEB dos alunos do 3ª ano EM</t>
  </si>
  <si>
    <t>Taxa de cobertura urbana dos serviços de água</t>
  </si>
  <si>
    <t>Consumo de energia elétrica (mwh)</t>
  </si>
  <si>
    <t xml:space="preserve">Taxa de homicídio por 100 mil habitantes </t>
  </si>
  <si>
    <t>% de candidatas do sexo feminino eleitos em 2016</t>
  </si>
  <si>
    <t>% de pessoas beneficiária com Programa Bolsa Família (PBF)</t>
  </si>
  <si>
    <t xml:space="preserve">Unidades de saúde ligadas ao SUS por mil habitantes </t>
  </si>
  <si>
    <t xml:space="preserve">Quantidade de leitos ligados ao SUS por mil habitantes </t>
  </si>
  <si>
    <t xml:space="preserve">Profissionais de saúde ligados ao SUS por mil habitantes </t>
  </si>
  <si>
    <t>Municipio é região metropolitana</t>
  </si>
  <si>
    <t>Municipio faz parte do semi-arido</t>
  </si>
  <si>
    <t>% da  população em zona rural</t>
  </si>
  <si>
    <t>Prefeito faz parte de um partido aliado ao governo Bolsonaro</t>
  </si>
  <si>
    <t xml:space="preserve">%  de votos validos recebidos pelo prefeito do município
</t>
  </si>
  <si>
    <t>IVS</t>
  </si>
  <si>
    <t>IVS Infraestrutura Urbana</t>
  </si>
  <si>
    <t>IVS Capital Humano</t>
  </si>
  <si>
    <t>IVS Renda e Trabalho</t>
  </si>
  <si>
    <t>% população empregada em empregos formais</t>
  </si>
  <si>
    <t>% população extremamente pobre</t>
  </si>
  <si>
    <t>Taxa de Mortalidade Infantil</t>
  </si>
  <si>
    <t>% de imunização em menores de 1 ano de idade</t>
  </si>
  <si>
    <t>% da população idosa</t>
  </si>
  <si>
    <t>Intenações por doenças do aparelho circulatório, por 100 mil habitantes</t>
  </si>
  <si>
    <t>Intenações por doenças do aparelho respiratório, por 100 mil habitantes</t>
  </si>
  <si>
    <t>Intenações por diabetes melitus, por 100 mil habitantes</t>
  </si>
  <si>
    <t>Intenações por asma, por 100 mil habitantes</t>
  </si>
  <si>
    <t>FONTE</t>
  </si>
  <si>
    <t>DATA DE PUBLICAÇÃO</t>
  </si>
  <si>
    <t>Julho/2020</t>
  </si>
  <si>
    <t>COMENTÁRIOS</t>
  </si>
  <si>
    <t>Número de casos confirmados do último dia disponível igual ou anterior à data 31/07/2020.</t>
  </si>
  <si>
    <t xml:space="preserve">Número de casos confirmados por 100.000 habitantes do último dia disponível igual ou anterior à data 31/07/2020.
</t>
  </si>
  <si>
    <t xml:space="preserve">Número de mortes do último dia disponível igual ou anterior à data 31/07/2020.
</t>
  </si>
  <si>
    <t xml:space="preserve">Número de mortes por 100.000 habitantes do último dia disponível igual ou anterior à data 31/07/2020.
</t>
  </si>
  <si>
    <t xml:space="preserve">Taxa de letalidade (mortes / confirmados) do último dia disponível igual ou anterior à data 31/07/2020.
</t>
  </si>
  <si>
    <t xml:space="preserve">Estimativas de 2019 utilizadas pelo TCU para determinação das cotas do FPM (sem sexo e faixa etária) </t>
  </si>
  <si>
    <t>Transferências legais, voluntárias e específicas, enviadas aos municipios devido a pandemia, por 100.000 habitantes.</t>
  </si>
  <si>
    <t xml:space="preserve">Soma do total disponibilizado para cada município,  por 100.000 habitantes, nos meses selecionados. </t>
  </si>
  <si>
    <t>Estimativa da extensão superficial do território dos municípios.</t>
  </si>
  <si>
    <t>Calculado a partir dos dados da população estimada e da área territorial.</t>
  </si>
  <si>
    <t>PIB/Número de habitantes.</t>
  </si>
  <si>
    <t>Índice composto de indicadores de três dimensões do desenvolvimento humano: longevidade, educação e renda. O índice varia de 0 a 1. Quanto mais próximo de 1, maior o desenvolvimento humano.</t>
  </si>
  <si>
    <t>Calculado a partir de trinta indicadores
relacionados a aspectos fisiográficos, fundiários e agrícolas; demográficos e econômicos; de
infraestrutura e sociais.</t>
  </si>
  <si>
    <t>Dados retirados da Secretaria do Tesouro Nacional, com tabela definida pelo IBGE.</t>
  </si>
  <si>
    <t>Calculado a partir dos dados sobre aprovação escolar, obtidos no Censo Escolar, e das médias de desempenho no Sistema de Avaliação da Educação Básica.</t>
  </si>
  <si>
    <t>Indica a percentagem da população beneficiada com água adequada (ligada à rede geral) em relação à população total.</t>
  </si>
  <si>
    <t>Consumo medido de energia elétrica, segundo municípios.</t>
  </si>
  <si>
    <t>Obtido atraves  soma do número de homicídios mais homicídios ocultos. O número de homicídios ocultos foi estimado com base no número de mortes violentas por causa indeterminada multiplicado pela proporção dessas mortes violentas por causa indeterminada que correspondem a homicídios, segundo Cerqueira (2013).</t>
  </si>
  <si>
    <t>Valor em % da quantidade de mulheres eleitas nas eleições de 2016, por município.</t>
  </si>
  <si>
    <t>Valor em % da quantidade de pessoas que recebem o benefício, por município.</t>
  </si>
  <si>
    <t>Unidades  de  saúde ligadas  ao  Sistema Único de Saúde (SUS),  segundo  os  municípios.</t>
  </si>
  <si>
    <t>Quantidade total dos leitos ligados ao SUS, resultado da soma dos resultados federais, estaduais, municipais e particulares.</t>
  </si>
  <si>
    <t>Quantidade total de profissionais de saúde ligados ao SUS, resultado da soma dos resultados federais, estaduais, municipais e particulares.</t>
  </si>
  <si>
    <t>Variável dummy que indica se o município faz parte de uma região metropolitana ou faz parte do interior.</t>
  </si>
  <si>
    <t>Variável dummy que indica se o município faz parte da região semi-árida do estado.</t>
  </si>
  <si>
    <t>Razão entre a população total e a população rural.</t>
  </si>
  <si>
    <t>Variável dummy que indica se o prefeito pertence a um partido aliado ao presidente. Foram escolhidos como aliados, os partidos que majoritariamente (&gt;50%) aderiram aos projetos do governo durante o seu primeiro ano.</t>
  </si>
  <si>
    <t>Razão da quantidade de votos válidos recebidas pelo prefeito eleito.</t>
  </si>
  <si>
    <t>Índice de Vulnerabilidade Social. Média aritmética dos índices das dimensões: IVS Infraestrutura Urbana, IVS Capital Humano e IVS Renda e Trabalho.</t>
  </si>
  <si>
    <t>Índice da dimensão Infraestrutura Urbana</t>
  </si>
  <si>
    <t>Índice da dimensão Capital Humano</t>
  </si>
  <si>
    <t>Índice da dimensão Renda e Trabalho</t>
  </si>
  <si>
    <t>Razão da quantidade de emprego formais por municipio, pela sua população</t>
  </si>
  <si>
    <t>Razão das familías que possuem renda per capita igual ou menor a R$89,00</t>
  </si>
  <si>
    <t>Taxa de mortalidade infantil de menores de 1 ano de idade, por mil nascidos vivos.</t>
  </si>
  <si>
    <t>Indice de vacinação calculado a partir da média dos indices das vacinas (%) BCG, Poliomielite, Pentavalente e Rotavirus-Vorh</t>
  </si>
  <si>
    <t>Razão da quantidade da população que possui idade superior a 60 anos, pela população total</t>
  </si>
  <si>
    <t>Indice  referente a quantidade de internações no SUS, para cada 100 mil habitantes</t>
  </si>
  <si>
    <t>.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</si>
  <si>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</si>
  <si>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</si>
  <si>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</si>
  <si>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</si>
  <si>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</si>
  <si>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</si>
  <si>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</si>
  <si>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</si>
  <si>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</si>
  <si>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</si>
  <si>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</si>
  <si>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</si>
  <si>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</si>
  <si>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</si>
  <si>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</si>
  <si>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</si>
  <si>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</si>
  <si>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</si>
  <si>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</si>
  <si>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</si>
  <si>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</si>
  <si>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</si>
  <si>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</si>
  <si>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</si>
  <si>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</si>
  <si>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</si>
  <si>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</si>
  <si>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</si>
  <si>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</si>
  <si>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</si>
  <si>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</si>
  <si>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</si>
  <si>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</si>
  <si>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</si>
  <si>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</si>
  <si>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</si>
  <si>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</si>
  <si>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</si>
  <si>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</si>
  <si>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</si>
  <si>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</si>
  <si>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</si>
  <si>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</si>
  <si>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</si>
  <si>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</si>
  <si>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</si>
  <si>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</si>
  <si>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</si>
  <si>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</si>
  <si>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</si>
  <si>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</si>
  <si>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</si>
  <si>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</si>
  <si>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</si>
  <si>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</si>
  <si>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</si>
  <si>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</si>
  <si>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</si>
  <si>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</si>
  <si>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</si>
  <si>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</si>
  <si>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</si>
  <si>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</si>
  <si>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</si>
  <si>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</si>
  <si>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</si>
  <si>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</si>
  <si>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</si>
  <si>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</si>
  <si>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</si>
  <si>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</si>
  <si>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</si>
  <si>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</si>
  <si>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</si>
  <si>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</si>
  <si>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</si>
  <si>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</si>
  <si>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</si>
  <si>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</si>
  <si>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</si>
  <si>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</si>
  <si>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</si>
  <si>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</si>
  <si>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</si>
  <si>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</si>
  <si>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</si>
  <si>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</si>
  <si>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</si>
  <si>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</si>
  <si>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</si>
  <si>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</si>
  <si>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</si>
  <si>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</si>
  <si>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</si>
  <si>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</si>
  <si>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</si>
  <si>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</si>
  <si>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</si>
  <si>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</si>
  <si>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</si>
  <si>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</si>
  <si>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</si>
  <si>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</si>
  <si>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</si>
  <si>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</si>
  <si>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</si>
  <si>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</si>
  <si>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</si>
  <si>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</si>
  <si>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</si>
  <si>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</si>
  <si>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</si>
  <si>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</si>
  <si>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</si>
  <si>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</si>
  <si>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</si>
  <si>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</si>
  <si>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</si>
  <si>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</si>
  <si>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</si>
  <si>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</si>
  <si>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</si>
  <si>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</si>
  <si>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</si>
  <si>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</si>
  <si>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</si>
  <si>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</si>
  <si>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</si>
  <si>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</si>
  <si>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</si>
  <si>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</si>
  <si>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</si>
  <si>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</si>
  <si>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</si>
  <si>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</si>
  <si>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</si>
  <si>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</si>
  <si>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</si>
  <si>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</si>
  <si>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</si>
  <si>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</si>
  <si>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</si>
  <si>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</si>
  <si>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</si>
  <si>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</si>
  <si>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</si>
  <si>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</si>
  <si>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</si>
  <si>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</si>
  <si>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</si>
  <si>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</si>
  <si>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</si>
  <si>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</si>
  <si>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</si>
  <si>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</si>
  <si>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</si>
  <si>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</si>
  <si>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</si>
  <si>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</si>
  <si>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</si>
  <si>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</si>
  <si>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</si>
  <si>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</si>
  <si>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</si>
  <si>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</si>
  <si>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</si>
  <si>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</si>
  <si>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</si>
  <si>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</si>
  <si>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</si>
  <si>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</si>
  <si>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</si>
  <si>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</si>
  <si>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</si>
  <si>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</si>
  <si>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</si>
  <si>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</si>
  <si>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</si>
  <si>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</si>
  <si>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</si>
  <si>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</si>
  <si>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</si>
  <si>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</si>
  <si>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</si>
  <si>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 xml:space="preserve"> </t>
  </si>
  <si>
    <t>Variável</t>
  </si>
  <si>
    <t>Significado</t>
  </si>
  <si>
    <t>Comentarios</t>
  </si>
  <si>
    <t>covtotal</t>
  </si>
  <si>
    <t>cov100k</t>
  </si>
  <si>
    <t>obito</t>
  </si>
  <si>
    <t>obito100k</t>
  </si>
  <si>
    <t xml:space="preserve">pop </t>
  </si>
  <si>
    <t>recursofed</t>
  </si>
  <si>
    <t>auxem</t>
  </si>
  <si>
    <t>area</t>
  </si>
  <si>
    <t>densidade</t>
  </si>
  <si>
    <t>pibpc</t>
  </si>
  <si>
    <t>idhm</t>
  </si>
  <si>
    <t>idm</t>
  </si>
  <si>
    <t>desp.saude</t>
  </si>
  <si>
    <t>desp.educ</t>
  </si>
  <si>
    <t>ideb5</t>
  </si>
  <si>
    <t>ideb9</t>
  </si>
  <si>
    <t>ideb3</t>
  </si>
  <si>
    <t>tax.agua</t>
  </si>
  <si>
    <t>con.energia</t>
  </si>
  <si>
    <t>tax.hom</t>
  </si>
  <si>
    <t>eleitas.fem</t>
  </si>
  <si>
    <t>bolsaf</t>
  </si>
  <si>
    <t>sus1k</t>
  </si>
  <si>
    <t>leitos1k</t>
  </si>
  <si>
    <t>prof1k</t>
  </si>
  <si>
    <t>metrop</t>
  </si>
  <si>
    <t>semiarido</t>
  </si>
  <si>
    <t>pop.rural</t>
  </si>
  <si>
    <t>aliadogov</t>
  </si>
  <si>
    <t>votos</t>
  </si>
  <si>
    <t>%  de votos validos recebidos pelo prefeito do município</t>
  </si>
  <si>
    <t>ivs</t>
  </si>
  <si>
    <t>ivs.infra</t>
  </si>
  <si>
    <t>ivs.capital</t>
  </si>
  <si>
    <t>ivs.renda</t>
  </si>
  <si>
    <t>emprego</t>
  </si>
  <si>
    <t>ex.pobr</t>
  </si>
  <si>
    <t>tmi</t>
  </si>
  <si>
    <t>imuni</t>
  </si>
  <si>
    <t>idosos</t>
  </si>
  <si>
    <t>int.circ</t>
  </si>
  <si>
    <t>int.resp</t>
  </si>
  <si>
    <t>int.diab</t>
  </si>
  <si>
    <t>int.asma</t>
  </si>
  <si>
    <t>Mean</t>
  </si>
  <si>
    <t>Std.Dev</t>
  </si>
  <si>
    <t>Min</t>
  </si>
  <si>
    <t>Q1</t>
  </si>
  <si>
    <t>Median</t>
  </si>
  <si>
    <t>Q3</t>
  </si>
  <si>
    <t>Max</t>
  </si>
  <si>
    <t>MAD</t>
  </si>
  <si>
    <t>IQR</t>
  </si>
  <si>
    <t>CV</t>
  </si>
  <si>
    <t>Skewness</t>
  </si>
  <si>
    <t>SE.Skewness</t>
  </si>
  <si>
    <t>Kurtosis</t>
  </si>
  <si>
    <t>pop</t>
  </si>
  <si>
    <t>letal</t>
  </si>
  <si>
    <t>Variáveis Explicativas</t>
  </si>
  <si>
    <t>Variável Dependente 1:
Casos Acumulados</t>
  </si>
  <si>
    <t>Variável Dependente 2:
Casos Acumulados/100k</t>
  </si>
  <si>
    <t>Variável Dependente 3:
Obitos/100k</t>
  </si>
  <si>
    <t>Variável Dependente 4: Taxa de Letalidade</t>
  </si>
  <si>
    <t>Municipios</t>
  </si>
  <si>
    <t>codigo_ibge</t>
  </si>
  <si>
    <t>2300101</t>
  </si>
  <si>
    <t>2300150</t>
  </si>
  <si>
    <t>Acarau</t>
  </si>
  <si>
    <t>2300200</t>
  </si>
  <si>
    <t>2300309</t>
  </si>
  <si>
    <t>2300408</t>
  </si>
  <si>
    <t>Alcantaras</t>
  </si>
  <si>
    <t>2300507</t>
  </si>
  <si>
    <t>2300606</t>
  </si>
  <si>
    <t>2300705</t>
  </si>
  <si>
    <t>2300754</t>
  </si>
  <si>
    <t>2300804</t>
  </si>
  <si>
    <t>Apuiares</t>
  </si>
  <si>
    <t>2300903</t>
  </si>
  <si>
    <t>2301000</t>
  </si>
  <si>
    <t>2301109</t>
  </si>
  <si>
    <t>2301208</t>
  </si>
  <si>
    <t>Ararenda</t>
  </si>
  <si>
    <t>2301257</t>
  </si>
  <si>
    <t>2301307</t>
  </si>
  <si>
    <t>2301406</t>
  </si>
  <si>
    <t>2301505</t>
  </si>
  <si>
    <t>Assare</t>
  </si>
  <si>
    <t>2301604</t>
  </si>
  <si>
    <t>2301703</t>
  </si>
  <si>
    <t>2301802</t>
  </si>
  <si>
    <t>Banabuiu</t>
  </si>
  <si>
    <t>2301851</t>
  </si>
  <si>
    <t>2301901</t>
  </si>
  <si>
    <t>2301950</t>
  </si>
  <si>
    <t>2302008</t>
  </si>
  <si>
    <t>2302057</t>
  </si>
  <si>
    <t>Baturite</t>
  </si>
  <si>
    <t>2302107</t>
  </si>
  <si>
    <t>2302206</t>
  </si>
  <si>
    <t>2302305</t>
  </si>
  <si>
    <t>2302404</t>
  </si>
  <si>
    <t>2302503</t>
  </si>
  <si>
    <t>2302602</t>
  </si>
  <si>
    <t>2302701</t>
  </si>
  <si>
    <t>Caninde</t>
  </si>
  <si>
    <t>2302800</t>
  </si>
  <si>
    <t>2302909</t>
  </si>
  <si>
    <t>2303006</t>
  </si>
  <si>
    <t>Carire</t>
  </si>
  <si>
    <t>2303105</t>
  </si>
  <si>
    <t>Caririacu</t>
  </si>
  <si>
    <t>2303204</t>
  </si>
  <si>
    <t>Carius</t>
  </si>
  <si>
    <t>2303303</t>
  </si>
  <si>
    <t>2303402</t>
  </si>
  <si>
    <t>2303501</t>
  </si>
  <si>
    <t>2303600</t>
  </si>
  <si>
    <t>2303659</t>
  </si>
  <si>
    <t>2303709</t>
  </si>
  <si>
    <t>2303808</t>
  </si>
  <si>
    <t>2303907</t>
  </si>
  <si>
    <t>Choro</t>
  </si>
  <si>
    <t>2303931</t>
  </si>
  <si>
    <t>2303956</t>
  </si>
  <si>
    <t>Coreau</t>
  </si>
  <si>
    <t>2304004</t>
  </si>
  <si>
    <t>Crateus</t>
  </si>
  <si>
    <t>2304103</t>
  </si>
  <si>
    <t>2304202</t>
  </si>
  <si>
    <t>Croata</t>
  </si>
  <si>
    <t>2304236</t>
  </si>
  <si>
    <t>2304251</t>
  </si>
  <si>
    <t>2304269</t>
  </si>
  <si>
    <t>Erere</t>
  </si>
  <si>
    <t>2304277</t>
  </si>
  <si>
    <t>Eusebio</t>
  </si>
  <si>
    <t>2304285</t>
  </si>
  <si>
    <t>2304301</t>
  </si>
  <si>
    <t>2304350</t>
  </si>
  <si>
    <t>2304400</t>
  </si>
  <si>
    <t>2304459</t>
  </si>
  <si>
    <t>2304509</t>
  </si>
  <si>
    <t>2304608</t>
  </si>
  <si>
    <t>Graca</t>
  </si>
  <si>
    <t>2304657</t>
  </si>
  <si>
    <t>2304707</t>
  </si>
  <si>
    <t>2304806</t>
  </si>
  <si>
    <t>Groairas</t>
  </si>
  <si>
    <t>2304905</t>
  </si>
  <si>
    <t>Guaiuba</t>
  </si>
  <si>
    <t>2304954</t>
  </si>
  <si>
    <t>2305001</t>
  </si>
  <si>
    <t>2305100</t>
  </si>
  <si>
    <t>Hidrolandia</t>
  </si>
  <si>
    <t>2305209</t>
  </si>
  <si>
    <t>2305233</t>
  </si>
  <si>
    <t>2305266</t>
  </si>
  <si>
    <t>2305308</t>
  </si>
  <si>
    <t>2305332</t>
  </si>
  <si>
    <t>Icapui</t>
  </si>
  <si>
    <t>2305357</t>
  </si>
  <si>
    <t>Ico</t>
  </si>
  <si>
    <t>2305407</t>
  </si>
  <si>
    <t>2305506</t>
  </si>
  <si>
    <t>Independencia</t>
  </si>
  <si>
    <t>2305605</t>
  </si>
  <si>
    <t>2305654</t>
  </si>
  <si>
    <t>2305704</t>
  </si>
  <si>
    <t>2305803</t>
  </si>
  <si>
    <t>2305902</t>
  </si>
  <si>
    <t>2306009</t>
  </si>
  <si>
    <t>Iraucuba</t>
  </si>
  <si>
    <t>2306108</t>
  </si>
  <si>
    <t>Itaicaba</t>
  </si>
  <si>
    <t>2306207</t>
  </si>
  <si>
    <t>2306256</t>
  </si>
  <si>
    <t>Itapaje</t>
  </si>
  <si>
    <t>2306405</t>
  </si>
  <si>
    <t>Itapiuna</t>
  </si>
  <si>
    <t>2306504</t>
  </si>
  <si>
    <t>2306553</t>
  </si>
  <si>
    <t>2306603</t>
  </si>
  <si>
    <t>2306702</t>
  </si>
  <si>
    <t>2306801</t>
  </si>
  <si>
    <t>2306900</t>
  </si>
  <si>
    <t>2307007</t>
  </si>
  <si>
    <t>2307106</t>
  </si>
  <si>
    <t>2307205</t>
  </si>
  <si>
    <t>2307254</t>
  </si>
  <si>
    <t>2307304</t>
  </si>
  <si>
    <t>Jucas</t>
  </si>
  <si>
    <t>2307403</t>
  </si>
  <si>
    <t>2307502</t>
  </si>
  <si>
    <t>2307601</t>
  </si>
  <si>
    <t>2307635</t>
  </si>
  <si>
    <t>Maracanau</t>
  </si>
  <si>
    <t>2307650</t>
  </si>
  <si>
    <t>2307700</t>
  </si>
  <si>
    <t>2307809</t>
  </si>
  <si>
    <t>Martinopole</t>
  </si>
  <si>
    <t>2307908</t>
  </si>
  <si>
    <t>Massape</t>
  </si>
  <si>
    <t>2308005</t>
  </si>
  <si>
    <t>2308104</t>
  </si>
  <si>
    <t>2308203</t>
  </si>
  <si>
    <t>2308302</t>
  </si>
  <si>
    <t>Milha</t>
  </si>
  <si>
    <t>2308351</t>
  </si>
  <si>
    <t>Miraima</t>
  </si>
  <si>
    <t>2308377</t>
  </si>
  <si>
    <t>Missao Velha</t>
  </si>
  <si>
    <t>2308401</t>
  </si>
  <si>
    <t>Mombaca</t>
  </si>
  <si>
    <t>2308500</t>
  </si>
  <si>
    <t>2308609</t>
  </si>
  <si>
    <t>2308708</t>
  </si>
  <si>
    <t>Moraujo</t>
  </si>
  <si>
    <t>2308807</t>
  </si>
  <si>
    <t>2308906</t>
  </si>
  <si>
    <t>2309003</t>
  </si>
  <si>
    <t>2309102</t>
  </si>
  <si>
    <t>2309201</t>
  </si>
  <si>
    <t>2309300</t>
  </si>
  <si>
    <t>2309409</t>
  </si>
  <si>
    <t>2309458</t>
  </si>
  <si>
    <t>Oros</t>
  </si>
  <si>
    <t>2309508</t>
  </si>
  <si>
    <t>2309607</t>
  </si>
  <si>
    <t>2309706</t>
  </si>
  <si>
    <t>2309805</t>
  </si>
  <si>
    <t>Pacuja</t>
  </si>
  <si>
    <t>2309904</t>
  </si>
  <si>
    <t>2310001</t>
  </si>
  <si>
    <t>Palmacia</t>
  </si>
  <si>
    <t>2310100</t>
  </si>
  <si>
    <t>2310209</t>
  </si>
  <si>
    <t>2310258</t>
  </si>
  <si>
    <t>2310308</t>
  </si>
  <si>
    <t>2310407</t>
  </si>
  <si>
    <t>2310506</t>
  </si>
  <si>
    <t>2310605</t>
  </si>
  <si>
    <t>2310704</t>
  </si>
  <si>
    <t>2310803</t>
  </si>
  <si>
    <t>2310852</t>
  </si>
  <si>
    <t>2310902</t>
  </si>
  <si>
    <t>2310951</t>
  </si>
  <si>
    <t>2311009</t>
  </si>
  <si>
    <t>2311108</t>
  </si>
  <si>
    <t>2311207</t>
  </si>
  <si>
    <t>2311231</t>
  </si>
  <si>
    <t>Quiterianopolis</t>
  </si>
  <si>
    <t>2311264</t>
  </si>
  <si>
    <t>Quixada</t>
  </si>
  <si>
    <t>2311306</t>
  </si>
  <si>
    <t>Quixelo</t>
  </si>
  <si>
    <t>2311355</t>
  </si>
  <si>
    <t>2311405</t>
  </si>
  <si>
    <t>Quixere</t>
  </si>
  <si>
    <t>2311504</t>
  </si>
  <si>
    <t>Redencao</t>
  </si>
  <si>
    <t>2311603</t>
  </si>
  <si>
    <t>2311702</t>
  </si>
  <si>
    <t>2311801</t>
  </si>
  <si>
    <t>2311900</t>
  </si>
  <si>
    <t>2311959</t>
  </si>
  <si>
    <t>Santa Quiteria</t>
  </si>
  <si>
    <t>2312205</t>
  </si>
  <si>
    <t>Santana do Acarau</t>
  </si>
  <si>
    <t>2312007</t>
  </si>
  <si>
    <t>2312106</t>
  </si>
  <si>
    <t>Sao Benedito</t>
  </si>
  <si>
    <t>2312304</t>
  </si>
  <si>
    <t>Sao Goncalo do Amarante</t>
  </si>
  <si>
    <t>2312403</t>
  </si>
  <si>
    <t>Sao Joao do Jaguaribe</t>
  </si>
  <si>
    <t>2312502</t>
  </si>
  <si>
    <t>Sao Luis do Curu</t>
  </si>
  <si>
    <t>2312601</t>
  </si>
  <si>
    <t>2312700</t>
  </si>
  <si>
    <t>Senador Sa</t>
  </si>
  <si>
    <t>2312809</t>
  </si>
  <si>
    <t>2312908</t>
  </si>
  <si>
    <t>Solonopole</t>
  </si>
  <si>
    <t>2313005</t>
  </si>
  <si>
    <t>2313104</t>
  </si>
  <si>
    <t>2313203</t>
  </si>
  <si>
    <t>2313252</t>
  </si>
  <si>
    <t>Taua</t>
  </si>
  <si>
    <t>2313302</t>
  </si>
  <si>
    <t>Tejucuoca</t>
  </si>
  <si>
    <t>2313351</t>
  </si>
  <si>
    <t>Tiangua</t>
  </si>
  <si>
    <t>2313401</t>
  </si>
  <si>
    <t>2313500</t>
  </si>
  <si>
    <t>2313559</t>
  </si>
  <si>
    <t>2313609</t>
  </si>
  <si>
    <t>2313708</t>
  </si>
  <si>
    <t>2313757</t>
  </si>
  <si>
    <t>2313807</t>
  </si>
  <si>
    <t>2313906</t>
  </si>
  <si>
    <t>2313955</t>
  </si>
  <si>
    <t>Varzea Alegre</t>
  </si>
  <si>
    <t>2314003</t>
  </si>
  <si>
    <t>Vicosa do Ceara</t>
  </si>
  <si>
    <t>2314102</t>
  </si>
  <si>
    <t>Aba</t>
  </si>
  <si>
    <t>Linha</t>
  </si>
  <si>
    <t>Coluna</t>
  </si>
  <si>
    <t>Município</t>
  </si>
  <si>
    <t>Valor anterior</t>
  </si>
  <si>
    <t>Valor corrigido</t>
  </si>
  <si>
    <t>Motivo/fonte</t>
  </si>
  <si>
    <t>Data</t>
  </si>
  <si>
    <t>raw</t>
  </si>
  <si>
    <t>709</t>
  </si>
  <si>
    <t>1039</t>
  </si>
  <si>
    <t>Rotação municipal confirmada nas fontes locais</t>
  </si>
  <si>
    <t>2026-08-18</t>
  </si>
  <si>
    <t>2184.7651916676937</t>
  </si>
  <si>
    <t>2377.4111617051462</t>
  </si>
  <si>
    <t>26</t>
  </si>
  <si>
    <t>18</t>
  </si>
  <si>
    <t>80.11832860840626</t>
  </si>
  <si>
    <t>41.1871038601469</t>
  </si>
  <si>
    <t>0.036671368124118475</t>
  </si>
  <si>
    <t>0.017324350336862367</t>
  </si>
  <si>
    <t>32452</t>
  </si>
  <si>
    <t>43703</t>
  </si>
  <si>
    <t>3015003.235547886</t>
  </si>
  <si>
    <t>1187242.4776331144</t>
  </si>
  <si>
    <t>127051645.50721066</t>
  </si>
  <si>
    <t>39160698.35022767</t>
  </si>
  <si>
    <t>972.573</t>
  </si>
  <si>
    <t>4262.298</t>
  </si>
  <si>
    <t>44.93544443450517</t>
  </si>
  <si>
    <t>4.152689464697213</t>
  </si>
  <si>
    <t>10095.69</t>
  </si>
  <si>
    <t>6921.76</t>
  </si>
  <si>
    <t>0.587</t>
  </si>
  <si>
    <t>0.616</t>
  </si>
  <si>
    <t>21.13</t>
  </si>
  <si>
    <t>18.92</t>
  </si>
  <si>
    <t>18498522.18</t>
  </si>
  <si>
    <t>8584770.94</t>
  </si>
  <si>
    <t>36079277.1</t>
  </si>
  <si>
    <t>16429268.53</t>
  </si>
  <si>
    <t>6.3</t>
  </si>
  <si>
    <t>5.2</t>
  </si>
  <si>
    <t>5.5</t>
  </si>
  <si>
    <t>4.4</t>
  </si>
  <si>
    <t>4.5</t>
  </si>
  <si>
    <t>3.5</t>
  </si>
  <si>
    <t>98.3323107814156</t>
  </si>
  <si>
    <t>99.6536972906906</t>
  </si>
  <si>
    <t>51425.48</t>
  </si>
  <si>
    <t>10207.48</t>
  </si>
  <si>
    <t>33.9</t>
  </si>
  <si>
    <t>41.19</t>
  </si>
  <si>
    <t>30.77</t>
  </si>
  <si>
    <t>33.33</t>
  </si>
  <si>
    <t>43.2522705955023</t>
  </si>
  <si>
    <t>56.2443541102078</t>
  </si>
  <si>
    <t>0.46</t>
  </si>
  <si>
    <t>0.56</t>
  </si>
  <si>
    <t>1.121204494</t>
  </si>
  <si>
    <t>1.186440678</t>
  </si>
  <si>
    <t>7.1619797268</t>
  </si>
  <si>
    <t>8.2485875706</t>
  </si>
  <si>
    <t>0.47945653953183826</t>
  </si>
  <si>
    <t>0.4861968549796156</t>
  </si>
  <si>
    <t>0.523</t>
  </si>
  <si>
    <t>0.5036</t>
  </si>
  <si>
    <t>0.507</t>
  </si>
  <si>
    <t>0.535</t>
  </si>
  <si>
    <t>0.418</t>
  </si>
  <si>
    <t>0.502</t>
  </si>
  <si>
    <t>0.564</t>
  </si>
  <si>
    <t>0.553</t>
  </si>
  <si>
    <t>0.539</t>
  </si>
  <si>
    <t>0.549</t>
  </si>
  <si>
    <t>0.12516948107974854</t>
  </si>
  <si>
    <t>0.027183488547696956</t>
  </si>
  <si>
    <t>0.33909999999999996</t>
  </si>
  <si>
    <t>0.3954</t>
  </si>
  <si>
    <t>23.7</t>
  </si>
  <si>
    <t>7</t>
  </si>
  <si>
    <t>0.7235234215885947</t>
  </si>
  <si>
    <t>1</t>
  </si>
  <si>
    <t>0.19767656847035622</t>
  </si>
  <si>
    <t>0.054138159851726424</t>
  </si>
  <si>
    <t>425.2434364600025</t>
  </si>
  <si>
    <t>205.9355193007345</t>
  </si>
  <si>
    <t>711.8205349439172</t>
  </si>
  <si>
    <t>144.15486351051416</t>
  </si>
  <si>
    <t>67.79243189942068</t>
  </si>
  <si>
    <t>22.88172436674828</t>
  </si>
  <si>
    <t>27.73326759521755</t>
  </si>
  <si>
    <t>2.2881724366748277</t>
  </si>
  <si>
    <t>135</t>
  </si>
  <si>
    <t>762.7118644067797</t>
  </si>
  <si>
    <t>6</t>
  </si>
  <si>
    <t>33.898305084745765</t>
  </si>
  <si>
    <t>0.044444444444444446</t>
  </si>
  <si>
    <t>17700</t>
  </si>
  <si>
    <t>9354067.401129942</t>
  </si>
  <si>
    <t>180650847.45762712</t>
  </si>
  <si>
    <t>855.165</t>
  </si>
  <si>
    <t>37.948232212497004</t>
  </si>
  <si>
    <t>6705.45</t>
  </si>
  <si>
    <t>0.612</t>
  </si>
  <si>
    <t>22.83</t>
  </si>
  <si>
    <t>12766909.79</t>
  </si>
  <si>
    <t>28059554.84</t>
  </si>
  <si>
    <t>5.3</t>
  </si>
  <si>
    <t>3.8</t>
  </si>
  <si>
    <t>99.7261774370208</t>
  </si>
  <si>
    <t>18722.43</t>
  </si>
  <si>
    <t>11.3</t>
  </si>
  <si>
    <t>54.7498009432229</t>
  </si>
  <si>
    <t>0.4</t>
  </si>
  <si>
    <t>1.2325896709</t>
  </si>
  <si>
    <t>7.0257611241</t>
  </si>
  <si>
    <t>0.48667601683029454</t>
  </si>
  <si>
    <t>0.5227</t>
  </si>
  <si>
    <t>0.378</t>
  </si>
  <si>
    <t>0.226</t>
  </si>
  <si>
    <t>0.478</t>
  </si>
  <si>
    <t>0.429</t>
  </si>
  <si>
    <t>0.08593220338983051</t>
  </si>
  <si>
    <t>0.4357</t>
  </si>
  <si>
    <t>14</t>
  </si>
  <si>
    <t>0.8771084337349397</t>
  </si>
  <si>
    <t>0.21627118644067797</t>
  </si>
  <si>
    <t>446.3276836158192</t>
  </si>
  <si>
    <t>1180.7909604519775</t>
  </si>
  <si>
    <t>39.548022598870055</t>
  </si>
  <si>
    <t>11.299435028248588</t>
  </si>
  <si>
    <t>Apresentação</t>
  </si>
  <si>
    <t>6.8</t>
  </si>
  <si>
    <t>6.84931506849315</t>
  </si>
  <si>
    <t>ultimas variaveis/TMI.xlsx, SESA 2019; ausência preservada</t>
  </si>
  <si>
    <t>17.2</t>
  </si>
  <si>
    <t>17.1673819742489</t>
  </si>
  <si>
    <t>0.8640776699029128</t>
  </si>
  <si>
    <t>0.8640776699029127</t>
  </si>
  <si>
    <t>Média BCG, Poliomielite, Pentavalente e Rotavírus, 2019</t>
  </si>
  <si>
    <t>14.9</t>
  </si>
  <si>
    <t>14.8837209302326</t>
  </si>
  <si>
    <t>0.9005876591576888</t>
  </si>
  <si>
    <t>0.9005876591576887</t>
  </si>
  <si>
    <t>6.6</t>
  </si>
  <si>
    <t>6.62251655629139</t>
  </si>
  <si>
    <t>11.4</t>
  </si>
  <si>
    <t>11.4285714285714</t>
  </si>
  <si>
    <t>6.75675675675676</t>
  </si>
  <si>
    <t>0</t>
  </si>
  <si>
    <t>0.9623893805309736</t>
  </si>
  <si>
    <t>0.9623893805309734</t>
  </si>
  <si>
    <t>6.7</t>
  </si>
  <si>
    <t>6.66666666666667</t>
  </si>
  <si>
    <t>9.1</t>
  </si>
  <si>
    <t>9.11854103343465</t>
  </si>
  <si>
    <t>0.925207756232687</t>
  </si>
  <si>
    <t>0.9252077562326869</t>
  </si>
  <si>
    <t>9.7</t>
  </si>
  <si>
    <t>9.70873786407767</t>
  </si>
  <si>
    <t>11.2</t>
  </si>
  <si>
    <t>11.1731843575419</t>
  </si>
  <si>
    <t>0.428</t>
  </si>
  <si>
    <t>0.441</t>
  </si>
  <si>
    <t>DADOS/dadosetc.xlsx, IVS 2010</t>
  </si>
  <si>
    <t>0.322</t>
  </si>
  <si>
    <t>0.415</t>
  </si>
  <si>
    <t>DADOS/dadosetc.xlsx, IVS Infraestrutura 2010</t>
  </si>
  <si>
    <t>0.47</t>
  </si>
  <si>
    <t>0.481</t>
  </si>
  <si>
    <t>DADOS/dadosetc.xlsx, IVS Capital Humano 2010</t>
  </si>
  <si>
    <t>0.491</t>
  </si>
  <si>
    <t>0.426</t>
  </si>
  <si>
    <t>DADOS/dadosetc.xlsx, IVS Renda e Trabalho 2010</t>
  </si>
  <si>
    <t>8.4</t>
  </si>
  <si>
    <t>8.41042893187553</t>
  </si>
  <si>
    <t>0.6737720111214087</t>
  </si>
  <si>
    <t>0.6737720111214088</t>
  </si>
  <si>
    <t>0.51</t>
  </si>
  <si>
    <t>0.453</t>
  </si>
  <si>
    <t>0.526</t>
  </si>
  <si>
    <t>0.551</t>
  </si>
  <si>
    <t>2</t>
  </si>
  <si>
    <t>2.04081632653061</t>
  </si>
  <si>
    <t>0.8219315895372232</t>
  </si>
  <si>
    <t>0.8219315895372233</t>
  </si>
  <si>
    <t>0.476</t>
  </si>
  <si>
    <t>0.229</t>
  </si>
  <si>
    <t>0.532</t>
  </si>
  <si>
    <t>0.667</t>
  </si>
  <si>
    <t>8</t>
  </si>
  <si>
    <t>8.02139037433155</t>
  </si>
  <si>
    <t>0.7049608355091384</t>
  </si>
  <si>
    <t>0.7049608355091382</t>
  </si>
  <si>
    <t>0.292</t>
  </si>
  <si>
    <t>0.589</t>
  </si>
  <si>
    <t>0.552</t>
  </si>
  <si>
    <t>40.5</t>
  </si>
  <si>
    <t>40.5405405405405</t>
  </si>
  <si>
    <t>0.459</t>
  </si>
  <si>
    <t>0.359</t>
  </si>
  <si>
    <t>0.488</t>
  </si>
  <si>
    <t>0.531</t>
  </si>
  <si>
    <t>11</t>
  </si>
  <si>
    <t>11.0192837465565</t>
  </si>
  <si>
    <t>0.411</t>
  </si>
  <si>
    <t>0.233</t>
  </si>
  <si>
    <t>0.48</t>
  </si>
  <si>
    <t>0.52</t>
  </si>
  <si>
    <t>28.4</t>
  </si>
  <si>
    <t>28.4090909090909</t>
  </si>
  <si>
    <t>0.437</t>
  </si>
  <si>
    <t>0.273</t>
  </si>
  <si>
    <t>0.498</t>
  </si>
  <si>
    <t>0.541</t>
  </si>
  <si>
    <t>26.5</t>
  </si>
  <si>
    <t>26.5486725663717</t>
  </si>
  <si>
    <t>0.412</t>
  </si>
  <si>
    <t>0.25</t>
  </si>
  <si>
    <t>0.464</t>
  </si>
  <si>
    <t>0.522</t>
  </si>
  <si>
    <t>3.4</t>
  </si>
  <si>
    <t>3.35570469798658</t>
  </si>
  <si>
    <t>0.345</t>
  </si>
  <si>
    <t>0.121</t>
  </si>
  <si>
    <t>0.439</t>
  </si>
  <si>
    <t>0.475</t>
  </si>
  <si>
    <t>3.1</t>
  </si>
  <si>
    <t>3.13479623824451</t>
  </si>
  <si>
    <t>0.469</t>
  </si>
  <si>
    <t>0.315</t>
  </si>
  <si>
    <t>0.573</t>
  </si>
  <si>
    <t>0.519</t>
  </si>
  <si>
    <t>0.8819444444444445</t>
  </si>
  <si>
    <t>0.8819444444444444</t>
  </si>
  <si>
    <t>0.177</t>
  </si>
  <si>
    <t>0.402</t>
  </si>
  <si>
    <t>0.457</t>
  </si>
  <si>
    <t>26.5151515151515</t>
  </si>
  <si>
    <t>0.463</t>
  </si>
  <si>
    <t>0.533</t>
  </si>
  <si>
    <t>0.525</t>
  </si>
  <si>
    <t>15.1</t>
  </si>
  <si>
    <t>15.0913423351867</t>
  </si>
  <si>
    <t>0.389</t>
  </si>
  <si>
    <t>0.162</t>
  </si>
  <si>
    <t>0.477</t>
  </si>
  <si>
    <t>0.527</t>
  </si>
  <si>
    <t>17.4</t>
  </si>
  <si>
    <t>17.3913043478261</t>
  </si>
  <si>
    <t>0.471</t>
  </si>
  <si>
    <t>0.584</t>
  </si>
  <si>
    <t>21.5</t>
  </si>
  <si>
    <t>21.4592274678112</t>
  </si>
  <si>
    <t>0.564922480620155</t>
  </si>
  <si>
    <t>0.5649224806201549</t>
  </si>
  <si>
    <t>0.421</t>
  </si>
  <si>
    <t>0.281</t>
  </si>
  <si>
    <t>0.496</t>
  </si>
  <si>
    <t>0.486</t>
  </si>
  <si>
    <t>15.0753768844221</t>
  </si>
  <si>
    <t>0.8766666666666667</t>
  </si>
  <si>
    <t>0.8766666666666668</t>
  </si>
  <si>
    <t>0.456</t>
  </si>
  <si>
    <t>0.482</t>
  </si>
  <si>
    <t>12.9</t>
  </si>
  <si>
    <t>12.9151291512915</t>
  </si>
  <si>
    <t>0.9587628865979382</t>
  </si>
  <si>
    <t>0.9587628865979383</t>
  </si>
  <si>
    <t>0.495</t>
  </si>
  <si>
    <t>0.557</t>
  </si>
  <si>
    <t>11.3960113960114</t>
  </si>
  <si>
    <t>0.823873121869783</t>
  </si>
  <si>
    <t>0.8238731218697829</t>
  </si>
  <si>
    <t>0.293</t>
  </si>
  <si>
    <t>0.586</t>
  </si>
  <si>
    <t>0.609</t>
  </si>
  <si>
    <t>16.4</t>
  </si>
  <si>
    <t>16.3934426229508</t>
  </si>
  <si>
    <t>0.383</t>
  </si>
  <si>
    <t>0.184</t>
  </si>
  <si>
    <t>0.485</t>
  </si>
  <si>
    <t>17.8</t>
  </si>
  <si>
    <t>17.8282009724473</t>
  </si>
  <si>
    <t>0.9514106583072099</t>
  </si>
  <si>
    <t>0.95141065830721</t>
  </si>
  <si>
    <t>0.438</t>
  </si>
  <si>
    <t>0.576</t>
  </si>
  <si>
    <t>15.1133501259446</t>
  </si>
  <si>
    <t>0.422</t>
  </si>
  <si>
    <t>0.465</t>
  </si>
  <si>
    <t>0.574</t>
  </si>
  <si>
    <t>15.8</t>
  </si>
  <si>
    <t>15.7946692991115</t>
  </si>
  <si>
    <t>0.458</t>
  </si>
  <si>
    <t>0.284</t>
  </si>
  <si>
    <t>0.534</t>
  </si>
  <si>
    <t>0.556</t>
  </si>
  <si>
    <t>19</t>
  </si>
  <si>
    <t>19.0476190476191</t>
  </si>
  <si>
    <t>0.559</t>
  </si>
  <si>
    <t>0.521</t>
  </si>
  <si>
    <t>11.5</t>
  </si>
  <si>
    <t>11.4739629302736</t>
  </si>
  <si>
    <t>0.542</t>
  </si>
  <si>
    <t>0.484</t>
  </si>
  <si>
    <t>0.583</t>
  </si>
  <si>
    <t>10.8</t>
  </si>
  <si>
    <t>10.8303249097473</t>
  </si>
  <si>
    <t>4.8</t>
  </si>
  <si>
    <t>5.8</t>
  </si>
  <si>
    <t>DADOS/dados.xlsx, IDEB anos finais, 2019</t>
  </si>
  <si>
    <t>4.1</t>
  </si>
  <si>
    <t>4.08163265306122</t>
  </si>
  <si>
    <t>0.8695652173913044</t>
  </si>
  <si>
    <t>0.9618421052631579</t>
  </si>
  <si>
    <t>0.373</t>
  </si>
  <si>
    <t>0.096</t>
  </si>
  <si>
    <t>0.508</t>
  </si>
  <si>
    <t>0.515</t>
  </si>
  <si>
    <t>15.3</t>
  </si>
  <si>
    <t>15.2838427947598</t>
  </si>
  <si>
    <t>0.8695652173913043</t>
  </si>
  <si>
    <t>0.416</t>
  </si>
  <si>
    <t>0.203</t>
  </si>
  <si>
    <t>9.9</t>
  </si>
  <si>
    <t>9.85221674876847</t>
  </si>
  <si>
    <t>0.221</t>
  </si>
  <si>
    <t>0.548</t>
  </si>
  <si>
    <t>0.657</t>
  </si>
  <si>
    <t>11.2781954887218</t>
  </si>
  <si>
    <t>0.435</t>
  </si>
  <si>
    <t>0.231</t>
  </si>
  <si>
    <t>0.529</t>
  </si>
  <si>
    <t>0.544</t>
  </si>
  <si>
    <t>0.489</t>
  </si>
  <si>
    <t>0.395</t>
  </si>
  <si>
    <t>0.239</t>
  </si>
  <si>
    <t>0.44</t>
  </si>
  <si>
    <t>22.1</t>
  </si>
  <si>
    <t>22.0588235294118</t>
  </si>
  <si>
    <t>0.505</t>
  </si>
  <si>
    <t>0.381</t>
  </si>
  <si>
    <t>0.579</t>
  </si>
  <si>
    <t>9</t>
  </si>
  <si>
    <t>9.00900900900901</t>
  </si>
  <si>
    <t>0.7398373983739841</t>
  </si>
  <si>
    <t>0.739837398373984</t>
  </si>
  <si>
    <t>0.581</t>
  </si>
  <si>
    <t>0.423</t>
  </si>
  <si>
    <t>0.577</t>
  </si>
  <si>
    <t>0.588</t>
  </si>
  <si>
    <t>0.382</t>
  </si>
  <si>
    <t>12.916510670161</t>
  </si>
  <si>
    <t>0.54</t>
  </si>
  <si>
    <t>12.5</t>
  </si>
  <si>
    <t>12.5391849529781</t>
  </si>
  <si>
    <t>0.288</t>
  </si>
  <si>
    <t>0.494</t>
  </si>
  <si>
    <t>0.537</t>
  </si>
  <si>
    <t>5.6</t>
  </si>
  <si>
    <t>5.64971751412429</t>
  </si>
  <si>
    <t>0.8762376237623763</t>
  </si>
  <si>
    <t>0.8762376237623762</t>
  </si>
  <si>
    <t>5.4</t>
  </si>
  <si>
    <t>4.9</t>
  </si>
  <si>
    <t>0.306</t>
  </si>
  <si>
    <t>0.164</t>
  </si>
  <si>
    <t>0.356</t>
  </si>
  <si>
    <t>0.398</t>
  </si>
  <si>
    <t>11.9</t>
  </si>
  <si>
    <t>11.9047619047619</t>
  </si>
  <si>
    <t>0.8778409090909091</t>
  </si>
  <si>
    <t>0.198</t>
  </si>
  <si>
    <t>0.543</t>
  </si>
  <si>
    <t>0.593</t>
  </si>
  <si>
    <t>0.524</t>
  </si>
  <si>
    <t>0.585</t>
  </si>
  <si>
    <t>9.6</t>
  </si>
  <si>
    <t>9.61538461538462</t>
  </si>
  <si>
    <t>0.877840909090909</t>
  </si>
  <si>
    <t>0.407</t>
  </si>
  <si>
    <t>0.243</t>
  </si>
  <si>
    <t>0.452</t>
  </si>
  <si>
    <t>9.9009900990099</t>
  </si>
  <si>
    <t>0.424</t>
  </si>
  <si>
    <t>0.248</t>
  </si>
  <si>
    <t>0.447</t>
  </si>
  <si>
    <t>19.1</t>
  </si>
  <si>
    <t>19.0735694822888</t>
  </si>
  <si>
    <t>0.8786966046002189</t>
  </si>
  <si>
    <t>0.878696604600219</t>
  </si>
  <si>
    <t>0.406</t>
  </si>
  <si>
    <t>0.19</t>
  </si>
  <si>
    <t>0.545</t>
  </si>
  <si>
    <t>0.483</t>
  </si>
  <si>
    <t>18.1</t>
  </si>
  <si>
    <t>18.0913613749435</t>
  </si>
  <si>
    <t>0.392</t>
  </si>
  <si>
    <t>0.186</t>
  </si>
  <si>
    <t>0.434</t>
  </si>
  <si>
    <t>0.555</t>
  </si>
  <si>
    <t>18.9</t>
  </si>
  <si>
    <t>18.8679245283019</t>
  </si>
  <si>
    <t>0.9024064171122994</t>
  </si>
  <si>
    <t>0.9024064171122995</t>
  </si>
  <si>
    <t>0.321</t>
  </si>
  <si>
    <t>0.056</t>
  </si>
  <si>
    <t>0.5</t>
  </si>
  <si>
    <t>0.408</t>
  </si>
  <si>
    <t>4</t>
  </si>
  <si>
    <t>4.01606425702811</t>
  </si>
  <si>
    <t>0.405</t>
  </si>
  <si>
    <t>0.514</t>
  </si>
  <si>
    <t>11.4942528735632</t>
  </si>
  <si>
    <t>0.43</t>
  </si>
  <si>
    <t>0.202</t>
  </si>
  <si>
    <t>0.512</t>
  </si>
  <si>
    <t>166.7</t>
  </si>
  <si>
    <t>166.666666666667</t>
  </si>
  <si>
    <t>0.351</t>
  </si>
  <si>
    <t>0.266</t>
  </si>
  <si>
    <t>0.374</t>
  </si>
  <si>
    <t>15.5</t>
  </si>
  <si>
    <t>15.4849225753871</t>
  </si>
  <si>
    <t>0.8521209740769837</t>
  </si>
  <si>
    <t>0.852120974076984</t>
  </si>
  <si>
    <t>0.582</t>
  </si>
  <si>
    <t>0.45</t>
  </si>
  <si>
    <t>0.615</t>
  </si>
  <si>
    <t>0.681</t>
  </si>
  <si>
    <t>11.2359550561798</t>
  </si>
  <si>
    <t>0.479</t>
  </si>
  <si>
    <t>12.2</t>
  </si>
  <si>
    <t>12.2324159021407</t>
  </si>
  <si>
    <t>0.9902135231316724</t>
  </si>
  <si>
    <t>0.9902135231316725</t>
  </si>
  <si>
    <t>0.33</t>
  </si>
  <si>
    <t>0.204</t>
  </si>
  <si>
    <t>0.334</t>
  </si>
  <si>
    <t>0.602</t>
  </si>
  <si>
    <t>0.283</t>
  </si>
  <si>
    <t>11.6</t>
  </si>
  <si>
    <t>11.562017056837</t>
  </si>
  <si>
    <t>0.371</t>
  </si>
  <si>
    <t>0.174</t>
  </si>
  <si>
    <t>0.462</t>
  </si>
  <si>
    <t>10.2</t>
  </si>
  <si>
    <t>10.1522842639594</t>
  </si>
  <si>
    <t>0.806701030927835</t>
  </si>
  <si>
    <t>0.8067010309278351</t>
  </si>
  <si>
    <t>0.436</t>
  </si>
  <si>
    <t>0.258</t>
  </si>
  <si>
    <t>22.9</t>
  </si>
  <si>
    <t>22.9007633587786</t>
  </si>
  <si>
    <t>0.799586776859504</t>
  </si>
  <si>
    <t>0.7995867768595041</t>
  </si>
  <si>
    <t>0.384</t>
  </si>
  <si>
    <t>0.137</t>
  </si>
  <si>
    <t>0.501</t>
  </si>
  <si>
    <t>9.3</t>
  </si>
  <si>
    <t>9.25925925925926</t>
  </si>
  <si>
    <t>5</t>
  </si>
  <si>
    <t>0.536</t>
  </si>
  <si>
    <t>5.9</t>
  </si>
  <si>
    <t>5.88235294117647</t>
  </si>
  <si>
    <t>0.9378881987577641</t>
  </si>
  <si>
    <t>0.8459119496855345</t>
  </si>
  <si>
    <t>0.468</t>
  </si>
  <si>
    <t>0.538</t>
  </si>
  <si>
    <t>10.1</t>
  </si>
  <si>
    <t>10.062893081761</t>
  </si>
  <si>
    <t>0.5034722222222221</t>
  </si>
  <si>
    <t>0.937888198757764</t>
  </si>
  <si>
    <t>0.211</t>
  </si>
  <si>
    <t>0.503472222222222</t>
  </si>
  <si>
    <t>0.528</t>
  </si>
  <si>
    <t>6.1</t>
  </si>
  <si>
    <t>6.09756097560976</t>
  </si>
  <si>
    <t>0.8172268907563027</t>
  </si>
  <si>
    <t>0.8172268907563028</t>
  </si>
  <si>
    <t>0.385</t>
  </si>
  <si>
    <t>0.497</t>
  </si>
  <si>
    <t>0.55</t>
  </si>
  <si>
    <t>11.5606936416185</t>
  </si>
  <si>
    <t>0.403</t>
  </si>
  <si>
    <t>0.503</t>
  </si>
  <si>
    <t>18.8</t>
  </si>
  <si>
    <t>18.7590187590188</t>
  </si>
  <si>
    <t>0.331</t>
  </si>
  <si>
    <t>0.104</t>
  </si>
  <si>
    <t>0.446</t>
  </si>
  <si>
    <t>0.442</t>
  </si>
  <si>
    <t>14.9253731343284</t>
  </si>
  <si>
    <t>0.466</t>
  </si>
  <si>
    <t>0.274</t>
  </si>
  <si>
    <t>0.504</t>
  </si>
  <si>
    <t>0.621</t>
  </si>
  <si>
    <t>3.9</t>
  </si>
  <si>
    <t>3.92156862745098</t>
  </si>
  <si>
    <t>0.365</t>
  </si>
  <si>
    <t>0.237</t>
  </si>
  <si>
    <t>0.209</t>
  </si>
  <si>
    <t>0.554</t>
  </si>
  <si>
    <t>0.565</t>
  </si>
  <si>
    <t>4.09836065573771</t>
  </si>
  <si>
    <t>0.7524232633279483</t>
  </si>
  <si>
    <t>0.7524232633279482</t>
  </si>
  <si>
    <t>0.39</t>
  </si>
  <si>
    <t>0.114</t>
  </si>
  <si>
    <t>0.431</t>
  </si>
  <si>
    <t>0.252</t>
  </si>
  <si>
    <t>0.513</t>
  </si>
  <si>
    <t>0.451</t>
  </si>
  <si>
    <t>0.181</t>
  </si>
  <si>
    <t>0.613</t>
  </si>
  <si>
    <t>0.9871794871794872</t>
  </si>
  <si>
    <t>0.9871794871794873</t>
  </si>
  <si>
    <t>0.364</t>
  </si>
  <si>
    <t>0.159</t>
  </si>
  <si>
    <t>6.2</t>
  </si>
  <si>
    <t>6.2111801242236</t>
  </si>
  <si>
    <t>0.8968401486988845</t>
  </si>
  <si>
    <t>0.8968401486988844</t>
  </si>
  <si>
    <t>0.294</t>
  </si>
  <si>
    <t>0.599</t>
  </si>
  <si>
    <t>0.614</t>
  </si>
  <si>
    <t>6.79501698754247</t>
  </si>
  <si>
    <t>0.7502765486725662</t>
  </si>
  <si>
    <t>0.7502765486725661</t>
  </si>
  <si>
    <t>0.417</t>
  </si>
  <si>
    <t>0.341</t>
  </si>
  <si>
    <t>0.386</t>
  </si>
  <si>
    <t>8.8</t>
  </si>
  <si>
    <t>8.7719298245614</t>
  </si>
  <si>
    <t>0.8540372670807452</t>
  </si>
  <si>
    <t>0.8540372670807453</t>
  </si>
  <si>
    <t>0.3</t>
  </si>
  <si>
    <t>0.518</t>
  </si>
  <si>
    <t>22.6</t>
  </si>
  <si>
    <t>22.5563909774436</t>
  </si>
  <si>
    <t>0.7001689189189191</t>
  </si>
  <si>
    <t>0.700168918918919</t>
  </si>
  <si>
    <t>0.449</t>
  </si>
  <si>
    <t>0.301</t>
  </si>
  <si>
    <t>0.377</t>
  </si>
  <si>
    <t>7.2</t>
  </si>
  <si>
    <t>7.19424460431655</t>
  </si>
  <si>
    <t>8.9</t>
  </si>
  <si>
    <t>8.94187779433681</t>
  </si>
  <si>
    <t>0.7303418803418803</t>
  </si>
  <si>
    <t>0.7303418803418802</t>
  </si>
  <si>
    <t>0.578</t>
  </si>
  <si>
    <t>0.624</t>
  </si>
  <si>
    <t>10.4</t>
  </si>
  <si>
    <t>10.3734439834025</t>
  </si>
  <si>
    <t>0.267</t>
  </si>
  <si>
    <t>0.499</t>
  </si>
  <si>
    <t>0.397</t>
  </si>
  <si>
    <t>0.179</t>
  </si>
  <si>
    <t>11.1</t>
  </si>
  <si>
    <t>11.1111111111111</t>
  </si>
  <si>
    <t>0.4809027777777778</t>
  </si>
  <si>
    <t>0.48090277777777773</t>
  </si>
  <si>
    <t>0.425</t>
  </si>
  <si>
    <t>0.263</t>
  </si>
  <si>
    <t>22</t>
  </si>
  <si>
    <t>21.978021978022</t>
  </si>
  <si>
    <t>0.5699672667757772</t>
  </si>
  <si>
    <t>0.9770114942528736</t>
  </si>
  <si>
    <t>0.427</t>
  </si>
  <si>
    <t>0.234</t>
  </si>
  <si>
    <t>7.4</t>
  </si>
  <si>
    <t>7.42942050520059</t>
  </si>
  <si>
    <t>0.9770114942528735</t>
  </si>
  <si>
    <t>5.1</t>
  </si>
  <si>
    <t>5.13478818998716</t>
  </si>
  <si>
    <t>0.196</t>
  </si>
  <si>
    <t>0.42</t>
  </si>
  <si>
    <t>10.1694915254237</t>
  </si>
  <si>
    <t>0.401</t>
  </si>
  <si>
    <t>0.324</t>
  </si>
  <si>
    <t>0.454</t>
  </si>
  <si>
    <t>22.5</t>
  </si>
  <si>
    <t>22.5225225225225</t>
  </si>
  <si>
    <t>0.8628318584070799</t>
  </si>
  <si>
    <t>0.8628318584070798</t>
  </si>
  <si>
    <t>0.312</t>
  </si>
  <si>
    <t>0.129</t>
  </si>
  <si>
    <t>14.1</t>
  </si>
  <si>
    <t>14.0646976090014</t>
  </si>
  <si>
    <t>0.8660220994475138</t>
  </si>
  <si>
    <t>0.8660220994475136</t>
  </si>
  <si>
    <t>0.192</t>
  </si>
  <si>
    <t>0.563</t>
  </si>
  <si>
    <t>0.617</t>
  </si>
  <si>
    <t>15.2</t>
  </si>
  <si>
    <t>15.2439024390244</t>
  </si>
  <si>
    <t>0.977796052631579</t>
  </si>
  <si>
    <t>0.9777960526315791</t>
  </si>
  <si>
    <t>0.207</t>
  </si>
  <si>
    <t>18.7</t>
  </si>
  <si>
    <t>18.6915887850467</t>
  </si>
  <si>
    <t>0.302</t>
  </si>
  <si>
    <t>0.126</t>
  </si>
  <si>
    <t>13.9</t>
  </si>
  <si>
    <t>13.8888888888889</t>
  </si>
  <si>
    <t>0.317</t>
  </si>
  <si>
    <t>15.3172866520788</t>
  </si>
  <si>
    <t>0.936858316221766</t>
  </si>
  <si>
    <t>0.9368583162217661</t>
  </si>
  <si>
    <t>0.236</t>
  </si>
  <si>
    <t>0.53</t>
  </si>
  <si>
    <t>10.958904109589</t>
  </si>
  <si>
    <t>0.189</t>
  </si>
  <si>
    <t>0.569</t>
  </si>
  <si>
    <t>4.84261501210654</t>
  </si>
  <si>
    <t>0.419</t>
  </si>
  <si>
    <t>0.432</t>
  </si>
  <si>
    <t>0.286</t>
  </si>
  <si>
    <t>0.473</t>
  </si>
  <si>
    <t>14.4</t>
  </si>
  <si>
    <t>14.3884892086331</t>
  </si>
  <si>
    <t>0.41</t>
  </si>
  <si>
    <t>12.5210691066699</t>
  </si>
  <si>
    <t>0.8852498786996605</t>
  </si>
  <si>
    <t>0.8852498786996604</t>
  </si>
  <si>
    <t>0.433</t>
  </si>
  <si>
    <t>0.282</t>
  </si>
  <si>
    <t>0.493</t>
  </si>
  <si>
    <t>19.7</t>
  </si>
  <si>
    <t>19.7368421052632</t>
  </si>
  <si>
    <t>0.7441348973607038</t>
  </si>
  <si>
    <t>0.7441348973607037</t>
  </si>
  <si>
    <t>0.414</t>
  </si>
  <si>
    <t>0.201</t>
  </si>
  <si>
    <t>0.511</t>
  </si>
  <si>
    <t>17.1</t>
  </si>
  <si>
    <t>17.1428571428571</t>
  </si>
  <si>
    <t>0.9432835820895523</t>
  </si>
  <si>
    <t>0.9432835820895522</t>
  </si>
  <si>
    <t>0.597</t>
  </si>
  <si>
    <t>0.647</t>
  </si>
  <si>
    <t>16.5</t>
  </si>
  <si>
    <t>16.5289256198347</t>
  </si>
  <si>
    <t>0.375</t>
  </si>
  <si>
    <t>0.472</t>
  </si>
  <si>
    <t>5.05050505050505</t>
  </si>
  <si>
    <t>0.8844537815126052</t>
  </si>
  <si>
    <t>0.8844537815126051</t>
  </si>
  <si>
    <t>0.344</t>
  </si>
  <si>
    <t>0.363</t>
  </si>
  <si>
    <t>0.279</t>
  </si>
  <si>
    <t>7.9</t>
  </si>
  <si>
    <t>7.92253521126761</t>
  </si>
  <si>
    <t>0.191</t>
  </si>
  <si>
    <t>0.404</t>
  </si>
  <si>
    <t>11.8733509234828</t>
  </si>
  <si>
    <t>0.9364767518009167</t>
  </si>
  <si>
    <t>0.9364767518009168</t>
  </si>
  <si>
    <t>0.328</t>
  </si>
  <si>
    <t>13.1</t>
  </si>
  <si>
    <t>13.1086142322097</t>
  </si>
  <si>
    <t>0.165</t>
  </si>
  <si>
    <t>5.81395348837209</t>
  </si>
  <si>
    <t>0.118</t>
  </si>
  <si>
    <t>0.58</t>
  </si>
  <si>
    <t>12.9032258064516</t>
  </si>
  <si>
    <t>0.149</t>
  </si>
  <si>
    <t>12.6</t>
  </si>
  <si>
    <t>12.6227208976157</t>
  </si>
  <si>
    <t>0.8803894297635606</t>
  </si>
  <si>
    <t>0.8803894297635605</t>
  </si>
  <si>
    <t>0.413</t>
  </si>
  <si>
    <t>0.509</t>
  </si>
  <si>
    <t>20.2</t>
  </si>
  <si>
    <t>20.2429149797571</t>
  </si>
  <si>
    <t>0.487</t>
  </si>
  <si>
    <t>10.443864229765</t>
  </si>
  <si>
    <t>0.9557142857142857</t>
  </si>
  <si>
    <t>0.9557142857142858</t>
  </si>
  <si>
    <t>0.387</t>
  </si>
  <si>
    <t>0.182</t>
  </si>
  <si>
    <t>0.595</t>
  </si>
  <si>
    <t>0.6</t>
  </si>
  <si>
    <t>15.4639175257732</t>
  </si>
  <si>
    <t>0.949421965317919</t>
  </si>
  <si>
    <t>0.9494219653179189</t>
  </si>
  <si>
    <t>23.6886632825719</t>
  </si>
  <si>
    <t>0.7859589041095892</t>
  </si>
  <si>
    <t>0.7859589041095894</t>
  </si>
  <si>
    <t>1.96463654223969</t>
  </si>
  <si>
    <t>0.9367346938775514</t>
  </si>
  <si>
    <t>0.9367346938775512</t>
  </si>
  <si>
    <t>0.217</t>
  </si>
  <si>
    <t>4.0650406504065</t>
  </si>
  <si>
    <t>0.131</t>
  </si>
  <si>
    <t>9.11458333333333</t>
  </si>
  <si>
    <t>0.349</t>
  </si>
  <si>
    <t>0.6307339449541283</t>
  </si>
  <si>
    <t>0.6307339449541282</t>
  </si>
  <si>
    <t>21.9</t>
  </si>
  <si>
    <t>21.9435736677116</t>
  </si>
  <si>
    <t>0.9261904761904763</t>
  </si>
  <si>
    <t>0.9261904761904762</t>
  </si>
  <si>
    <t>0.34</t>
  </si>
  <si>
    <t>12.7</t>
  </si>
  <si>
    <t>12.6582278481013</t>
  </si>
  <si>
    <t>0.9046242774566473</t>
  </si>
  <si>
    <t>0.9046242774566471</t>
  </si>
  <si>
    <t>0.287</t>
  </si>
  <si>
    <t>31.5</t>
  </si>
  <si>
    <t>31.496062992126</t>
  </si>
  <si>
    <t>0.19656488549618328</t>
  </si>
  <si>
    <t>0.1965648854961833</t>
  </si>
  <si>
    <t>0.251</t>
  </si>
  <si>
    <t>0.637</t>
  </si>
  <si>
    <t>0.592</t>
  </si>
  <si>
    <t>0.575</t>
  </si>
  <si>
    <t>5.43478260869565</t>
  </si>
  <si>
    <t>0.9359673024523161</t>
  </si>
  <si>
    <t>0.935967302452316</t>
  </si>
  <si>
    <t>0.443</t>
  </si>
  <si>
    <t>0.247</t>
  </si>
  <si>
    <t>0.546</t>
  </si>
  <si>
    <t>7.9155672823219</t>
  </si>
  <si>
    <t>0.885302197802198</t>
  </si>
  <si>
    <t>0.8853021978021981</t>
  </si>
  <si>
    <t>0.205</t>
  </si>
  <si>
    <t>3.4965034965035</t>
  </si>
  <si>
    <t>0.448</t>
  </si>
  <si>
    <t>0.296</t>
  </si>
  <si>
    <t>11.1524163568773</t>
  </si>
  <si>
    <t>0.379</t>
  </si>
  <si>
    <t>0.327</t>
  </si>
  <si>
    <t>0.31</t>
  </si>
  <si>
    <t>20.3</t>
  </si>
  <si>
    <t>20.2558635394456</t>
  </si>
  <si>
    <t>0.272</t>
  </si>
  <si>
    <t>0.59</t>
  </si>
  <si>
    <t>11.8</t>
  </si>
  <si>
    <t>11.7762512266928</t>
  </si>
  <si>
    <t>0.596</t>
  </si>
  <si>
    <t>19.4</t>
  </si>
  <si>
    <t>19.3548387096774</t>
  </si>
  <si>
    <t>29.4</t>
  </si>
  <si>
    <t>29.4117647058824</t>
  </si>
  <si>
    <t>0.8042168674698796</t>
  </si>
  <si>
    <t>0.8042168674698797</t>
  </si>
  <si>
    <t>27.3</t>
  </si>
  <si>
    <t>27.2727272727273</t>
  </si>
  <si>
    <t>0.223</t>
  </si>
  <si>
    <t>0.608</t>
  </si>
  <si>
    <t>0.782</t>
  </si>
  <si>
    <t>0.8290598290598289</t>
  </si>
  <si>
    <t>0.8290598290598291</t>
  </si>
  <si>
    <t>0.38</t>
  </si>
  <si>
    <t>14.8514851485149</t>
  </si>
  <si>
    <t>0.347</t>
  </si>
  <si>
    <t>2.4</t>
  </si>
  <si>
    <t>2.4390243902439</t>
  </si>
  <si>
    <t>0.9232613908872902</t>
  </si>
  <si>
    <t>0.9232613908872903</t>
  </si>
  <si>
    <t>0.256</t>
  </si>
  <si>
    <t>27.5</t>
  </si>
  <si>
    <t>27.4599542334096</t>
  </si>
  <si>
    <t>0.9565217391304348</t>
  </si>
  <si>
    <t>0.9565217391304347</t>
  </si>
  <si>
    <t>0.391</t>
  </si>
  <si>
    <t>0.195</t>
  </si>
  <si>
    <t>10.351966873706</t>
  </si>
  <si>
    <t>0.145</t>
  </si>
  <si>
    <t>25.4</t>
  </si>
  <si>
    <t>25.3807106598985</t>
  </si>
  <si>
    <t>0.336</t>
  </si>
  <si>
    <t>11.090573012939</t>
  </si>
  <si>
    <t>0.8255467196819084</t>
  </si>
  <si>
    <t>0.8255467196819086</t>
  </si>
  <si>
    <t>11.7647058823529</t>
  </si>
  <si>
    <t>0.7381329113924052</t>
  </si>
  <si>
    <t>0.7381329113924053</t>
  </si>
  <si>
    <t>0.171</t>
  </si>
  <si>
    <t>18.5</t>
  </si>
  <si>
    <t>18.5185185185185</t>
  </si>
  <si>
    <t>0.594</t>
  </si>
  <si>
    <t>0.572</t>
  </si>
  <si>
    <t>0.337</t>
  </si>
  <si>
    <t>19.1082802547771</t>
  </si>
  <si>
    <t>0.8913043478260868</t>
  </si>
  <si>
    <t>0.8913043478260867</t>
  </si>
  <si>
    <t>0.601</t>
  </si>
  <si>
    <t>15</t>
  </si>
  <si>
    <t>15.0375939849624</t>
  </si>
  <si>
    <t>0.8499999999999996</t>
  </si>
  <si>
    <t>0.8499999999999998</t>
  </si>
  <si>
    <t>0.309</t>
  </si>
  <si>
    <t>14.3</t>
  </si>
  <si>
    <t>14.2857142857143</t>
  </si>
  <si>
    <t>0.9803149606299213</t>
  </si>
  <si>
    <t>0.9803149606299212</t>
  </si>
  <si>
    <t>0.7437499999999999</t>
  </si>
  <si>
    <t>0.74375</t>
  </si>
  <si>
    <t>19.2</t>
  </si>
  <si>
    <t>19.2307692307692</t>
  </si>
  <si>
    <t>0.828512396694215</t>
  </si>
  <si>
    <t>0.8285123966942148</t>
  </si>
  <si>
    <t>0.098</t>
  </si>
  <si>
    <t>34.5</t>
  </si>
  <si>
    <t>34.4827586206897</t>
  </si>
  <si>
    <t>0.8958333333333333</t>
  </si>
  <si>
    <t>0.8958333333333331</t>
  </si>
  <si>
    <t>0.215</t>
  </si>
  <si>
    <t>13.8</t>
  </si>
  <si>
    <t>13.8211382113821</t>
  </si>
  <si>
    <t>0.352</t>
  </si>
  <si>
    <t>4.149377593361</t>
  </si>
  <si>
    <t>0.561</t>
  </si>
  <si>
    <t>16.7</t>
  </si>
  <si>
    <t>16.7064439140811</t>
  </si>
  <si>
    <t>0.172</t>
  </si>
  <si>
    <t>12.3</t>
  </si>
  <si>
    <t>12.2950819672131</t>
  </si>
  <si>
    <t>0.35</t>
  </si>
  <si>
    <t>0.57</t>
  </si>
  <si>
    <t>12.6182965299685</t>
  </si>
  <si>
    <t>0.9326042726347915</t>
  </si>
  <si>
    <t>0.9326042726347914</t>
  </si>
  <si>
    <t>0.115</t>
  </si>
  <si>
    <t>0.558</t>
  </si>
  <si>
    <t>0.632</t>
  </si>
  <si>
    <t>0.291</t>
  </si>
  <si>
    <t>24.4</t>
  </si>
  <si>
    <t>24.390243902439</t>
  </si>
  <si>
    <t>23.7226277372263</t>
  </si>
  <si>
    <t>10.253389134218208</t>
  </si>
  <si>
    <t>Recalculada: população/área</t>
  </si>
  <si>
    <t>13.953488372093</t>
  </si>
  <si>
    <t>33.367161128264925</t>
  </si>
  <si>
    <t>6.96864111498258</t>
  </si>
  <si>
    <t>20.697760081387802</t>
  </si>
  <si>
    <t>0.29</t>
  </si>
  <si>
    <t>0.646</t>
  </si>
  <si>
    <t>15.7</t>
  </si>
  <si>
    <t>15.7194679564692</t>
  </si>
  <si>
    <t>0.803291536050157</t>
  </si>
  <si>
    <t>0.9167750325097527</t>
  </si>
  <si>
    <t>5.7</t>
  </si>
  <si>
    <t>0.188</t>
  </si>
  <si>
    <t>0.388</t>
  </si>
  <si>
    <t>16.1</t>
  </si>
  <si>
    <t>16.0734787600459</t>
  </si>
  <si>
    <t>0.643258426966292</t>
  </si>
  <si>
    <t>0.7743128964059198</t>
  </si>
  <si>
    <t>6.9</t>
  </si>
  <si>
    <t>0.467</t>
  </si>
  <si>
    <t>0.333</t>
  </si>
  <si>
    <t>25.6</t>
  </si>
  <si>
    <t>25.6410256410256</t>
  </si>
  <si>
    <t>0.8703479576399396</t>
  </si>
  <si>
    <t>0.8313253012048193</t>
  </si>
  <si>
    <t>0.318</t>
  </si>
  <si>
    <t>0.689903846153846</t>
  </si>
  <si>
    <t>0.384493670886076</t>
  </si>
  <si>
    <t>0.253</t>
  </si>
  <si>
    <t>0.568</t>
  </si>
  <si>
    <t>21.7</t>
  </si>
  <si>
    <t>21.7391304347826</t>
  </si>
  <si>
    <t>0.9167750325097528</t>
  </si>
  <si>
    <t>0.225</t>
  </si>
  <si>
    <t>0.619</t>
  </si>
  <si>
    <t>0.7743128964059197</t>
  </si>
  <si>
    <t>6.4</t>
  </si>
  <si>
    <t>6.44765121277249</t>
  </si>
  <si>
    <t>0.338</t>
  </si>
  <si>
    <t>23</t>
  </si>
  <si>
    <t>23.0414746543779</t>
  </si>
  <si>
    <t>0.38449367088607606</t>
  </si>
  <si>
    <t>0.8950704225352113</t>
  </si>
  <si>
    <t>0.8950704225352112</t>
  </si>
  <si>
    <t>11.8343195266272</t>
  </si>
  <si>
    <t>0.979895104895105</t>
  </si>
  <si>
    <t>0.9798951048951051</t>
  </si>
  <si>
    <t>20.2020202020202</t>
  </si>
  <si>
    <t>0.9707207207207207</t>
  </si>
  <si>
    <t>0.9707207207207208</t>
  </si>
  <si>
    <t>13</t>
  </si>
  <si>
    <t>12.9533678756477</t>
  </si>
  <si>
    <t>0.9403137789904503</t>
  </si>
  <si>
    <t>0.9403137789904502</t>
  </si>
  <si>
    <t>31.5315315315315</t>
  </si>
  <si>
    <t>0.9491150442477875</t>
  </si>
  <si>
    <t>0.9491150442477876</t>
  </si>
  <si>
    <t>11.572498298162</t>
  </si>
  <si>
    <t>0.8713310580204777</t>
  </si>
  <si>
    <t>0.8713310580204778</t>
  </si>
  <si>
    <t>12.8755364806867</t>
  </si>
  <si>
    <t>13.4</t>
  </si>
  <si>
    <t>13.4453781512605</t>
  </si>
  <si>
    <t>0.9586056644880175</t>
  </si>
  <si>
    <t>0.9586056644880174</t>
  </si>
  <si>
    <t>0.8977272727272727</t>
  </si>
  <si>
    <t>0.8977272727272728</t>
  </si>
  <si>
    <t>19.1570881226054</t>
  </si>
  <si>
    <t>31.3</t>
  </si>
  <si>
    <t>31.25</t>
  </si>
  <si>
    <t>0.9832361516034985</t>
  </si>
  <si>
    <t>0.9832361516034984</t>
  </si>
  <si>
    <t>10.0502512562814</t>
  </si>
  <si>
    <t>0.8411949685534592</t>
  </si>
  <si>
    <t>0.8411949685534591</t>
  </si>
  <si>
    <t>3.7</t>
  </si>
  <si>
    <t>3.66300366300366</t>
  </si>
  <si>
    <t>0.9074803149606301</t>
  </si>
  <si>
    <t>0.9074803149606302</t>
  </si>
  <si>
    <t>4.00801603206413</t>
  </si>
  <si>
    <t>7.1</t>
  </si>
  <si>
    <t>7.09939148073022</t>
  </si>
  <si>
    <t>Código IBGE de DADOS/dadosetc.xlsx</t>
  </si>
  <si>
    <t>0.298</t>
  </si>
  <si>
    <t>0.2286</t>
  </si>
  <si>
    <t>0.6686046511627906</t>
  </si>
  <si>
    <t>0.5352</t>
  </si>
  <si>
    <t>0.17059999999999997</t>
  </si>
  <si>
    <t>0.571</t>
  </si>
  <si>
    <t>0.3191</t>
  </si>
  <si>
    <t>0.49920000000000003</t>
  </si>
  <si>
    <t>0.2979</t>
  </si>
  <si>
    <t>0.8752220248667852</t>
  </si>
  <si>
    <t>0.5760000000000001</t>
  </si>
  <si>
    <t>0.461</t>
  </si>
  <si>
    <t>0.218</t>
  </si>
  <si>
    <t>0.3614</t>
  </si>
  <si>
    <t>0.922554347826087</t>
  </si>
  <si>
    <t>0.5807</t>
  </si>
  <si>
    <t>0.357</t>
  </si>
  <si>
    <t>0.474</t>
  </si>
  <si>
    <t>0.22920000000000001</t>
  </si>
  <si>
    <t>0.9793388429752065</t>
  </si>
  <si>
    <t>0.5411</t>
  </si>
  <si>
    <t>0.116</t>
  </si>
  <si>
    <t>0.326</t>
  </si>
  <si>
    <t>0.5023</t>
  </si>
  <si>
    <t>0.455</t>
  </si>
  <si>
    <t>0.8097222222222222</t>
  </si>
  <si>
    <t>0.6036</t>
  </si>
  <si>
    <t>0.547</t>
  </si>
  <si>
    <t>0.40340000000000004</t>
  </si>
  <si>
    <t>0.5927</t>
  </si>
  <si>
    <t>0.2928</t>
  </si>
  <si>
    <t>1.0651041666666674</t>
  </si>
  <si>
    <t>0.5133</t>
  </si>
  <si>
    <t>0.3212</t>
  </si>
  <si>
    <t>0.9671052631578948</t>
  </si>
  <si>
    <t>0.6074</t>
  </si>
  <si>
    <t>0.10830000000000001</t>
  </si>
  <si>
    <t>0.5733</t>
  </si>
  <si>
    <t>0.17420000000000002</t>
  </si>
  <si>
    <t>0.40049999999999997</t>
  </si>
  <si>
    <t>0.26239999999999997</t>
  </si>
  <si>
    <t>0.5998</t>
  </si>
  <si>
    <t>0.3871</t>
  </si>
  <si>
    <t>0.4064</t>
  </si>
  <si>
    <t>0.846794871794872</t>
  </si>
  <si>
    <t>0.6109</t>
  </si>
  <si>
    <t>0.2704</t>
  </si>
  <si>
    <t>0.7914110429447853</t>
  </si>
  <si>
    <t>0.2275</t>
  </si>
  <si>
    <t>0.9916666666666667</t>
  </si>
  <si>
    <t>0.6206</t>
  </si>
  <si>
    <t>0.3139</t>
  </si>
  <si>
    <t>0.8522727272727275</t>
  </si>
  <si>
    <t>0.4815</t>
  </si>
  <si>
    <t>0.2757</t>
  </si>
  <si>
    <t>0.5608</t>
  </si>
  <si>
    <t>0.21109999999999998</t>
  </si>
  <si>
    <t>0.3261</t>
  </si>
  <si>
    <t>0.9389312977099238</t>
  </si>
  <si>
    <t>0.49439999999999995</t>
  </si>
  <si>
    <t>0.1297</t>
  </si>
  <si>
    <t>0.8700169635284137</t>
  </si>
  <si>
    <t>0.5115</t>
  </si>
  <si>
    <t>0.671135646687697</t>
  </si>
  <si>
    <t>0.49560000000000004</t>
  </si>
  <si>
    <t>0.2663</t>
  </si>
  <si>
    <t>0.5156000000000001</t>
  </si>
  <si>
    <t>0.3951</t>
  </si>
  <si>
    <t>0.5105</t>
  </si>
  <si>
    <t>0.1989</t>
  </si>
  <si>
    <t>0.5276</t>
  </si>
  <si>
    <t>0.25429999999999997</t>
  </si>
  <si>
    <t>0.5440999999999999</t>
  </si>
  <si>
    <t>0.3489</t>
  </si>
  <si>
    <t>0.6302</t>
  </si>
  <si>
    <t>0.3636</t>
  </si>
  <si>
    <t>0.757</t>
  </si>
  <si>
    <t>0.1536</t>
  </si>
  <si>
    <t>0.5033</t>
  </si>
  <si>
    <t>0.2851</t>
  </si>
  <si>
    <t>0.8391933815925543</t>
  </si>
  <si>
    <t>0.9675</t>
  </si>
  <si>
    <t>0.2902</t>
  </si>
  <si>
    <t>0.9228650137741048</t>
  </si>
  <si>
    <t>0.47350000000000003</t>
  </si>
  <si>
    <t>0.3056</t>
  </si>
  <si>
    <t>0.5515</t>
  </si>
  <si>
    <t>0.35850000000000004</t>
  </si>
  <si>
    <t>20</t>
  </si>
  <si>
    <t>0.9604166666666667</t>
  </si>
  <si>
    <t>0.5214</t>
  </si>
  <si>
    <t>0.2969</t>
  </si>
  <si>
    <t>0.615625</t>
  </si>
  <si>
    <t>0.7670999999999999</t>
  </si>
  <si>
    <t>0.227</t>
  </si>
  <si>
    <t>0.3086</t>
  </si>
  <si>
    <t>0.5172</t>
  </si>
  <si>
    <t>0.3175</t>
  </si>
  <si>
    <t>0.48340000000000005</t>
  </si>
  <si>
    <t>0.3342</t>
  </si>
  <si>
    <t>0.8215962441314555</t>
  </si>
  <si>
    <t>0.3325</t>
  </si>
  <si>
    <t>0.8531598513011153</t>
  </si>
  <si>
    <t>0.5268999999999999</t>
  </si>
  <si>
    <t>0.1602</t>
  </si>
  <si>
    <t>0.6777168494516452</t>
  </si>
  <si>
    <t>0.2288</t>
  </si>
  <si>
    <t>0.835185185185185</t>
  </si>
  <si>
    <t>0.5307999999999999</t>
  </si>
  <si>
    <t>0.3235</t>
  </si>
  <si>
    <t>0.5423</t>
  </si>
  <si>
    <t>0.1042</t>
  </si>
  <si>
    <t>0.6817428150331613</t>
  </si>
  <si>
    <t>0.5149</t>
  </si>
  <si>
    <t>0.2666</t>
  </si>
  <si>
    <t>0.916958041958042</t>
  </si>
  <si>
    <t>0.6936</t>
  </si>
  <si>
    <t>0.34020000000000006</t>
  </si>
  <si>
    <t>0.45840000000000003</t>
  </si>
  <si>
    <t>0.20199999999999999</t>
  </si>
  <si>
    <t>0.5164</t>
  </si>
  <si>
    <t>0.3531</t>
  </si>
  <si>
    <t>0.960820895522388</t>
  </si>
  <si>
    <t>0.5061</t>
  </si>
  <si>
    <t>0.2255</t>
  </si>
  <si>
    <t>0.5878</t>
  </si>
  <si>
    <t>0.1105</t>
  </si>
  <si>
    <t>0.8285781103835359</t>
  </si>
  <si>
    <t>0.5006</t>
  </si>
  <si>
    <t>0.4567</t>
  </si>
  <si>
    <t>0.5378000000000001</t>
  </si>
  <si>
    <t>0.3016</t>
  </si>
  <si>
    <t>0.9896844660194175</t>
  </si>
  <si>
    <t>0.7226</t>
  </si>
  <si>
    <t>0.34630000000000005</t>
  </si>
  <si>
    <t>0.5264</t>
  </si>
  <si>
    <t>0.2595</t>
  </si>
  <si>
    <t>0.812</t>
  </si>
  <si>
    <t>0.0824</t>
  </si>
  <si>
    <t>0.6286999999999999</t>
  </si>
  <si>
    <t>0.8971774193548387</t>
  </si>
  <si>
    <t>0.5447</t>
  </si>
  <si>
    <t>0.1265</t>
  </si>
  <si>
    <t>0.5357</t>
  </si>
  <si>
    <t>0.0546</t>
  </si>
  <si>
    <t>0.8196797211177079</t>
  </si>
  <si>
    <t>0.6256</t>
  </si>
  <si>
    <t>0.22640000000000002</t>
  </si>
  <si>
    <t>0.5065</t>
  </si>
  <si>
    <t>0.2754</t>
  </si>
  <si>
    <t>0.5817</t>
  </si>
  <si>
    <t>0.2597</t>
  </si>
  <si>
    <t>0.7827102803738317</t>
  </si>
  <si>
    <t>0.5109</t>
  </si>
  <si>
    <t>0.42579999999999996</t>
  </si>
  <si>
    <t>0.6533</t>
  </si>
  <si>
    <t>0.47490000000000004</t>
  </si>
  <si>
    <t>0.5239</t>
  </si>
  <si>
    <t>0.3169</t>
  </si>
  <si>
    <t>0.5489999999999999</t>
  </si>
  <si>
    <t>0.1858</t>
  </si>
  <si>
    <t>0.5492</t>
  </si>
  <si>
    <t>0.21489999999999998</t>
  </si>
  <si>
    <t>0.8724489795918368</t>
  </si>
  <si>
    <t>0.6774</t>
  </si>
  <si>
    <t>0.265</t>
  </si>
  <si>
    <t>0.9900735294117647</t>
  </si>
  <si>
    <t>0.47159999999999996</t>
  </si>
  <si>
    <t>0.1246</t>
  </si>
  <si>
    <t>0.9318181818181818</t>
  </si>
  <si>
    <t>0.5444</t>
  </si>
  <si>
    <t>0.2875</t>
  </si>
  <si>
    <t>0.923170731707317</t>
  </si>
  <si>
    <t>0.7088</t>
  </si>
  <si>
    <t>0.091</t>
  </si>
  <si>
    <t>0.6096</t>
  </si>
  <si>
    <t>0.6295336787564765</t>
  </si>
  <si>
    <t>0.5996</t>
  </si>
  <si>
    <t>0.2248</t>
  </si>
  <si>
    <t>0.861271676300578</t>
  </si>
  <si>
    <t>0.5072</t>
  </si>
  <si>
    <t>0.35200000000000004</t>
  </si>
  <si>
    <t>0.5458</t>
  </si>
  <si>
    <t>0.19820000000000002</t>
  </si>
  <si>
    <t>0.5232</t>
  </si>
  <si>
    <t>0.2709</t>
  </si>
  <si>
    <t>0.6009</t>
  </si>
  <si>
    <t>0.13140000000000002</t>
  </si>
  <si>
    <t>0.8038</t>
  </si>
  <si>
    <t>0.27899999999999997</t>
  </si>
  <si>
    <t>0.6178</t>
  </si>
  <si>
    <t>0.41409999999999997</t>
  </si>
  <si>
    <t>0.9155629139072847</t>
  </si>
  <si>
    <t>0.5318</t>
  </si>
  <si>
    <t>0.2414</t>
  </si>
  <si>
    <t>0.9477848101265822</t>
  </si>
  <si>
    <t>0.5331</t>
  </si>
  <si>
    <t>0.2429</t>
  </si>
  <si>
    <t>0.5042</t>
  </si>
  <si>
    <t>0.7932989690721651</t>
  </si>
  <si>
    <t>0.6169</t>
  </si>
  <si>
    <t>0.2345</t>
  </si>
  <si>
    <t>0.5602</t>
  </si>
  <si>
    <t>0.35869999999999996</t>
  </si>
  <si>
    <t>0.5153</t>
  </si>
  <si>
    <t>0.1576</t>
  </si>
  <si>
    <t>0.4953</t>
  </si>
  <si>
    <t>0.1263</t>
  </si>
  <si>
    <t>0.2563</t>
  </si>
  <si>
    <t>0.8954293628808863</t>
  </si>
  <si>
    <t>0.46520000000000006</t>
  </si>
  <si>
    <t>0.28859999999999997</t>
  </si>
  <si>
    <t>0.994177403369673</t>
  </si>
  <si>
    <t>0.4879</t>
  </si>
  <si>
    <t>0.3674</t>
  </si>
  <si>
    <t>0.36329999999999996</t>
  </si>
  <si>
    <t>0.5387</t>
  </si>
  <si>
    <t>0.3998</t>
  </si>
  <si>
    <t>0.6295000000000001</t>
  </si>
  <si>
    <t>0.8737</t>
  </si>
  <si>
    <t>0.18170000000000003</t>
  </si>
  <si>
    <t>0.9397810218978102</t>
  </si>
  <si>
    <t>0.2034</t>
  </si>
  <si>
    <t>0.5183</t>
  </si>
  <si>
    <t>0.18899999999999997</t>
  </si>
  <si>
    <t>0.8910098522167488</t>
  </si>
  <si>
    <t>0.6388</t>
  </si>
  <si>
    <t>0.29960000000000003</t>
  </si>
  <si>
    <t>0.6159090909090907</t>
  </si>
  <si>
    <t>0.2457</t>
  </si>
  <si>
    <t>16</t>
  </si>
  <si>
    <t>0.916030534351145</t>
  </si>
  <si>
    <t>0.3638</t>
  </si>
  <si>
    <t>0.21780000000000002</t>
  </si>
  <si>
    <t>0.42719999999999997</t>
  </si>
  <si>
    <t>0.0964</t>
  </si>
  <si>
    <t>0.5511</t>
  </si>
  <si>
    <t>0.2774</t>
  </si>
  <si>
    <t>0.5363</t>
  </si>
  <si>
    <t>0.314</t>
  </si>
  <si>
    <t>0.7193</t>
  </si>
  <si>
    <t>0.1048</t>
  </si>
  <si>
    <t>0.7559899117276164</t>
  </si>
  <si>
    <t>0.6958</t>
  </si>
  <si>
    <t>0.721</t>
  </si>
  <si>
    <t>0.0705</t>
  </si>
  <si>
    <t>0.6475678733031672</t>
  </si>
  <si>
    <t>0.1195</t>
  </si>
  <si>
    <t>0.5907</t>
  </si>
  <si>
    <t>0.2376</t>
  </si>
  <si>
    <t>0.9724489795918367</t>
  </si>
  <si>
    <t>0.5445</t>
  </si>
  <si>
    <t>0.37549999999999994</t>
  </si>
  <si>
    <t>0.8940397350993375</t>
  </si>
  <si>
    <t>0.5392</t>
  </si>
  <si>
    <t>0.2309</t>
  </si>
  <si>
    <t>0.8538533834586466</t>
  </si>
  <si>
    <t>0.5759000000000001</t>
  </si>
  <si>
    <t>0.32880000000000004</t>
  </si>
  <si>
    <t>0.44939999999999997</t>
  </si>
  <si>
    <t>0.1943</t>
  </si>
  <si>
    <t>0.9599056603773585</t>
  </si>
  <si>
    <t>0.5257000000000001</t>
  </si>
  <si>
    <t>0.5302</t>
  </si>
  <si>
    <t>0.2569</t>
  </si>
  <si>
    <t>0.9673202614379085</t>
  </si>
  <si>
    <t>0.5856</t>
  </si>
  <si>
    <t>0.44880000000000003</t>
  </si>
  <si>
    <t>0.5349</t>
  </si>
  <si>
    <t>0.2266</t>
  </si>
  <si>
    <t>0.5351</t>
  </si>
  <si>
    <t>0.3292</t>
  </si>
  <si>
    <t>0.5489</t>
  </si>
  <si>
    <t>0.3398</t>
  </si>
  <si>
    <t>0.9341517857142858</t>
  </si>
  <si>
    <t>0.5468999999999999</t>
  </si>
  <si>
    <t>0.2364</t>
  </si>
  <si>
    <t>0.8327814569536425</t>
  </si>
  <si>
    <t>0.5568</t>
  </si>
  <si>
    <t>0.5191</t>
  </si>
  <si>
    <t>0.3796</t>
  </si>
  <si>
    <t>0.3575</t>
  </si>
  <si>
    <t>0.5454</t>
  </si>
  <si>
    <t>0.2983</t>
  </si>
  <si>
    <t>0.2783</t>
  </si>
  <si>
    <t>0.5622710622710625</t>
  </si>
  <si>
    <t>0.5181</t>
  </si>
  <si>
    <t>0.24</t>
  </si>
  <si>
    <t>0.5049</t>
  </si>
  <si>
    <t>0.4131</t>
  </si>
  <si>
    <t>0.5179</t>
  </si>
  <si>
    <t>0.3308</t>
  </si>
  <si>
    <t>0.9283216783216782</t>
  </si>
  <si>
    <t>0.5719</t>
  </si>
  <si>
    <t>0.2089</t>
  </si>
  <si>
    <t>0.9821428571428572</t>
  </si>
  <si>
    <t>0.4201</t>
  </si>
  <si>
    <t>0.12619999999999998</t>
  </si>
  <si>
    <t>0.650933040614709</t>
  </si>
  <si>
    <t>0.33770000000000006</t>
  </si>
  <si>
    <t>0.0805</t>
  </si>
  <si>
    <t>0.7452689243027888</t>
  </si>
  <si>
    <t>0.5583</t>
  </si>
  <si>
    <t>0.1936</t>
  </si>
  <si>
    <t>0.961038961038961</t>
  </si>
  <si>
    <t>0.2195</t>
  </si>
  <si>
    <t>0.5962</t>
  </si>
  <si>
    <t>0.1963</t>
  </si>
  <si>
    <t>0.6383</t>
  </si>
  <si>
    <t>0.2571</t>
  </si>
  <si>
    <t>0.4048</t>
  </si>
  <si>
    <t>0.1978</t>
  </si>
  <si>
    <t>0.7040895061728395</t>
  </si>
  <si>
    <t>0.5267000000000001</t>
  </si>
  <si>
    <t>0.2011</t>
  </si>
  <si>
    <t>0.6011</t>
  </si>
  <si>
    <t>0.3182</t>
  </si>
  <si>
    <t>0.5939490445859875</t>
  </si>
  <si>
    <t>0.47859999999999997</t>
  </si>
  <si>
    <t>0.3454</t>
  </si>
  <si>
    <t>0.6312</t>
  </si>
  <si>
    <t>0.3017</t>
  </si>
  <si>
    <t>0.7017790262172285</t>
  </si>
  <si>
    <t>0.22089999999999999</t>
  </si>
  <si>
    <t>0.9819277108433735</t>
  </si>
  <si>
    <t>0.6053000000000001</t>
  </si>
  <si>
    <t>0.2641</t>
  </si>
  <si>
    <t>0.623</t>
  </si>
  <si>
    <t>0.38189999999999996</t>
  </si>
  <si>
    <t>0.928763440860215</t>
  </si>
  <si>
    <t>0.5606</t>
  </si>
  <si>
    <t>0.13970000000000002</t>
  </si>
  <si>
    <t>0.6451</t>
  </si>
  <si>
    <t>0.30079999999999996</t>
  </si>
  <si>
    <t>0.5778</t>
  </si>
  <si>
    <t>0.3479</t>
  </si>
  <si>
    <t>0.9866071428571428</t>
  </si>
  <si>
    <t>0.5132</t>
  </si>
  <si>
    <t>0.3751</t>
  </si>
  <si>
    <t>0.6937000000000001</t>
  </si>
  <si>
    <t>0.2948</t>
  </si>
  <si>
    <t>0.6579999999999999</t>
  </si>
  <si>
    <t>0.5727</t>
  </si>
  <si>
    <t>0.2842</t>
  </si>
  <si>
    <t>0.9601999999999999</t>
  </si>
  <si>
    <t>0.3836</t>
  </si>
  <si>
    <t>0.5694</t>
  </si>
  <si>
    <t>0.20829999999999999</t>
  </si>
  <si>
    <t>0.7073450650344297</t>
  </si>
  <si>
    <t>0.5078</t>
  </si>
  <si>
    <t>0.3091</t>
  </si>
  <si>
    <t>0.5433</t>
  </si>
  <si>
    <t>0.2375</t>
  </si>
  <si>
    <t>0.898871119473189</t>
  </si>
  <si>
    <t>0.9005</t>
  </si>
  <si>
    <t>0.1825</t>
  </si>
  <si>
    <t>0.9280442804428045</t>
  </si>
  <si>
    <t>0.8349</t>
  </si>
  <si>
    <t>0.2207</t>
  </si>
  <si>
    <t>0.8462469733656173</t>
  </si>
  <si>
    <t>0.7592</t>
  </si>
  <si>
    <t>0.45531914893617</t>
  </si>
  <si>
    <t>0.4722</t>
  </si>
  <si>
    <t>0.1047</t>
  </si>
  <si>
    <t>0.5019</t>
  </si>
  <si>
    <t>0.3309</t>
  </si>
  <si>
    <t>0.951657458563536</t>
  </si>
  <si>
    <t>0.3688</t>
  </si>
  <si>
    <t>0.9354243542435425</t>
  </si>
  <si>
    <t>0.5336</t>
  </si>
  <si>
    <t>0.249</t>
  </si>
  <si>
    <t>0.6179</t>
  </si>
  <si>
    <t>0.1752</t>
  </si>
  <si>
    <t>0.5456</t>
  </si>
  <si>
    <t>0.1637</t>
  </si>
  <si>
    <t>0.6122</t>
  </si>
  <si>
    <t>0.2396</t>
  </si>
  <si>
    <t>0.5074000000000001</t>
  </si>
  <si>
    <t>0.5144</t>
  </si>
  <si>
    <t>0.1184</t>
  </si>
  <si>
    <t>0.5343</t>
  </si>
  <si>
    <t>0.261</t>
  </si>
  <si>
    <t>0.5478000000000001</t>
  </si>
  <si>
    <t>0.1709</t>
  </si>
  <si>
    <t>0.5097999999999999</t>
  </si>
  <si>
    <t>0.368</t>
  </si>
  <si>
    <t>0.5367000000000001</t>
  </si>
  <si>
    <t>0.3533</t>
  </si>
  <si>
    <t>0.5014</t>
  </si>
  <si>
    <t>0.2606</t>
  </si>
  <si>
    <t>0.5409</t>
  </si>
  <si>
    <t>0.3343</t>
  </si>
  <si>
    <t>0.4987</t>
  </si>
  <si>
    <t>0.1801</t>
  </si>
  <si>
    <t>0.35700000000000004</t>
  </si>
  <si>
    <t>0.9561824729891957</t>
  </si>
  <si>
    <t>0.4511</t>
  </si>
  <si>
    <t>0.8380149812734082</t>
  </si>
  <si>
    <t>0.5347</t>
  </si>
  <si>
    <t>0.1656</t>
  </si>
  <si>
    <t>0.5004</t>
  </si>
  <si>
    <t>0.3109</t>
  </si>
  <si>
    <t>0.5129</t>
  </si>
  <si>
    <t>0.33409999999999995</t>
  </si>
  <si>
    <t>0.6432481751824817</t>
  </si>
  <si>
    <t>0.7646999999999999</t>
  </si>
  <si>
    <t>0.2426</t>
  </si>
  <si>
    <t>0.5763</t>
  </si>
  <si>
    <t>0.2912</t>
  </si>
  <si>
    <t>0.9460470085470085</t>
  </si>
  <si>
    <t>0.5593</t>
  </si>
  <si>
    <t>0.4011</t>
  </si>
  <si>
    <t>0.9602150537634409</t>
  </si>
  <si>
    <t>Taxa de letalidade (mortes/confirmados)</t>
  </si>
  <si>
    <t>Razão entre óbitos e casos confirmados de COVID-19 até 31/07/2020.</t>
  </si>
  <si>
    <t>Razão entre a população rural e a população total.</t>
  </si>
  <si>
    <t>7393963.15</t>
  </si>
  <si>
    <t>62997044.8155406</t>
  </si>
  <si>
    <t>desp.saude: valor absoluto / população × 100.000 habitantes</t>
  </si>
  <si>
    <t>10204397.27</t>
  </si>
  <si>
    <t>86942125.5005538</t>
  </si>
  <si>
    <t>desp.educ: valor absoluto / população × 100.000 habitantes</t>
  </si>
  <si>
    <t>10135228.73</t>
  </si>
  <si>
    <t>67889535.33391386</t>
  </si>
  <si>
    <t>13506482.58</t>
  </si>
  <si>
    <t>90471448.72396007</t>
  </si>
  <si>
    <t>32870892.88</t>
  </si>
  <si>
    <t>52475044.90669051</t>
  </si>
  <si>
    <t>55522541.58</t>
  </si>
  <si>
    <t>88636103.47855239</t>
  </si>
  <si>
    <t>25240044.66</t>
  </si>
  <si>
    <t>46508282.03427308</t>
  </si>
  <si>
    <t>51382309.69</t>
  </si>
  <si>
    <t>94679030.20084761</t>
  </si>
  <si>
    <t>10441180.22</t>
  </si>
  <si>
    <t>60010231.73745618</t>
  </si>
  <si>
    <t>18846737.55</t>
  </si>
  <si>
    <t>108320808.95453762</t>
  </si>
  <si>
    <t>6825085.88</t>
  </si>
  <si>
    <t>58264349.32559331</t>
  </si>
  <si>
    <t>11945887.17</t>
  </si>
  <si>
    <t>101979572.90421717</t>
  </si>
  <si>
    <t>5452204.76</t>
  </si>
  <si>
    <t>71871931.97996308</t>
  </si>
  <si>
    <t>9344699.1</t>
  </si>
  <si>
    <t>123183484.04956499</t>
  </si>
  <si>
    <t>12075802.63</t>
  </si>
  <si>
    <t>70429269.9755045</t>
  </si>
  <si>
    <t>14104228.71</t>
  </si>
  <si>
    <t>82259586.55079903</t>
  </si>
  <si>
    <t>21957679.06</t>
  </si>
  <si>
    <t>50533183.88106416</t>
  </si>
  <si>
    <t>43935204.65</t>
  </si>
  <si>
    <t>101112042.36859062</t>
  </si>
  <si>
    <t>2934517.96</t>
  </si>
  <si>
    <t>39909124.98300014</t>
  </si>
  <si>
    <t>6644205.71</t>
  </si>
  <si>
    <t>90360474.77220182</t>
  </si>
  <si>
    <t>9433434.74</t>
  </si>
  <si>
    <t>64612566.71232877</t>
  </si>
  <si>
    <t>13971273.92</t>
  </si>
  <si>
    <t>95693656.98630136</t>
  </si>
  <si>
    <t>53143457.16</t>
  </si>
  <si>
    <t>66205051.836902484</t>
  </si>
  <si>
    <t>79603415.24</t>
  </si>
  <si>
    <t>99168336.31074734</t>
  </si>
  <si>
    <t>50725804.58</t>
  </si>
  <si>
    <t>68045400.32462741</t>
  </si>
  <si>
    <t>59091348.42</t>
  </si>
  <si>
    <t>79267238.6816371</t>
  </si>
  <si>
    <t>23319768.76</t>
  </si>
  <si>
    <t>88102190.3358646</t>
  </si>
  <si>
    <t>23799426.3</t>
  </si>
  <si>
    <t>89914338.66031961</t>
  </si>
  <si>
    <t>7414579.33</t>
  </si>
  <si>
    <t>67805938.08870599</t>
  </si>
  <si>
    <t>11832708.57</t>
  </si>
  <si>
    <t>108209497.66803843</t>
  </si>
  <si>
    <t>14434920.53</t>
  </si>
  <si>
    <t>66828335.78703703</t>
  </si>
  <si>
    <t>34099995.98</t>
  </si>
  <si>
    <t>157870351.75925922</t>
  </si>
  <si>
    <t>10237304.55</t>
  </si>
  <si>
    <t>86412632.31197773</t>
  </si>
  <si>
    <t>24960945.3</t>
  </si>
  <si>
    <t>210694228.9187136</t>
  </si>
  <si>
    <t>6586735.01</t>
  </si>
  <si>
    <t>84014477.16836734</t>
  </si>
  <si>
    <t>8475862.92</t>
  </si>
  <si>
    <t>108110496.42857142</t>
  </si>
  <si>
    <t>12103599.98</t>
  </si>
  <si>
    <t>51687235.68347782</t>
  </si>
  <si>
    <t>20131928.78</t>
  </si>
  <si>
    <t>85971425.80176795</t>
  </si>
  <si>
    <t>15881802.28</t>
  </si>
  <si>
    <t>64418764.82518049</t>
  </si>
  <si>
    <t>18341450.64</t>
  </si>
  <si>
    <t>74395435.38573863</t>
  </si>
  <si>
    <t>5596018.36</t>
  </si>
  <si>
    <t>88995202.92620865</t>
  </si>
  <si>
    <t>11529583.34</t>
  </si>
  <si>
    <t>183358513.6768448</t>
  </si>
  <si>
    <t>12836816.2</t>
  </si>
  <si>
    <t>70543585.2063527</t>
  </si>
  <si>
    <t>18403817.83</t>
  </si>
  <si>
    <t>101136549.04654612</t>
  </si>
  <si>
    <t>120641997.7</t>
  </si>
  <si>
    <t>198486365.3115283</t>
  </si>
  <si>
    <t>63800940.49</t>
  </si>
  <si>
    <t>104968560.05988714</t>
  </si>
  <si>
    <t>13810675.62</t>
  </si>
  <si>
    <t>61586067.42474916</t>
  </si>
  <si>
    <t>21598315.81</t>
  </si>
  <si>
    <t>96313559.91081382</t>
  </si>
  <si>
    <t>12529612.03</t>
  </si>
  <si>
    <t>55245202.95414462</t>
  </si>
  <si>
    <t>16625353.34</t>
  </si>
  <si>
    <t>73304027.0723104</t>
  </si>
  <si>
    <t>10092727.72</t>
  </si>
  <si>
    <t>67208681.62748885</t>
  </si>
  <si>
    <t>15628507.72</t>
  </si>
  <si>
    <t>104072103.08317243</t>
  </si>
  <si>
    <t>27089504</t>
  </si>
  <si>
    <t>75774836.36363636</t>
  </si>
  <si>
    <t>23121622.26</t>
  </si>
  <si>
    <t>64675866.461538464</t>
  </si>
  <si>
    <t>23763897.5</t>
  </si>
  <si>
    <t>44357974.16609113</t>
  </si>
  <si>
    <t>43026147.27</t>
  </si>
  <si>
    <t>80313119.0525078</t>
  </si>
  <si>
    <t>15004127.86</t>
  </si>
  <si>
    <t>46037641.86431837</t>
  </si>
  <si>
    <t>29205287.05</t>
  </si>
  <si>
    <t>89611509.46580344</t>
  </si>
  <si>
    <t>23711455.53</t>
  </si>
  <si>
    <t>43531219.99265651</t>
  </si>
  <si>
    <t>40447262</t>
  </si>
  <si>
    <t>74256034.5144116</t>
  </si>
  <si>
    <t>41620328.74</t>
  </si>
  <si>
    <t>84120558.5221416</t>
  </si>
  <si>
    <t>42160478.94</t>
  </si>
  <si>
    <t>85212278.31113446</t>
  </si>
  <si>
    <t>74030808.04</t>
  </si>
  <si>
    <t>116289106.42308478</t>
  </si>
  <si>
    <t>57581674.39</t>
  </si>
  <si>
    <t>90450471.07334161</t>
  </si>
  <si>
    <t>14837650.76</t>
  </si>
  <si>
    <t>54100673.66732297</t>
  </si>
  <si>
    <t>22146299.58</t>
  </si>
  <si>
    <t>80749287.4644498</t>
  </si>
  <si>
    <t>47244574.12</t>
  </si>
  <si>
    <t>61358980.3758588</t>
  </si>
  <si>
    <t>62440770.28</t>
  </si>
  <si>
    <t>81095069.00268842</t>
  </si>
  <si>
    <t>11983770.47</t>
  </si>
  <si>
    <t>67559874.11207578</t>
  </si>
  <si>
    <t>16125648.27</t>
  </si>
  <si>
    <t>90910183.05333184</t>
  </si>
  <si>
    <t>10972318.97</t>
  </si>
  <si>
    <t>48664207.965583004</t>
  </si>
  <si>
    <t>19331286.49</t>
  </si>
  <si>
    <t>85737732.24819267</t>
  </si>
  <si>
    <t>14025536.64</t>
  </si>
  <si>
    <t>76027410.23417172</t>
  </si>
  <si>
    <t>17352063.25</t>
  </si>
  <si>
    <t>94059319.4384215</t>
  </si>
  <si>
    <t>17873214.64</t>
  </si>
  <si>
    <t>66283013.684405714</t>
  </si>
  <si>
    <t>23791153.11</t>
  </si>
  <si>
    <t>88229753.79195254</t>
  </si>
  <si>
    <t>15867862.57</t>
  </si>
  <si>
    <t>84859417.99026686</t>
  </si>
  <si>
    <t>12629203.3</t>
  </si>
  <si>
    <t>67539458.25979999</t>
  </si>
  <si>
    <t>12942059.74</t>
  </si>
  <si>
    <t>73509370.32829718</t>
  </si>
  <si>
    <t>16876296.38</t>
  </si>
  <si>
    <t>95855369.64671135</t>
  </si>
  <si>
    <t>42706078.21</t>
  </si>
  <si>
    <t>59526473.955647245</t>
  </si>
  <si>
    <t>54816803.91</t>
  </si>
  <si>
    <t>76407181.06296085</t>
  </si>
  <si>
    <t>12259632.34</t>
  </si>
  <si>
    <t>59230999.80674461</t>
  </si>
  <si>
    <t>17269090.1</t>
  </si>
  <si>
    <t>83433617.25770606</t>
  </si>
  <si>
    <t>7990068.31</t>
  </si>
  <si>
    <t>77258444.30477664</t>
  </si>
  <si>
    <t>14407777.43</t>
  </si>
  <si>
    <t>139313260.78128022</t>
  </si>
  <si>
    <t>177944043.1</t>
  </si>
  <si>
    <t>49237421.99778639</t>
  </si>
  <si>
    <t>244948569.7</t>
  </si>
  <si>
    <t>67777689.45766464</t>
  </si>
  <si>
    <t>15035676.29</t>
  </si>
  <si>
    <t>58831929.76483938</t>
  </si>
  <si>
    <t>20474014.29</t>
  </si>
  <si>
    <t>80111180.06808311</t>
  </si>
  <si>
    <t>7324846.9</t>
  </si>
  <si>
    <t>56047493.30476701</t>
  </si>
  <si>
    <t>12457069.48</t>
  </si>
  <si>
    <t>95317694.39130768</t>
  </si>
  <si>
    <t>7916575.13</t>
  </si>
  <si>
    <t>58550219.14059611</t>
  </si>
  <si>
    <t>12474751.53</t>
  </si>
  <si>
    <t>92262048.14732638</t>
  </si>
  <si>
    <t>10888660.21</t>
  </si>
  <si>
    <t>53734012.090406634</t>
  </si>
  <si>
    <t>22949899.76</t>
  </si>
  <si>
    <t>113254538.88669562</t>
  </si>
  <si>
    <t>13017683.51</t>
  </si>
  <si>
    <t>56265921.11860304</t>
  </si>
  <si>
    <t>21159903.07</t>
  </si>
  <si>
    <t>91458778.82952975</t>
  </si>
  <si>
    <t>56710705.43</t>
  </si>
  <si>
    <t>75539741.36185631</t>
  </si>
  <si>
    <t>55321070.8</t>
  </si>
  <si>
    <t>73688721.52809228</t>
  </si>
  <si>
    <t>92586619.29</t>
  </si>
  <si>
    <t>70076080.08446676</t>
  </si>
  <si>
    <t>78197809.58</t>
  </si>
  <si>
    <t>59185614.60154552</t>
  </si>
  <si>
    <t>11295186.24</t>
  </si>
  <si>
    <t>62532172.06444112</t>
  </si>
  <si>
    <t>18320005.83</t>
  </si>
  <si>
    <t>101422830.26075402</t>
  </si>
  <si>
    <t>16574922.28</t>
  </si>
  <si>
    <t>66761679.94522093</t>
  </si>
  <si>
    <t>22674054.73</t>
  </si>
  <si>
    <t>91328210.13412817</t>
  </si>
  <si>
    <t>9459622.52</t>
  </si>
  <si>
    <t>98281792.41558442</t>
  </si>
  <si>
    <t>8678842.05</t>
  </si>
  <si>
    <t>90169787.53246753</t>
  </si>
  <si>
    <t>7095388.19</t>
  </si>
  <si>
    <t>98574439.9833287</t>
  </si>
  <si>
    <t>6926466.34</t>
  </si>
  <si>
    <t>96227651.29202557</t>
  </si>
  <si>
    <t>92484344.92</t>
  </si>
  <si>
    <t>172487494.72192174</t>
  </si>
  <si>
    <t>88151951.55</t>
  </si>
  <si>
    <t>164407384.74019918</t>
  </si>
  <si>
    <t>14707931.91</t>
  </si>
  <si>
    <t>75619187.19794345</t>
  </si>
  <si>
    <t>17561319.59</t>
  </si>
  <si>
    <t>90289560.87403598</t>
  </si>
  <si>
    <t>12944779.64</t>
  </si>
  <si>
    <t>53451067.965975724</t>
  </si>
  <si>
    <t>20005682.14</t>
  </si>
  <si>
    <t>82606665.04253034</t>
  </si>
  <si>
    <t>1960851559</t>
  </si>
  <si>
    <t>73458236.48674467</t>
  </si>
  <si>
    <t>1316562588.29</t>
  </si>
  <si>
    <t>49321615.15047528</t>
  </si>
  <si>
    <t>10575855.69</t>
  </si>
  <si>
    <t>64173881.614077665</t>
  </si>
  <si>
    <t>15163045.23</t>
  </si>
  <si>
    <t>92008769.59951456</t>
  </si>
  <si>
    <t>8519499.85</t>
  </si>
  <si>
    <t>60542210.417851046</t>
  </si>
  <si>
    <t>15759655.8</t>
  </si>
  <si>
    <t>111993005.96930075</t>
  </si>
  <si>
    <t>6485331.99</t>
  </si>
  <si>
    <t>85131687.97584668</t>
  </si>
  <si>
    <t>9410288.5</t>
  </si>
  <si>
    <t>123527021.52796009</t>
  </si>
  <si>
    <t>8004354.62</t>
  </si>
  <si>
    <t>55589656.36502535</t>
  </si>
  <si>
    <t>23555038.5</t>
  </si>
  <si>
    <t>163588016.52892563</t>
  </si>
  <si>
    <t>33481489.2</t>
  </si>
  <si>
    <t>61155638.9274494</t>
  </si>
  <si>
    <t>60726263.74</t>
  </si>
  <si>
    <t>110919602.06765543</t>
  </si>
  <si>
    <t>4150275.21</t>
  </si>
  <si>
    <t>85678678.9843105</t>
  </si>
  <si>
    <t>7713096.05</t>
  </si>
  <si>
    <t>159229893.6829067</t>
  </si>
  <si>
    <t>7393004.37</t>
  </si>
  <si>
    <t>66796208.61944344</t>
  </si>
  <si>
    <t>11398179.93</t>
  </si>
  <si>
    <t>102983194.1633538</t>
  </si>
  <si>
    <t>12646539.43</t>
  </si>
  <si>
    <t>48521099.71608348</t>
  </si>
  <si>
    <t>25630514.64</t>
  </si>
  <si>
    <t>98336842.54143646</t>
  </si>
  <si>
    <t>23076368.6</t>
  </si>
  <si>
    <t>56779608.77909552</t>
  </si>
  <si>
    <t>38092942.87</t>
  </si>
  <si>
    <t>93728022.41523546</t>
  </si>
  <si>
    <t>5543629.49</t>
  </si>
  <si>
    <t>106751963.98998652</t>
  </si>
  <si>
    <t>7123735.43</t>
  </si>
  <si>
    <t>137179576.93048334</t>
  </si>
  <si>
    <t>8944755.39</t>
  </si>
  <si>
    <t>44773027.28000801</t>
  </si>
  <si>
    <t>18950212.79</t>
  </si>
  <si>
    <t>94855404.89538491</t>
  </si>
  <si>
    <t>53204069.99</t>
  </si>
  <si>
    <t>79011642.9154848</t>
  </si>
  <si>
    <t>59457072.67</t>
  </si>
  <si>
    <t>88297774.87859572</t>
  </si>
  <si>
    <t>7352038.93</t>
  </si>
  <si>
    <t>55059079.832247436</t>
  </si>
  <si>
    <t>14166303.39</t>
  </si>
  <si>
    <t>106090791.50752641</t>
  </si>
  <si>
    <t>19313486.7</t>
  </si>
  <si>
    <t>77263218.38620634</t>
  </si>
  <si>
    <t>21804371.87</t>
  </si>
  <si>
    <t>87227954.83458015</t>
  </si>
  <si>
    <t>6865917.82</t>
  </si>
  <si>
    <t>54817707.14570858</t>
  </si>
  <si>
    <t>14288176.89</t>
  </si>
  <si>
    <t>114077260.5988024</t>
  </si>
  <si>
    <t>19410329.5</t>
  </si>
  <si>
    <t>97372978.328484</t>
  </si>
  <si>
    <t>19823842.7</t>
  </si>
  <si>
    <t>99447389.88662587</t>
  </si>
  <si>
    <t>42765439.34</t>
  </si>
  <si>
    <t>62873708.92998913</t>
  </si>
  <si>
    <t>54677751.24</t>
  </si>
  <si>
    <t>80387178.74680232</t>
  </si>
  <si>
    <t>90473710.65</t>
  </si>
  <si>
    <t>88268757.09769948</t>
  </si>
  <si>
    <t>69600782.43</t>
  </si>
  <si>
    <t>67904527.33711877</t>
  </si>
  <si>
    <t>13399795.93</t>
  </si>
  <si>
    <t>51187240.927496366</t>
  </si>
  <si>
    <t>21547261.63</t>
  </si>
  <si>
    <t>82310572.35082893</t>
  </si>
  <si>
    <t>9152034.47</t>
  </si>
  <si>
    <t>78944487.79435867</t>
  </si>
  <si>
    <t>12359055.71</t>
  </si>
  <si>
    <t>106607916.07004228</t>
  </si>
  <si>
    <t>7865426.53</t>
  </si>
  <si>
    <t>63110218.48672069</t>
  </si>
  <si>
    <t>9812999.85</t>
  </si>
  <si>
    <t>78737060.49907726</t>
  </si>
  <si>
    <t>27706763.08</t>
  </si>
  <si>
    <t>66025076.44647793</t>
  </si>
  <si>
    <t>39410591.97</t>
  </si>
  <si>
    <t>93915241.56419788</t>
  </si>
  <si>
    <t>20393140.58</t>
  </si>
  <si>
    <t>53432742.7029293</t>
  </si>
  <si>
    <t>34296801.35</t>
  </si>
  <si>
    <t>89862184.53597443</t>
  </si>
  <si>
    <t>13642490.54</t>
  </si>
  <si>
    <t>95422050.36021543</t>
  </si>
  <si>
    <t>12665338.34</t>
  </si>
  <si>
    <t>88587384.34636636</t>
  </si>
  <si>
    <t>12492926.82</t>
  </si>
  <si>
    <t>51717696.72131147</t>
  </si>
  <si>
    <t>23003579.1</t>
  </si>
  <si>
    <t>95229256.08544461</t>
  </si>
  <si>
    <t>6488334.68</t>
  </si>
  <si>
    <t>82896827.39235978</t>
  </si>
  <si>
    <t>6887377.43</t>
  </si>
  <si>
    <t>87995112.17580171</t>
  </si>
  <si>
    <t>19944035.31</t>
  </si>
  <si>
    <t>52511941.31121642</t>
  </si>
  <si>
    <t>33673089.39</t>
  </si>
  <si>
    <t>88660056.31911533</t>
  </si>
  <si>
    <t>29457946.63</t>
  </si>
  <si>
    <t>55923961.328903645</t>
  </si>
  <si>
    <t>34716821.85</t>
  </si>
  <si>
    <t>65907587.755102046</t>
  </si>
  <si>
    <t>67072276.95</t>
  </si>
  <si>
    <t>51850119.01080722</t>
  </si>
  <si>
    <t>102130004.98</t>
  </si>
  <si>
    <t>78951440.94682974</t>
  </si>
  <si>
    <t>11069826.67</t>
  </si>
  <si>
    <t>54311778.38288686</t>
  </si>
  <si>
    <t>17364214.63</t>
  </si>
  <si>
    <t>85193870.2286331</t>
  </si>
  <si>
    <t>22265197.95</t>
  </si>
  <si>
    <t>53232912.42289484</t>
  </si>
  <si>
    <t>43083508.98</t>
  </si>
  <si>
    <t>103006524.60192226</t>
  </si>
  <si>
    <t>12228586.06</t>
  </si>
  <si>
    <t>56490904.32854438</t>
  </si>
  <si>
    <t>38737056.24</t>
  </si>
  <si>
    <t>178948843.90446714</t>
  </si>
  <si>
    <t>13137901</t>
  </si>
  <si>
    <t>72337303.16044489</t>
  </si>
  <si>
    <t>15510189.15</t>
  </si>
  <si>
    <t>85399125.3716551</t>
  </si>
  <si>
    <t>9962769.88</t>
  </si>
  <si>
    <t>87385052.89009736</t>
  </si>
  <si>
    <t>11878898.04</t>
  </si>
  <si>
    <t>104191720.37540565</t>
  </si>
  <si>
    <t>26067234.09</t>
  </si>
  <si>
    <t>75160700.33446744</t>
  </si>
  <si>
    <t>30835903.93</t>
  </si>
  <si>
    <t>88910397.12242661</t>
  </si>
  <si>
    <t>17822134.07</t>
  </si>
  <si>
    <t>52876825.60450971</t>
  </si>
  <si>
    <t>23007560.24</t>
  </si>
  <si>
    <t>68261564.27829699</t>
  </si>
  <si>
    <t>16601878.26</t>
  </si>
  <si>
    <t>61094716.493707225</t>
  </si>
  <si>
    <t>25852306.13</t>
  </si>
  <si>
    <t>95136182.12261721</t>
  </si>
  <si>
    <t>7404795.8</t>
  </si>
  <si>
    <t>91293253.60621378</t>
  </si>
  <si>
    <t>10507338.58</t>
  </si>
  <si>
    <t>129544305.01787697</t>
  </si>
  <si>
    <t>19093230.13</t>
  </si>
  <si>
    <t>96352594.51958014</t>
  </si>
  <si>
    <t>25686769.34</t>
  </si>
  <si>
    <t>129626409.66895437</t>
  </si>
  <si>
    <t>137412360.8</t>
  </si>
  <si>
    <t>50112637.82470908</t>
  </si>
  <si>
    <t>166273322.74</t>
  </si>
  <si>
    <t>60637884.05839384</t>
  </si>
  <si>
    <t>14909477.46</t>
  </si>
  <si>
    <t>60038970.1606733</t>
  </si>
  <si>
    <t>22284870.82</t>
  </si>
  <si>
    <t>89738939.39515968</t>
  </si>
  <si>
    <t>28137051.88</t>
  </si>
  <si>
    <t>89301294.52837373</t>
  </si>
  <si>
    <t>24152293.21</t>
  </si>
  <si>
    <t>76654478.89424908</t>
  </si>
  <si>
    <t>44818657.15</t>
  </si>
  <si>
    <t>75274869.24756466</t>
  </si>
  <si>
    <t>38934772.4</t>
  </si>
  <si>
    <t>65392630.83641249</t>
  </si>
  <si>
    <t>11428036.88</t>
  </si>
  <si>
    <t>58036853.79107206</t>
  </si>
  <si>
    <t>17049577.14</t>
  </si>
  <si>
    <t>86585633.74130313</t>
  </si>
  <si>
    <t>251317093.96</t>
  </si>
  <si>
    <t>110281936.56477363</t>
  </si>
  <si>
    <t>205092576.41</t>
  </si>
  <si>
    <t>89997883.33201689</t>
  </si>
  <si>
    <t>59068997.13</t>
  </si>
  <si>
    <t>45797730.7215184</t>
  </si>
  <si>
    <t>75913610.58</t>
  </si>
  <si>
    <t>58857797.90351843</t>
  </si>
  <si>
    <t>14033053.39</t>
  </si>
  <si>
    <t>51288525.236650705</t>
  </si>
  <si>
    <t>28123560.9</t>
  </si>
  <si>
    <t>102787035.92704944</t>
  </si>
  <si>
    <t>6175592.81</t>
  </si>
  <si>
    <t>54977235.02181073</t>
  </si>
  <si>
    <t>14740134.88</t>
  </si>
  <si>
    <t>131221711.7421882</t>
  </si>
  <si>
    <t>15707245.36</t>
  </si>
  <si>
    <t>40548430.079768695</t>
  </si>
  <si>
    <t>36489507.09</t>
  </si>
  <si>
    <t>94198071.84345718</t>
  </si>
  <si>
    <t>22305061.81</t>
  </si>
  <si>
    <t>46505695.77999249</t>
  </si>
  <si>
    <t>42144523.02</t>
  </si>
  <si>
    <t>87870653.89266503</t>
  </si>
  <si>
    <t>8828602.46</t>
  </si>
  <si>
    <t>58634538.48708242</t>
  </si>
  <si>
    <t>18143240.05</t>
  </si>
  <si>
    <t>120497044.89606163</t>
  </si>
  <si>
    <t>17027570.21</t>
  </si>
  <si>
    <t>61891429.957836576</t>
  </si>
  <si>
    <t>20906479.93</t>
  </si>
  <si>
    <t>75990403.93282932</t>
  </si>
  <si>
    <t>9222261.89</t>
  </si>
  <si>
    <t>70104613.37894337</t>
  </si>
  <si>
    <t>11574128</t>
  </si>
  <si>
    <t>87982729.00038008</t>
  </si>
  <si>
    <t>7861209.99</t>
  </si>
  <si>
    <t>56891084.02084238</t>
  </si>
  <si>
    <t>14530577.61</t>
  </si>
  <si>
    <t>105156879.50499348</t>
  </si>
  <si>
    <t>16070322.21</t>
  </si>
  <si>
    <t>45405368.88650298</t>
  </si>
  <si>
    <t>36216737.6</t>
  </si>
  <si>
    <t>102327402.59373324</t>
  </si>
  <si>
    <t>20120067.72</t>
  </si>
  <si>
    <t>45939374.203712575</t>
  </si>
  <si>
    <t>38573453.09</t>
  </si>
  <si>
    <t>88073276.91394389</t>
  </si>
  <si>
    <t>10322222.94</t>
  </si>
  <si>
    <t>59894527.90994545</t>
  </si>
  <si>
    <t>21897499.2</t>
  </si>
  <si>
    <t>127059876.98735057</t>
  </si>
  <si>
    <t>31021445.81</t>
  </si>
  <si>
    <t>50123518.839877196</t>
  </si>
  <si>
    <t>46879976.8</t>
  </si>
  <si>
    <t>75747256.09953143</t>
  </si>
  <si>
    <t>4460935.32</t>
  </si>
  <si>
    <t>51134059.1471802</t>
  </si>
  <si>
    <t>9363734.13</t>
  </si>
  <si>
    <t>107333036.79504816</t>
  </si>
  <si>
    <t>11245392.7</t>
  </si>
  <si>
    <t>49904112.452294305</t>
  </si>
  <si>
    <t>18434338.96</t>
  </si>
  <si>
    <t>81806776.2492234</t>
  </si>
  <si>
    <t>9733522.62</t>
  </si>
  <si>
    <t>66956886.70289605</t>
  </si>
  <si>
    <t>15705158.58</t>
  </si>
  <si>
    <t>108035761.02359496</t>
  </si>
  <si>
    <t>9010280.78</t>
  </si>
  <si>
    <t>83251231.45153838</t>
  </si>
  <si>
    <t>16508237.84</t>
  </si>
  <si>
    <t>152529223.32070592</t>
  </si>
  <si>
    <t>12334864.52</t>
  </si>
  <si>
    <t>79247443.10954063</t>
  </si>
  <si>
    <t>14142992.23</t>
  </si>
  <si>
    <t>90864068.29424992</t>
  </si>
  <si>
    <t>20205030.05</t>
  </si>
  <si>
    <t>62500092.95347686</t>
  </si>
  <si>
    <t>25456248.1</t>
  </si>
  <si>
    <t>78743652.87057659</t>
  </si>
  <si>
    <t>16303103.82</t>
  </si>
  <si>
    <t>56989910.93089104</t>
  </si>
  <si>
    <t>26601344.25</t>
  </si>
  <si>
    <t>92988933.65260251</t>
  </si>
  <si>
    <t>18528063.61</t>
  </si>
  <si>
    <t>72085218.10683577</t>
  </si>
  <si>
    <t>22363373.36</t>
  </si>
  <si>
    <t>87006860.52211805</t>
  </si>
  <si>
    <t>14573005.13</t>
  </si>
  <si>
    <t>68012344.84528866</t>
  </si>
  <si>
    <t>17689105.97</t>
  </si>
  <si>
    <t>82555215.2424511</t>
  </si>
  <si>
    <t>26961756.94</t>
  </si>
  <si>
    <t>37341602.06639614</t>
  </si>
  <si>
    <t>47763386.88</t>
  </si>
  <si>
    <t>66151526.77866571</t>
  </si>
  <si>
    <t>33172416.96</t>
  </si>
  <si>
    <t>39759824.71953208</t>
  </si>
  <si>
    <t>52686616.37</t>
  </si>
  <si>
    <t>63149171.0255058</t>
  </si>
  <si>
    <t>9430883.29</t>
  </si>
  <si>
    <t>76917733.38226898</t>
  </si>
  <si>
    <t>10302700.49</t>
  </si>
  <si>
    <t>84028223.55435935</t>
  </si>
  <si>
    <t>4467313.63</t>
  </si>
  <si>
    <t>68380738.25195163</t>
  </si>
  <si>
    <t>9109823.99</t>
  </si>
  <si>
    <t>139443195.92836368</t>
  </si>
  <si>
    <t>6844970.94</t>
  </si>
  <si>
    <t>72927455.14596207</t>
  </si>
  <si>
    <t>6853688.27</t>
  </si>
  <si>
    <t>73020331.02493073</t>
  </si>
  <si>
    <t>5587189.96</t>
  </si>
  <si>
    <t>41939573.337336734</t>
  </si>
  <si>
    <t>9165471.33</t>
  </si>
  <si>
    <t>68799514.56237802</t>
  </si>
  <si>
    <t>22076261.66</t>
  </si>
  <si>
    <t>62938367.145626634</t>
  </si>
  <si>
    <t>41744087.11</t>
  </si>
  <si>
    <t>119010397.73634394</t>
  </si>
  <si>
    <t>16620635.72</t>
  </si>
  <si>
    <t>50759332.15245541</t>
  </si>
  <si>
    <t>29231092.21</t>
  </si>
  <si>
    <t>89271598.49132666</t>
  </si>
  <si>
    <t>17018187.13</t>
  </si>
  <si>
    <t>53989997.5571841</t>
  </si>
  <si>
    <t>33521506.64</t>
  </si>
  <si>
    <t>106346583.67437582</t>
  </si>
  <si>
    <t>6436061.85</t>
  </si>
  <si>
    <t>52642416.57124161</t>
  </si>
  <si>
    <t>13879402.2</t>
  </si>
  <si>
    <t>113523656.14264682</t>
  </si>
  <si>
    <t>25588943</t>
  </si>
  <si>
    <t>59154244.30163207</t>
  </si>
  <si>
    <t>40662609.14</t>
  </si>
  <si>
    <t>94000206.06593</t>
  </si>
  <si>
    <t>7312255.97</t>
  </si>
  <si>
    <t>80558069.51636003</t>
  </si>
  <si>
    <t>12521493.83</t>
  </si>
  <si>
    <t>137947491.79244244</t>
  </si>
  <si>
    <t>28225967.89</t>
  </si>
  <si>
    <t>74768795.23721226</t>
  </si>
  <si>
    <t>32305883.68</t>
  </si>
  <si>
    <t>85576232.89449286</t>
  </si>
  <si>
    <t>10067319.97</t>
  </si>
  <si>
    <t>61736186.72962532</t>
  </si>
  <si>
    <t>17454451.09</t>
  </si>
  <si>
    <t>107036555.40565401</t>
  </si>
  <si>
    <t>14603232.96</t>
  </si>
  <si>
    <t>71003223.41615209</t>
  </si>
  <si>
    <t>18121224.7</t>
  </si>
  <si>
    <t>88108254.4853406</t>
  </si>
  <si>
    <t>10617764.73</t>
  </si>
  <si>
    <t>62608436.40544844</t>
  </si>
  <si>
    <t>13317242.08</t>
  </si>
  <si>
    <t>78526104.60522436</t>
  </si>
  <si>
    <t>6094315.82</t>
  </si>
  <si>
    <t>55650769.975344725</t>
  </si>
  <si>
    <t>10370754.29</t>
  </si>
  <si>
    <t>94701436.30718656</t>
  </si>
  <si>
    <t>8093653.89</t>
  </si>
  <si>
    <t>65610034.77626459</t>
  </si>
  <si>
    <t>12742300.24</t>
  </si>
  <si>
    <t>103293614.13748379</t>
  </si>
  <si>
    <t>10543760.97</t>
  </si>
  <si>
    <t>70310489.26380369</t>
  </si>
  <si>
    <t>17123485.41</t>
  </si>
  <si>
    <t>114187019.27180582</t>
  </si>
  <si>
    <t>9114917.8</t>
  </si>
  <si>
    <t>82525285.64961521</t>
  </si>
  <si>
    <t>11071899.95</t>
  </si>
  <si>
    <t>100243548.66455409</t>
  </si>
  <si>
    <t>4749684.85</t>
  </si>
  <si>
    <t>73994155.63171834</t>
  </si>
  <si>
    <t>6168428.98</t>
  </si>
  <si>
    <t>96096416.57579063</t>
  </si>
  <si>
    <t>10549506.58</t>
  </si>
  <si>
    <t>50035603.20622273</t>
  </si>
  <si>
    <t>18851680.15</t>
  </si>
  <si>
    <t>89412256.45038892</t>
  </si>
  <si>
    <t>52796473.14</t>
  </si>
  <si>
    <t>60182009.32427503</t>
  </si>
  <si>
    <t>52778638.55</t>
  </si>
  <si>
    <t>60161679.90835308</t>
  </si>
  <si>
    <t>12259244.84</t>
  </si>
  <si>
    <t>75777258.25194709</t>
  </si>
  <si>
    <t>14101061.05</t>
  </si>
  <si>
    <t>87161954.81518112</t>
  </si>
  <si>
    <t>57719174.02</t>
  </si>
  <si>
    <t>71186174.51468883</t>
  </si>
  <si>
    <t>65165274.9</t>
  </si>
  <si>
    <t>80369594.85459165</t>
  </si>
  <si>
    <t>20387873</t>
  </si>
  <si>
    <t>92048729.06226015</t>
  </si>
  <si>
    <t>19713493.87</t>
  </si>
  <si>
    <t>89003990.56390809</t>
  </si>
  <si>
    <t>20063769.43</t>
  </si>
  <si>
    <t>69059200.1858672</t>
  </si>
  <si>
    <t>23130358.46</t>
  </si>
  <si>
    <t>79614354.66216914</t>
  </si>
  <si>
    <t>13160269.69</t>
  </si>
  <si>
    <t>71171216.75409658</t>
  </si>
  <si>
    <t>20148094.84</t>
  </si>
  <si>
    <t>108961629.11686768</t>
  </si>
  <si>
    <t>45306800.08</t>
  </si>
  <si>
    <t>57941530.142977715</t>
  </si>
  <si>
    <t>62425444.1</t>
  </si>
  <si>
    <t>79834059.00708494</t>
  </si>
  <si>
    <t>8674664.89</t>
  </si>
  <si>
    <t>54836999.114988305</t>
  </si>
  <si>
    <t>15888692.54</t>
  </si>
  <si>
    <t>100440562.23528668</t>
  </si>
  <si>
    <t>11592049.37</t>
  </si>
  <si>
    <t>70025669.74749304</t>
  </si>
  <si>
    <t>19191536.94</t>
  </si>
  <si>
    <t>115932928.23486772</t>
  </si>
  <si>
    <t>19643436.24007505</t>
  </si>
  <si>
    <t>37592999.40507516</t>
  </si>
  <si>
    <t>57002718.414889686</t>
  </si>
  <si>
    <t>111177360.7173672</t>
  </si>
  <si>
    <t>72129433.8418079</t>
  </si>
  <si>
    <t>158528558.41807908</t>
  </si>
  <si>
    <t>24756403.81</t>
  </si>
  <si>
    <t>51680278.50030269</t>
  </si>
  <si>
    <t>51058390.05</t>
  </si>
  <si>
    <t>106587040.58200946</t>
  </si>
  <si>
    <t>52476523.72</t>
  </si>
  <si>
    <t>108373309.07438768</t>
  </si>
  <si>
    <t>80073985.71</t>
  </si>
  <si>
    <t>165366952.438974</t>
  </si>
  <si>
    <t>6364481.37</t>
  </si>
  <si>
    <t>83250246.82799216</t>
  </si>
  <si>
    <t>5426573.8</t>
  </si>
  <si>
    <t>70981998.69195552</t>
  </si>
  <si>
    <t>7038878.31</t>
  </si>
  <si>
    <t>54145217.76923077</t>
  </si>
  <si>
    <t>9598076.08</t>
  </si>
  <si>
    <t>73831354.46153846</t>
  </si>
  <si>
    <t>17140607.98</t>
  </si>
  <si>
    <t>67228616.17508629</t>
  </si>
  <si>
    <t>19281663.49</t>
  </si>
  <si>
    <t>75626229.56542203</t>
  </si>
  <si>
    <t>3785466.63</t>
  </si>
  <si>
    <t>49658489.17748918</t>
  </si>
  <si>
    <t>9056935.66</t>
  </si>
  <si>
    <t>118810647.51410206</t>
  </si>
  <si>
    <t>253476826.94</t>
  </si>
  <si>
    <t>121318509.07698567</t>
  </si>
  <si>
    <t>176046320.85</t>
  </si>
  <si>
    <t>84258894.32120037</t>
  </si>
  <si>
    <t>13863810.7</t>
  </si>
  <si>
    <t>75659303.09975988</t>
  </si>
  <si>
    <t>13352894.48</t>
  </si>
  <si>
    <t>72871067.88910718</t>
  </si>
  <si>
    <t>17884884.66</t>
  </si>
  <si>
    <t>58262646.70814737</t>
  </si>
  <si>
    <t>19661415.93</t>
  </si>
  <si>
    <t>64049959.051373094</t>
  </si>
  <si>
    <t>19876305.35</t>
  </si>
  <si>
    <t>75716374.0428936</t>
  </si>
  <si>
    <t>27861187.28</t>
  </si>
  <si>
    <t>106133813.11188145</t>
  </si>
  <si>
    <t>5521657.19</t>
  </si>
  <si>
    <t>64265097.64897579</t>
  </si>
  <si>
    <t>9142974.67</t>
  </si>
  <si>
    <t>106412647.46275605</t>
  </si>
  <si>
    <t>36158010.36</t>
  </si>
  <si>
    <t>61431574.37265329</t>
  </si>
  <si>
    <t>51934309.23</t>
  </si>
  <si>
    <t>88235119.91369204</t>
  </si>
  <si>
    <t>14404823.92</t>
  </si>
  <si>
    <t>75075957.26272997</t>
  </si>
  <si>
    <t>18222007.28</t>
  </si>
  <si>
    <t>94970590.92093606</t>
  </si>
  <si>
    <t>42625069.29</t>
  </si>
  <si>
    <t>56125496.12882838</t>
  </si>
  <si>
    <t>72294385.77</t>
  </si>
  <si>
    <t>95191828.10154583</t>
  </si>
  <si>
    <t>28187063.19</t>
  </si>
  <si>
    <t>50407852.909617655</t>
  </si>
  <si>
    <t>54642689.62</t>
  </si>
  <si>
    <t>97719320.46925855</t>
  </si>
  <si>
    <t>8746835.21</t>
  </si>
  <si>
    <t>53757207.3627927</t>
  </si>
  <si>
    <t>16394760</t>
  </si>
  <si>
    <t>100760617.04873702</t>
  </si>
  <si>
    <t>22809287.36</t>
  </si>
  <si>
    <t>65559000.22993792</t>
  </si>
  <si>
    <t>34032476.92</t>
  </si>
  <si>
    <t>97816960.56564727</t>
  </si>
  <si>
    <t>5071662.38</t>
  </si>
  <si>
    <t>65584668.04603646</t>
  </si>
  <si>
    <t>7201687.87</t>
  </si>
  <si>
    <t>93129288.3744989</t>
  </si>
  <si>
    <t>12323483.74</t>
  </si>
  <si>
    <t>62161330.340479195</t>
  </si>
  <si>
    <t>30847933.49</t>
  </si>
  <si>
    <t>155601177.75535938</t>
  </si>
  <si>
    <t>12376707.28</t>
  </si>
  <si>
    <t>56643969.244851254</t>
  </si>
  <si>
    <t>19700714.45</t>
  </si>
  <si>
    <t>90163452.8604119</t>
  </si>
  <si>
    <t>7938773.69</t>
  </si>
  <si>
    <t>57361081.57514451</t>
  </si>
  <si>
    <t>16285325.29</t>
  </si>
  <si>
    <t>117668535.33236992</t>
  </si>
  <si>
    <t>13834184.53</t>
  </si>
  <si>
    <t>75104150.54288816</t>
  </si>
  <si>
    <t>17914000.11</t>
  </si>
  <si>
    <t>97252986.48208469</t>
  </si>
  <si>
    <t>26104056.74</t>
  </si>
  <si>
    <t>64104655.435770236</t>
  </si>
  <si>
    <t>30000435.74</t>
  </si>
  <si>
    <t>73673131.1608261</t>
  </si>
  <si>
    <t>24306596.34</t>
  </si>
  <si>
    <t>39919519.683358245</t>
  </si>
  <si>
    <t>56555263.49</t>
  </si>
  <si>
    <t>92882562.51539688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</si>
</sst>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  <numFmt numFmtId="167" formatCode="0.000"/>
    <numFmt numFmtId="168" formatCode="0.0000"/>
    <numFmt numFmtId="169" formatCode="0.000%"/>
  </numFmts>
  <fonts count="32" x14ac:knownFonts="1">
    <font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8"/>
      <color theme="1"/>
      <name val="Calibri"/>
    </font>
    <font>
      <sz val="11"/>
      <name val="Calibri"/>
    </font>
    <font>
      <sz val="10"/>
      <color indexed="8"/>
      <name val="Arial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color theme="10"/>
      <name val="Calibri"/>
    </font>
    <font>
      <sz val="8"/>
      <color theme="10"/>
      <name val="Calibri"/>
    </font>
    <font>
      <sz val="8"/>
      <name val="Calibri"/>
    </font>
    <font>
      <b/>
      <sz val="12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b/>
      <sz val="11"/>
      <color rgb="FFFFFFFF"/>
      <name val="Calibri"/>
    </font>
  </fonts>
  <fills count="50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5" tint="-0.4999237037263100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rgb="FFFFD966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0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F4B084"/>
      </patternFill>
    </fill>
    <fill>
      <patternFill patternType="solid">
        <fgColor rgb="FFFFC000"/>
      </patternFill>
    </fill>
    <fill>
      <patternFill patternType="solid">
        <fgColor theme="1" tint="4.9989318521683403E-2"/>
        <bgColor indexed="65"/>
      </patternFill>
    </fill>
    <fill>
      <patternFill patternType="solid">
        <fgColor theme="1" tint="0.49992370372631001"/>
        <bgColor indexed="65"/>
      </patternFill>
    </fill>
    <fill>
      <patternFill patternType="solid">
        <fgColor rgb="FF1F4E78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5" fillId="0" borderId="0" applyFill="0" applyProtection="0"/>
    <xf numFmtId="0" fontId="7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5" applyNumberFormat="0" applyAlignment="0" applyProtection="0"/>
    <xf numFmtId="0" fontId="17" fillId="8" borderId="6" applyNumberFormat="0" applyAlignment="0" applyProtection="0"/>
    <xf numFmtId="0" fontId="18" fillId="8" borderId="5" applyNumberFormat="0" applyAlignment="0" applyProtection="0"/>
    <xf numFmtId="0" fontId="19" fillId="0" borderId="7" applyNumberFormat="0" applyFill="0" applyAlignment="0" applyProtection="0"/>
    <xf numFmtId="0" fontId="20" fillId="9" borderId="8" applyNumberFormat="0" applyAlignment="0" applyProtection="0"/>
    <xf numFmtId="0" fontId="21" fillId="0" borderId="0" applyNumberFormat="0" applyFill="0" applyBorder="0" applyAlignment="0" applyProtection="0"/>
    <xf numFmtId="0" fontId="4" fillId="10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5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35" borderId="1" xfId="0" applyFill="1" applyBorder="1"/>
    <xf numFmtId="0" fontId="6" fillId="36" borderId="1" xfId="0" applyFont="1" applyFill="1" applyBorder="1" applyAlignment="1">
      <alignment horizontal="center" vertical="center" wrapText="1"/>
    </xf>
    <xf numFmtId="2" fontId="3" fillId="35" borderId="1" xfId="1" applyNumberFormat="1" applyFont="1" applyFill="1" applyBorder="1" applyAlignment="1">
      <alignment horizontal="right"/>
    </xf>
    <xf numFmtId="167" fontId="0" fillId="2" borderId="1" xfId="0" applyNumberFormat="1" applyFill="1" applyBorder="1" applyAlignment="1">
      <alignment horizontal="right"/>
    </xf>
    <xf numFmtId="166" fontId="0" fillId="2" borderId="1" xfId="0" applyNumberFormat="1" applyFill="1" applyBorder="1" applyAlignment="1">
      <alignment horizontal="right"/>
    </xf>
    <xf numFmtId="169" fontId="0" fillId="2" borderId="1" xfId="48" applyNumberFormat="1" applyFont="1" applyFill="1" applyBorder="1" applyAlignment="1">
      <alignment horizontal="right"/>
    </xf>
    <xf numFmtId="0" fontId="0" fillId="35" borderId="1" xfId="0" applyFill="1" applyBorder="1" applyAlignment="1">
      <alignment horizontal="right"/>
    </xf>
    <xf numFmtId="0" fontId="6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 wrapText="1"/>
    </xf>
    <xf numFmtId="0" fontId="27" fillId="36" borderId="1" xfId="46" applyFont="1" applyFill="1" applyBorder="1" applyAlignment="1">
      <alignment horizontal="center" vertical="center" wrapText="1"/>
    </xf>
    <xf numFmtId="0" fontId="26" fillId="36" borderId="1" xfId="46" applyFont="1" applyFill="1" applyBorder="1" applyAlignment="1">
      <alignment horizontal="center" vertical="center" wrapText="1"/>
    </xf>
    <xf numFmtId="0" fontId="26" fillId="36" borderId="1" xfId="46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7" fontId="0" fillId="2" borderId="1" xfId="48" applyNumberFormat="1" applyFont="1" applyFill="1" applyBorder="1" applyAlignment="1">
      <alignment horizontal="right"/>
    </xf>
    <xf numFmtId="168" fontId="0" fillId="2" borderId="1" xfId="0" applyNumberFormat="1" applyFill="1" applyBorder="1" applyAlignment="1">
      <alignment horizontal="right"/>
    </xf>
    <xf numFmtId="2" fontId="0" fillId="35" borderId="1" xfId="0" applyNumberFormat="1" applyFill="1" applyBorder="1" applyAlignment="1">
      <alignment horizontal="right"/>
    </xf>
    <xf numFmtId="164" fontId="0" fillId="35" borderId="1" xfId="0" applyNumberFormat="1" applyFill="1" applyBorder="1"/>
    <xf numFmtId="4" fontId="0" fillId="35" borderId="1" xfId="0" applyNumberFormat="1" applyFill="1" applyBorder="1" applyAlignment="1">
      <alignment horizontal="right"/>
    </xf>
    <xf numFmtId="0" fontId="3" fillId="38" borderId="1" xfId="0" applyFont="1" applyFill="1" applyBorder="1" applyAlignment="1">
      <alignment horizontal="left" vertical="center" wrapText="1"/>
    </xf>
    <xf numFmtId="49" fontId="6" fillId="37" borderId="1" xfId="0" applyNumberFormat="1" applyFont="1" applyFill="1" applyBorder="1" applyAlignment="1">
      <alignment horizontal="center" vertical="center" wrapText="1"/>
    </xf>
    <xf numFmtId="0" fontId="0" fillId="41" borderId="1" xfId="0" applyFill="1" applyBorder="1"/>
    <xf numFmtId="0" fontId="0" fillId="39" borderId="1" xfId="0" applyFill="1" applyBorder="1"/>
    <xf numFmtId="0" fontId="23" fillId="42" borderId="1" xfId="0" applyFont="1" applyFill="1" applyBorder="1"/>
    <xf numFmtId="0" fontId="23" fillId="40" borderId="0" xfId="0" applyFont="1" applyFill="1"/>
    <xf numFmtId="0" fontId="0" fillId="40" borderId="0" xfId="0" applyFill="1"/>
    <xf numFmtId="0" fontId="0" fillId="40" borderId="0" xfId="0" applyFill="1" applyAlignment="1">
      <alignment horizontal="left" vertical="center"/>
    </xf>
    <xf numFmtId="166" fontId="0" fillId="40" borderId="0" xfId="0" applyNumberFormat="1" applyFill="1"/>
    <xf numFmtId="0" fontId="1" fillId="3" borderId="11" xfId="0" applyFont="1" applyFill="1" applyBorder="1" applyAlignment="1">
      <alignment horizontal="center" vertical="center" wrapText="1"/>
    </xf>
    <xf numFmtId="0" fontId="26" fillId="36" borderId="11" xfId="46" applyFont="1" applyFill="1" applyBorder="1" applyAlignment="1">
      <alignment horizontal="center" vertical="center" wrapText="1"/>
    </xf>
    <xf numFmtId="0" fontId="6" fillId="37" borderId="11" xfId="0" applyFont="1" applyFill="1" applyBorder="1" applyAlignment="1">
      <alignment horizontal="center" vertical="center" wrapText="1"/>
    </xf>
    <xf numFmtId="0" fontId="6" fillId="36" borderId="11" xfId="0" applyFont="1" applyFill="1" applyBorder="1" applyAlignment="1">
      <alignment horizontal="center" vertical="center" wrapText="1"/>
    </xf>
    <xf numFmtId="0" fontId="0" fillId="35" borderId="11" xfId="0" applyFill="1" applyBorder="1" applyAlignment="1">
      <alignment horizontal="right"/>
    </xf>
    <xf numFmtId="0" fontId="1" fillId="40" borderId="0" xfId="0" applyFont="1" applyFill="1" applyAlignment="1">
      <alignment horizontal="center" vertical="center" wrapText="1"/>
    </xf>
    <xf numFmtId="0" fontId="26" fillId="40" borderId="0" xfId="46" applyFont="1" applyFill="1" applyBorder="1" applyAlignment="1">
      <alignment horizontal="center" vertical="center" wrapText="1"/>
    </xf>
    <xf numFmtId="0" fontId="6" fillId="40" borderId="0" xfId="0" applyFont="1" applyFill="1" applyAlignment="1">
      <alignment horizontal="center" vertical="center" wrapText="1"/>
    </xf>
    <xf numFmtId="0" fontId="0" fillId="40" borderId="0" xfId="0" applyFill="1" applyAlignment="1">
      <alignment horizontal="right"/>
    </xf>
    <xf numFmtId="0" fontId="23" fillId="42" borderId="1" xfId="0" applyFont="1" applyFill="1" applyBorder="1" applyAlignment="1">
      <alignment wrapText="1"/>
    </xf>
    <xf numFmtId="0" fontId="29" fillId="44" borderId="1" xfId="0" applyFont="1" applyFill="1" applyBorder="1" applyAlignment="1">
      <alignment horizontal="center"/>
    </xf>
    <xf numFmtId="3" fontId="8" fillId="40" borderId="0" xfId="0" applyNumberFormat="1" applyFont="1" applyFill="1"/>
    <xf numFmtId="0" fontId="0" fillId="45" borderId="11" xfId="0" applyFill="1" applyBorder="1" applyAlignment="1">
      <alignment horizontal="right"/>
    </xf>
    <xf numFmtId="10" fontId="0" fillId="45" borderId="11" xfId="48" applyNumberFormat="1" applyFont="1" applyFill="1" applyBorder="1" applyAlignment="1">
      <alignment horizontal="right"/>
    </xf>
    <xf numFmtId="10" fontId="0" fillId="45" borderId="1" xfId="48" applyNumberFormat="1" applyFont="1" applyFill="1" applyBorder="1" applyAlignment="1">
      <alignment horizontal="right"/>
    </xf>
    <xf numFmtId="0" fontId="0" fillId="45" borderId="1" xfId="0" applyFill="1" applyBorder="1" applyAlignment="1">
      <alignment horizontal="right"/>
    </xf>
    <xf numFmtId="0" fontId="0" fillId="45" borderId="1" xfId="0" applyFill="1" applyBorder="1"/>
    <xf numFmtId="0" fontId="23" fillId="0" borderId="0" xfId="0" applyFont="1"/>
    <xf numFmtId="4" fontId="8" fillId="2" borderId="1" xfId="0" applyNumberFormat="1" applyFont="1" applyFill="1" applyBorder="1"/>
    <xf numFmtId="0" fontId="0" fillId="2" borderId="1" xfId="0" applyFill="1" applyBorder="1"/>
    <xf numFmtId="2" fontId="0" fillId="2" borderId="1" xfId="0" applyNumberFormat="1" applyFill="1" applyBorder="1"/>
    <xf numFmtId="167" fontId="0" fillId="2" borderId="1" xfId="48" applyNumberFormat="1" applyFont="1" applyFill="1" applyBorder="1" applyAlignment="1"/>
    <xf numFmtId="168" fontId="0" fillId="2" borderId="1" xfId="0" applyNumberFormat="1" applyFill="1" applyBorder="1"/>
    <xf numFmtId="0" fontId="0" fillId="35" borderId="11" xfId="0" applyFill="1" applyBorder="1"/>
    <xf numFmtId="0" fontId="0" fillId="45" borderId="11" xfId="0" applyFill="1" applyBorder="1"/>
    <xf numFmtId="10" fontId="0" fillId="45" borderId="11" xfId="48" applyNumberFormat="1" applyFont="1" applyFill="1" applyBorder="1" applyAlignment="1"/>
    <xf numFmtId="10" fontId="0" fillId="45" borderId="1" xfId="48" applyNumberFormat="1" applyFont="1" applyFill="1" applyBorder="1" applyAlignment="1"/>
    <xf numFmtId="0" fontId="30" fillId="46" borderId="15" xfId="0" applyFont="1" applyFill="1" applyBorder="1" applyAlignment="1">
      <alignment horizontal="center"/>
    </xf>
    <xf numFmtId="0" fontId="30" fillId="46" borderId="16" xfId="0" applyFont="1" applyFill="1" applyBorder="1" applyAlignment="1">
      <alignment horizontal="center"/>
    </xf>
    <xf numFmtId="0" fontId="30" fillId="46" borderId="17" xfId="0" applyFont="1" applyFill="1" applyBorder="1"/>
    <xf numFmtId="0" fontId="30" fillId="46" borderId="18" xfId="0" applyFont="1" applyFill="1" applyBorder="1"/>
    <xf numFmtId="1" fontId="0" fillId="35" borderId="1" xfId="0" applyNumberFormat="1" applyFill="1" applyBorder="1" applyAlignment="1">
      <alignment horizontal="right"/>
    </xf>
    <xf numFmtId="1" fontId="3" fillId="35" borderId="1" xfId="2" applyNumberFormat="1" applyFont="1" applyFill="1" applyBorder="1" applyAlignment="1">
      <alignment horizontal="right"/>
    </xf>
    <xf numFmtId="1" fontId="3" fillId="35" borderId="1" xfId="1" applyNumberFormat="1" applyFont="1" applyFill="1" applyBorder="1" applyAlignment="1">
      <alignment horizontal="right"/>
    </xf>
    <xf numFmtId="0" fontId="28" fillId="42" borderId="1" xfId="0" applyFont="1" applyFill="1" applyBorder="1" applyAlignment="1">
      <alignment horizontal="left"/>
    </xf>
    <xf numFmtId="0" fontId="28" fillId="43" borderId="1" xfId="0" applyFont="1" applyFill="1" applyBorder="1" applyAlignment="1">
      <alignment horizontal="left" wrapText="1"/>
    </xf>
    <xf numFmtId="0" fontId="23" fillId="42" borderId="1" xfId="0" applyFont="1" applyFill="1" applyBorder="1" applyAlignment="1">
      <alignment horizontal="left" wrapText="1"/>
    </xf>
    <xf numFmtId="0" fontId="23" fillId="39" borderId="1" xfId="0" applyFont="1" applyFill="1" applyBorder="1" applyAlignment="1">
      <alignment horizontal="left"/>
    </xf>
    <xf numFmtId="0" fontId="0" fillId="41" borderId="1" xfId="0" applyFill="1" applyBorder="1" applyAlignment="1">
      <alignment horizontal="left" wrapText="1"/>
    </xf>
    <xf numFmtId="0" fontId="0" fillId="39" borderId="1" xfId="0" applyFill="1" applyBorder="1" applyAlignment="1">
      <alignment horizontal="left" wrapText="1"/>
    </xf>
    <xf numFmtId="0" fontId="23" fillId="39" borderId="1" xfId="0" applyFont="1" applyFill="1" applyBorder="1" applyAlignment="1">
      <alignment horizontal="left" wrapText="1"/>
    </xf>
    <xf numFmtId="167" fontId="0" fillId="0" borderId="0" xfId="0" applyNumberFormat="1"/>
    <xf numFmtId="167" fontId="0" fillId="0" borderId="12" xfId="0" applyNumberFormat="1" applyBorder="1"/>
    <xf numFmtId="0" fontId="30" fillId="47" borderId="19" xfId="0" applyFont="1" applyFill="1" applyBorder="1" applyAlignment="1">
      <alignment horizontal="center"/>
    </xf>
    <xf numFmtId="167" fontId="0" fillId="0" borderId="13" xfId="0" applyNumberFormat="1" applyBorder="1"/>
    <xf numFmtId="167" fontId="0" fillId="0" borderId="14" xfId="0" applyNumberFormat="1" applyBorder="1"/>
    <xf numFmtId="167" fontId="0" fillId="0" borderId="1" xfId="0" applyNumberFormat="1" applyBorder="1"/>
    <xf numFmtId="0" fontId="23" fillId="48" borderId="15" xfId="0" applyFont="1" applyFill="1" applyBorder="1" applyAlignment="1">
      <alignment horizontal="center" vertical="center" wrapText="1"/>
    </xf>
    <xf numFmtId="0" fontId="23" fillId="48" borderId="16" xfId="0" applyFont="1" applyFill="1" applyBorder="1" applyAlignment="1">
      <alignment horizontal="center" vertical="center" wrapText="1"/>
    </xf>
    <xf numFmtId="167" fontId="0" fillId="0" borderId="20" xfId="0" applyNumberFormat="1" applyBorder="1"/>
    <xf numFmtId="167" fontId="0" fillId="0" borderId="21" xfId="0" applyNumberFormat="1" applyBorder="1"/>
    <xf numFmtId="167" fontId="0" fillId="0" borderId="22" xfId="0" applyNumberFormat="1" applyBorder="1"/>
    <xf numFmtId="0" fontId="23" fillId="44" borderId="17" xfId="0" applyFont="1" applyFill="1" applyBorder="1"/>
    <xf numFmtId="0" fontId="23" fillId="44" borderId="18" xfId="0" applyFont="1" applyFill="1" applyBorder="1"/>
    <xf numFmtId="10" fontId="0" fillId="45" borderId="1" xfId="48" applyNumberFormat="1" applyFont="1" applyFill="1" applyBorder="1"/>
    <xf numFmtId="10" fontId="0" fillId="35" borderId="1" xfId="48" applyNumberFormat="1" applyFont="1" applyFill="1" applyBorder="1" applyAlignment="1">
      <alignment horizontal="right"/>
    </xf>
    <xf numFmtId="10" fontId="0" fillId="35" borderId="1" xfId="48" applyNumberFormat="1" applyFont="1" applyFill="1" applyBorder="1"/>
    <xf numFmtId="0" fontId="31" fillId="49" borderId="0" xfId="0" applyFont="1" applyFill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/>
    <xf numFmtId="4" fontId="8" fillId="17" borderId="1" xfId="0" applyNumberFormat="1" applyFont="1" applyFill="1" applyBorder="1"/>
    <xf numFmtId="4" fontId="0" fillId="2" borderId="1" xfId="0" applyNumberFormat="1" applyFill="1" applyBorder="1" applyAlignment="1">
      <alignment horizontal="right"/>
    </xf>
    <xf numFmtId="4" fontId="0" fillId="2" borderId="1" xfId="0" applyNumberFormat="1" applyFill="1" applyBorder="1"/>
    <xf numFmtId="0" fontId="0" fillId="0" borderId="0" xfId="0" applyNumberFormat="1"/>
  </cellXfs>
  <cellStyles count="49">
    <cellStyle name="20% - Ênfase1" xfId="23" xr:uid="{00000000-0005-0000-0000-000000000000}"/>
    <cellStyle name="20% - Ênfase2" xfId="27" xr:uid="{00000000-0005-0000-0000-000001000000}"/>
    <cellStyle name="20% - Ênfase3" xfId="31" xr:uid="{00000000-0005-0000-0000-000002000000}"/>
    <cellStyle name="20% - Ênfase4" xfId="35" xr:uid="{00000000-0005-0000-0000-000003000000}"/>
    <cellStyle name="20% - Ênfase5" xfId="39" xr:uid="{00000000-0005-0000-0000-000004000000}"/>
    <cellStyle name="20% - Ênfase6" xfId="43" xr:uid="{00000000-0005-0000-0000-000005000000}"/>
    <cellStyle name="40% - Ênfase1" xfId="24" xr:uid="{00000000-0005-0000-0000-000006000000}"/>
    <cellStyle name="40% - Ênfase2" xfId="28" xr:uid="{00000000-0005-0000-0000-000007000000}"/>
    <cellStyle name="40% - Ênfase3" xfId="32" xr:uid="{00000000-0005-0000-0000-000008000000}"/>
    <cellStyle name="40% - Ênfase4" xfId="36" xr:uid="{00000000-0005-0000-0000-000009000000}"/>
    <cellStyle name="40% - Ênfase5" xfId="40" xr:uid="{00000000-0005-0000-0000-00000A000000}"/>
    <cellStyle name="40% - Ênfase6" xfId="44" xr:uid="{00000000-0005-0000-0000-00000B000000}"/>
    <cellStyle name="60% - Ênfase1" xfId="25" xr:uid="{00000000-0005-0000-0000-00000C000000}"/>
    <cellStyle name="60% - Ênfase2" xfId="29" xr:uid="{00000000-0005-0000-0000-00000D000000}"/>
    <cellStyle name="60% - Ênfase3" xfId="33" xr:uid="{00000000-0005-0000-0000-00000E000000}"/>
    <cellStyle name="60% - Ênfase4" xfId="37" xr:uid="{00000000-0005-0000-0000-00000F000000}"/>
    <cellStyle name="60% - Ênfase5" xfId="41" xr:uid="{00000000-0005-0000-0000-000010000000}"/>
    <cellStyle name="60% - Ênfase6" xfId="45" xr:uid="{00000000-0005-0000-0000-000011000000}"/>
    <cellStyle name="Bom" xfId="10" xr:uid="{00000000-0005-0000-0000-000012000000}"/>
    <cellStyle name="Cálculo" xfId="15" xr:uid="{00000000-0005-0000-0000-000013000000}"/>
    <cellStyle name="Célula de Verificação" xfId="17" xr:uid="{00000000-0005-0000-0000-000014000000}"/>
    <cellStyle name="Célula Vinculada" xfId="16" xr:uid="{00000000-0005-0000-0000-000015000000}"/>
    <cellStyle name="Ênfase1" xfId="22" xr:uid="{00000000-0005-0000-0000-000016000000}"/>
    <cellStyle name="Ênfase2" xfId="26" xr:uid="{00000000-0005-0000-0000-000017000000}"/>
    <cellStyle name="Ênfase3" xfId="30" xr:uid="{00000000-0005-0000-0000-000018000000}"/>
    <cellStyle name="Ênfase4" xfId="34" xr:uid="{00000000-0005-0000-0000-000019000000}"/>
    <cellStyle name="Ênfase5" xfId="38" xr:uid="{00000000-0005-0000-0000-00001A000000}"/>
    <cellStyle name="Ênfase6" xfId="42" xr:uid="{00000000-0005-0000-0000-00001B000000}"/>
    <cellStyle name="Entrada" xfId="13" xr:uid="{00000000-0005-0000-0000-00001C000000}"/>
    <cellStyle name="Hiperlink" xfId="46" xr:uid="{00000000-0005-0000-0000-00001D000000}"/>
    <cellStyle name="Moeda" xfId="47" xr:uid="{00000000-0005-0000-0000-00001E000000}"/>
    <cellStyle name="Neutro" xfId="12" xr:uid="{00000000-0005-0000-0000-00001F000000}"/>
    <cellStyle name="Normal" xfId="0" builtinId="0"/>
    <cellStyle name="Normal 2" xfId="1" xr:uid="{00000000-0005-0000-0000-000021000000}"/>
    <cellStyle name="Normal 3" xfId="3" xr:uid="{00000000-0005-0000-0000-000022000000}"/>
    <cellStyle name="Normal 4" xfId="4" xr:uid="{00000000-0005-0000-0000-000023000000}"/>
    <cellStyle name="Nota" xfId="19" xr:uid="{00000000-0005-0000-0000-000024000000}"/>
    <cellStyle name="Porcentagem" xfId="48" xr:uid="{00000000-0005-0000-0000-000025000000}"/>
    <cellStyle name="Ruim" xfId="11" xr:uid="{00000000-0005-0000-0000-000026000000}"/>
    <cellStyle name="Saída" xfId="14" xr:uid="{00000000-0005-0000-0000-000027000000}"/>
    <cellStyle name="Texto de Aviso" xfId="18" xr:uid="{00000000-0005-0000-0000-000028000000}"/>
    <cellStyle name="Texto Explicativo" xfId="20" xr:uid="{00000000-0005-0000-0000-000029000000}"/>
    <cellStyle name="Título" xfId="5" xr:uid="{00000000-0005-0000-0000-00002A000000}"/>
    <cellStyle name="Título 1" xfId="6" xr:uid="{00000000-0005-0000-0000-00002B000000}"/>
    <cellStyle name="Título 2" xfId="7" xr:uid="{00000000-0005-0000-0000-00002C000000}"/>
    <cellStyle name="Título 3" xfId="8" xr:uid="{00000000-0005-0000-0000-00002D000000}"/>
    <cellStyle name="Título 4" xfId="9" xr:uid="{00000000-0005-0000-0000-00002E000000}"/>
    <cellStyle name="Total" xfId="21" xr:uid="{00000000-0005-0000-0000-00002F000000}"/>
    <cellStyle name="Vírgula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92"/>
  <sheetViews>
    <sheetView topLeftCell="A85" workbookViewId="0">
      <selection activeCell="B91" sqref="B91"/>
    </sheetView>
  </sheetViews>
  <sheetFormatPr defaultColWidth="9.109375" defaultRowHeight="14.4" x14ac:dyDescent="0.3"/>
  <cols>
    <col min="1" max="1" width="25.33203125" style="28" customWidth="1"/>
    <col min="2" max="2" width="14" customWidth="1"/>
    <col min="3" max="3" width="14.5546875" style="27" customWidth="1"/>
    <col min="4" max="4" width="16.88671875" style="27" customWidth="1"/>
    <col min="5" max="5" width="15.109375" style="27" customWidth="1"/>
    <col min="6" max="6" width="22.44140625" style="27" customWidth="1"/>
    <col min="7" max="7" width="20.6640625" style="27" customWidth="1"/>
    <col min="8" max="8" width="15.88671875" style="27" customWidth="1"/>
    <col min="9" max="9" width="25.33203125" style="27" customWidth="1"/>
    <col min="10" max="10" width="21.109375" style="29" customWidth="1"/>
    <col min="11" max="11" width="12.88671875" style="27" customWidth="1"/>
    <col min="12" max="12" width="14.33203125" style="27" customWidth="1"/>
    <col min="13" max="13" width="11.6640625" style="29" customWidth="1"/>
    <col min="14" max="14" width="25.88671875" style="27" customWidth="1"/>
    <col min="15" max="15" width="25.44140625" style="27" customWidth="1"/>
    <col min="16" max="17" width="23.5546875" style="27" customWidth="1"/>
    <col min="18" max="18" width="20.44140625" style="38" customWidth="1"/>
    <col min="19" max="19" width="20.44140625" style="27" customWidth="1"/>
    <col min="20" max="20" width="20.44140625" style="38" customWidth="1"/>
    <col min="21" max="21" width="24.33203125" style="27" customWidth="1"/>
    <col min="22" max="22" width="15" style="27" customWidth="1"/>
    <col min="23" max="23" width="32.44140625" style="27" customWidth="1"/>
    <col min="24" max="24" width="20.5546875" style="27" customWidth="1"/>
    <col min="25" max="25" width="19.6640625" style="27" customWidth="1"/>
    <col min="26" max="26" width="18.44140625" style="27" customWidth="1"/>
    <col min="27" max="27" width="22.6640625" style="27" customWidth="1"/>
    <col min="28" max="30" width="22.33203125" style="27" customWidth="1"/>
    <col min="31" max="31" width="21.5546875" style="27" customWidth="1"/>
    <col min="32" max="32" width="24" style="27" customWidth="1"/>
    <col min="33" max="35" width="22.33203125" style="27" customWidth="1"/>
    <col min="36" max="36" width="23.33203125" style="27" customWidth="1"/>
    <col min="37" max="38" width="22.33203125" style="27" customWidth="1"/>
    <col min="39" max="39" width="19.6640625" style="27" customWidth="1"/>
    <col min="40" max="40" width="22" style="27" customWidth="1"/>
    <col min="41" max="41" width="19.6640625" style="27" customWidth="1"/>
    <col min="42" max="122" width="22.33203125" style="27" customWidth="1"/>
    <col min="123" max="16384" width="9.109375" style="27"/>
  </cols>
  <sheetData>
    <row r="1" spans="1:122" s="35" customFormat="1" ht="8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</row>
    <row r="2" spans="1:122" s="36" customFormat="1" ht="23.25" customHeight="1" x14ac:dyDescent="0.3">
      <c r="A2" s="11" t="s">
        <v>46</v>
      </c>
      <c r="B2" s="12"/>
      <c r="C2" s="12" t="str">
        <f>HYPERLINK("https://covid.saude.gov.br/","DATASUS/SVS")</f>
        <v>DATASUS/SVS</v>
      </c>
      <c r="D2" s="12" t="str">
        <f t="shared" ref="D2:G2" si="0">HYPERLINK("https://covid.saude.gov.br/","DATASUS/SVS")</f>
        <v>DATASUS/SVS</v>
      </c>
      <c r="E2" s="12" t="str">
        <f t="shared" si="0"/>
        <v>DATASUS/SVS</v>
      </c>
      <c r="F2" s="12" t="str">
        <f t="shared" si="0"/>
        <v>DATASUS/SVS</v>
      </c>
      <c r="G2" s="12" t="str">
        <f t="shared" si="0"/>
        <v>DATASUS/SVS</v>
      </c>
      <c r="H2" s="12" t="str">
        <f>HYPERLINK("https://datasus.saude.gov.br/populacao-residente/","DATASUS")</f>
        <v>DATASUS</v>
      </c>
      <c r="I2" s="13" t="str">
        <f>HYPERLINK("https://www.portaltransparencia.gov.br/url/79d962ff","CGU/Portal da Transparência")</f>
        <v>CGU/Portal da Transparência</v>
      </c>
      <c r="J2" s="13" t="str">
        <f>HYPERLINK("https://www.portaltransparencia.gov.br/url/0bcf3311","CGU/Portal da Transparência")</f>
        <v>CGU/Portal da Transparência</v>
      </c>
      <c r="K2" s="12" t="str">
        <f>HYPERLINK("https://cidades.ibge.gov.br/brasil/ce/panorama","IBGE")</f>
        <v>IBGE</v>
      </c>
      <c r="L2" s="12" t="str">
        <f t="shared" ref="L2:M2" si="1">HYPERLINK("https://cidades.ibge.gov.br/brasil/ce/panorama","IBGE")</f>
        <v>IBGE</v>
      </c>
      <c r="M2" s="12" t="str">
        <f t="shared" si="1"/>
        <v>IBGE</v>
      </c>
      <c r="N2" s="12" t="str">
        <f>HYPERLINK("http://atlasbrasil.org.br/acervo/biblioteca","Atlas Brasil/PNUD/IBGE")</f>
        <v>Atlas Brasil/PNUD/IBGE</v>
      </c>
      <c r="O2" s="12" t="str">
        <f>HYPERLINK("http://ipecedata.ipece.ce.gov.br/ipece-data-web/","IPECE")</f>
        <v>IPECE</v>
      </c>
      <c r="P2" s="12" t="str">
        <f>HYPERLINK("http://www.ipeadata.gov.br/Default.aspx","IPEA")</f>
        <v>IPEA</v>
      </c>
      <c r="Q2" s="12" t="str">
        <f>HYPERLINK("http://www.ipeadata.gov.br/Default.aspx","IPEA")</f>
        <v>IPEA</v>
      </c>
      <c r="R2" s="12" t="str">
        <f>HYPERLINK("http://ideb.inep.gov.br/","IDEB")</f>
        <v>IDEB</v>
      </c>
      <c r="S2" s="12" t="str">
        <f>HYPERLINK("http://ideb.inep.gov.br/","IDEB")</f>
        <v>IDEB</v>
      </c>
      <c r="T2" s="12" t="str">
        <f>HYPERLINK("http://ideb.inep.gov.br/","IDEB")</f>
        <v>IDEB</v>
      </c>
      <c r="U2" s="12" t="str">
        <f>HYPERLINK("http://ipecedata.ipece.ce.gov.br/ipece-data-web/","IPECE")</f>
        <v>IPECE</v>
      </c>
      <c r="V2" s="12" t="str">
        <f>HYPERLINK("http://ipecedata.ipece.ce.gov.br/ipece-data-web/","IPECE/COELCE")</f>
        <v>IPECE/COELCE</v>
      </c>
      <c r="W2" s="12" t="str">
        <f>HYPERLINK("https://www.ipea.gov.br/atlasviolencia/dados-series/20","Atlas da Violência/IPEA")</f>
        <v>Atlas da Violência/IPEA</v>
      </c>
      <c r="X2" s="12" t="str">
        <f>HYPERLINK("https://www.tse.jus.br/eleicoes/estatisticas/estatisticas-eleitorais","TSE")</f>
        <v>TSE</v>
      </c>
      <c r="Y2" s="12" t="str">
        <f>HYPERLINK("http://ipecedata.ipece.ce.gov.br/ipece-data-web/","IPECE")</f>
        <v>IPECE</v>
      </c>
      <c r="Z2" s="12" t="str">
        <f>HYPERLINK("http://ipecedata.ipece.ce.gov.br/ipece-data-web/","IPECE/SESA")</f>
        <v>IPECE/SESA</v>
      </c>
      <c r="AA2" s="12" t="str">
        <f>HYPERLINK("http://ipecedata.ipece.ce.gov.br/ipece-data-web/","IPECE/SESA")</f>
        <v>IPECE/SESA</v>
      </c>
      <c r="AB2" s="31" t="str">
        <f>HYPERLINK("http://ipecedata.ipece.ce.gov.br/ipece-data-web/","IPECE/SESA")</f>
        <v>IPECE/SESA</v>
      </c>
      <c r="AC2" s="12" t="str">
        <f>HYPERLINK("https://covid.saude.gov.br/","DATASUS/SVS")</f>
        <v>DATASUS/SVS</v>
      </c>
      <c r="AD2" s="12" t="str">
        <f>HYPERLINK("http://ipecedata.ipece.ce.gov.br/ipece-data-web/","IPECE")</f>
        <v>IPECE</v>
      </c>
      <c r="AE2" s="12" t="str">
        <f t="shared" ref="AE2" si="2">HYPERLINK("https://cidades.ibge.gov.br/brasil/ce/panorama","IBGE")</f>
        <v>IBGE</v>
      </c>
      <c r="AF2" s="31" t="str">
        <f>HYPERLINK("https://apps.tre-ce.jus.br/tre/eleicoes/resultados/2016/?ceara","TRE")</f>
        <v>TRE</v>
      </c>
      <c r="AG2" s="31" t="str">
        <f>HYPERLINK("https://apps.tre-ce.jus.br/tre/eleicoes/resultados/2016/?ceara","TRE")</f>
        <v>TRE</v>
      </c>
      <c r="AH2" s="12" t="str">
        <f>HYPERLINK("http://ivs.ipea.gov.br/index.php/pt/planilha","IPEA")</f>
        <v>IPEA</v>
      </c>
      <c r="AI2" s="12" t="str">
        <f t="shared" ref="AI2:AK2" si="3">HYPERLINK("http://ivs.ipea.gov.br/index.php/pt/planilha","IPEA")</f>
        <v>IPEA</v>
      </c>
      <c r="AJ2" s="12" t="str">
        <f t="shared" si="3"/>
        <v>IPEA</v>
      </c>
      <c r="AK2" s="12" t="str">
        <f t="shared" si="3"/>
        <v>IPEA</v>
      </c>
      <c r="AL2" s="31" t="str">
        <f>HYPERLINK("http://ipecedata.ipece.ce.gov.br/ipece-data-web/","IPECE")</f>
        <v>IPECE</v>
      </c>
      <c r="AM2" s="31" t="str">
        <f>HYPERLINK("http://ipecedata.ipece.ce.gov.br/ipece-data-web/","IPECE")</f>
        <v>IPECE</v>
      </c>
      <c r="AN2" s="31" t="str">
        <f>HYPERLINK("http://ipecedata.ipece.ce.gov.br/ipece-data-web/","IPECE/SESA")</f>
        <v>IPECE/SESA</v>
      </c>
      <c r="AO2" s="31" t="str">
        <f>HYPERLINK("http://ipecedata.ipece.ce.gov.br/ipece-data-web/","IPECE/SESA")</f>
        <v>IPECE/SESA</v>
      </c>
      <c r="AP2" s="12" t="str">
        <f>HYPERLINK("http://http://tabnet.datasus.gov.br/cgi/tabcgi.exe?popsvs/cnv/popbr.def","DATASUS")</f>
        <v>DATASUS</v>
      </c>
      <c r="AQ2" s="12" t="str">
        <f>HYPERLINK("http://tabnet.datasus.gov.br/cgi/tabcgi.exe?sih/cnv/nrce.def","DATASUS")</f>
        <v>DATASUS</v>
      </c>
      <c r="AR2" s="12" t="str">
        <f>HYPERLINK("http://tabnet.datasus.gov.br/cgi/tabcgi.exe?sih/cnv/nrce.def","DATASUS")</f>
        <v>DATASUS</v>
      </c>
      <c r="AS2" s="12" t="str">
        <f t="shared" ref="AS2:AT2" si="4">HYPERLINK("http://tabnet.datasus.gov.br/cgi/tabcgi.exe?sih/cnv/nrce.def","DATASUS")</f>
        <v>DATASUS</v>
      </c>
      <c r="AT2" s="12" t="str">
        <f t="shared" si="4"/>
        <v>DATASUS</v>
      </c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</row>
    <row r="3" spans="1:122" s="37" customFormat="1" ht="10.199999999999999" x14ac:dyDescent="0.3">
      <c r="A3" s="10" t="s">
        <v>47</v>
      </c>
      <c r="B3" s="10"/>
      <c r="C3" s="22" t="s">
        <v>48</v>
      </c>
      <c r="D3" s="22" t="s">
        <v>48</v>
      </c>
      <c r="E3" s="22" t="s">
        <v>48</v>
      </c>
      <c r="F3" s="22" t="s">
        <v>48</v>
      </c>
      <c r="G3" s="22" t="s">
        <v>48</v>
      </c>
      <c r="H3" s="9">
        <v>2019</v>
      </c>
      <c r="I3" s="22" t="s">
        <v>48</v>
      </c>
      <c r="J3" s="22" t="s">
        <v>48</v>
      </c>
      <c r="K3" s="9">
        <v>2019</v>
      </c>
      <c r="L3" s="9">
        <v>2019</v>
      </c>
      <c r="M3" s="10">
        <v>2018</v>
      </c>
      <c r="N3" s="10">
        <v>2010</v>
      </c>
      <c r="O3" s="10">
        <v>2018</v>
      </c>
      <c r="P3" s="10">
        <v>2018</v>
      </c>
      <c r="Q3" s="10">
        <v>2018</v>
      </c>
      <c r="R3" s="10">
        <v>2019</v>
      </c>
      <c r="S3" s="10">
        <v>2019</v>
      </c>
      <c r="T3" s="10">
        <v>2019</v>
      </c>
      <c r="U3" s="10">
        <v>2019</v>
      </c>
      <c r="V3" s="10">
        <v>2019</v>
      </c>
      <c r="W3" s="10">
        <v>2019</v>
      </c>
      <c r="X3" s="10">
        <v>2016</v>
      </c>
      <c r="Y3" s="10">
        <v>2020</v>
      </c>
      <c r="Z3" s="10">
        <v>2019</v>
      </c>
      <c r="AA3" s="10">
        <v>2019</v>
      </c>
      <c r="AB3" s="32">
        <v>2019</v>
      </c>
      <c r="AC3" s="32"/>
      <c r="AD3" s="32">
        <v>2020</v>
      </c>
      <c r="AE3" s="32">
        <v>2010</v>
      </c>
      <c r="AF3" s="32">
        <v>2019</v>
      </c>
      <c r="AG3" s="10">
        <v>2016</v>
      </c>
      <c r="AH3" s="10">
        <v>2010</v>
      </c>
      <c r="AI3" s="10">
        <v>2010</v>
      </c>
      <c r="AJ3" s="10">
        <v>2010</v>
      </c>
      <c r="AK3" s="10">
        <v>2010</v>
      </c>
      <c r="AL3" s="10"/>
      <c r="AM3" s="10"/>
      <c r="AN3" s="10">
        <v>2019</v>
      </c>
      <c r="AO3" s="10">
        <v>2019</v>
      </c>
      <c r="AP3" s="10">
        <v>2019</v>
      </c>
      <c r="AQ3" s="10">
        <v>2019</v>
      </c>
      <c r="AR3" s="10">
        <v>2019</v>
      </c>
      <c r="AS3" s="10">
        <v>2019</v>
      </c>
      <c r="AT3" s="10">
        <v>2019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</row>
    <row r="4" spans="1:122" s="37" customFormat="1" ht="81.599999999999994" x14ac:dyDescent="0.3">
      <c r="A4" s="3" t="s">
        <v>49</v>
      </c>
      <c r="B4" s="33"/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  <c r="M4" s="3" t="s">
        <v>60</v>
      </c>
      <c r="N4" s="3" t="s">
        <v>61</v>
      </c>
      <c r="O4" s="3" t="s">
        <v>62</v>
      </c>
      <c r="P4" s="3" t="s">
        <v>63</v>
      </c>
      <c r="Q4" s="3" t="s">
        <v>63</v>
      </c>
      <c r="R4" s="3" t="s">
        <v>64</v>
      </c>
      <c r="S4" s="3" t="s">
        <v>64</v>
      </c>
      <c r="T4" s="3" t="s">
        <v>64</v>
      </c>
      <c r="U4" s="3" t="s">
        <v>65</v>
      </c>
      <c r="V4" s="3" t="s">
        <v>66</v>
      </c>
      <c r="W4" s="3" t="s">
        <v>67</v>
      </c>
      <c r="X4" s="3" t="s">
        <v>68</v>
      </c>
      <c r="Y4" s="3" t="s">
        <v>69</v>
      </c>
      <c r="Z4" s="3" t="s">
        <v>70</v>
      </c>
      <c r="AA4" s="3" t="s">
        <v>71</v>
      </c>
      <c r="AB4" s="33" t="s">
        <v>72</v>
      </c>
      <c r="AC4" s="33" t="s">
        <v>73</v>
      </c>
      <c r="AD4" s="33" t="s">
        <v>74</v>
      </c>
      <c r="AE4" s="33" t="s">
        <v>75</v>
      </c>
      <c r="AF4" s="33" t="s">
        <v>76</v>
      </c>
      <c r="AG4" s="33" t="s">
        <v>77</v>
      </c>
      <c r="AH4" s="33" t="s">
        <v>78</v>
      </c>
      <c r="AI4" s="33" t="s">
        <v>79</v>
      </c>
      <c r="AJ4" s="33" t="s">
        <v>80</v>
      </c>
      <c r="AK4" s="33" t="s">
        <v>81</v>
      </c>
      <c r="AL4" s="33" t="s">
        <v>82</v>
      </c>
      <c r="AM4" s="33" t="s">
        <v>83</v>
      </c>
      <c r="AN4" s="33" t="s">
        <v>84</v>
      </c>
      <c r="AO4" s="33" t="s">
        <v>85</v>
      </c>
      <c r="AP4" s="33" t="s">
        <v>86</v>
      </c>
      <c r="AQ4" s="33" t="s">
        <v>87</v>
      </c>
      <c r="AR4" s="33" t="s">
        <v>87</v>
      </c>
      <c r="AS4" s="33" t="s">
        <v>87</v>
      </c>
      <c r="AT4" s="33" t="s">
        <v>87</v>
      </c>
      <c r="AU4" s="33" t="s">
        <v>88</v>
      </c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"/>
    </row>
    <row r="5" spans="1:122" s="38" customFormat="1" x14ac:dyDescent="0.3">
      <c r="A5" s="21" t="s">
        <v>89</v>
      </c>
      <c r="B5" s="8">
        <v>2300101</v>
      </c>
      <c r="C5" s="61">
        <v>53</v>
      </c>
      <c r="D5" s="14">
        <v>451.56343188208234</v>
      </c>
      <c r="E5" s="18">
        <v>2</v>
      </c>
      <c r="F5" s="18">
        <v>17.040129504984236</v>
      </c>
      <c r="G5" s="7">
        <v>3.7735849056603772E-2</v>
      </c>
      <c r="H5" s="62">
        <v>11737</v>
      </c>
      <c r="I5" s="19">
        <v>4543015.5065178499</v>
      </c>
      <c r="J5" s="6">
        <v>89649825.338672578</v>
      </c>
      <c r="K5" s="5">
        <v>180.833</v>
      </c>
      <c r="L5" s="4">
        <v>64.905188765324908</v>
      </c>
      <c r="M5" s="6">
        <v>7360.5</v>
      </c>
      <c r="N5" s="8">
        <v>0.628</v>
      </c>
      <c r="O5" s="15">
        <v>9.73</v>
      </c>
      <c r="P5" s="90">
        <v>62997044.815540597</v>
      </c>
      <c r="Q5" s="91">
        <v>86942125.500553802</v>
      </c>
      <c r="R5" s="15">
        <v>6.1</v>
      </c>
      <c r="S5" s="8">
        <v>4.5999999999999996</v>
      </c>
      <c r="T5" s="8">
        <v>4.3</v>
      </c>
      <c r="U5" s="14">
        <v>98.509397278029795</v>
      </c>
      <c r="V5" s="20">
        <v>8651.3700000000008</v>
      </c>
      <c r="W5" s="48">
        <v>8.52</v>
      </c>
      <c r="X5" s="8">
        <v>32.26</v>
      </c>
      <c r="Y5" s="16">
        <v>46.190837762591698</v>
      </c>
      <c r="Z5" s="8">
        <v>0.77</v>
      </c>
      <c r="AA5" s="17">
        <v>8.5200647500000004E-2</v>
      </c>
      <c r="AB5" s="34">
        <v>9.0312686376000002</v>
      </c>
      <c r="AC5" s="34">
        <v>0</v>
      </c>
      <c r="AD5" s="42">
        <v>1</v>
      </c>
      <c r="AE5" s="43">
        <v>0.56631097560975607</v>
      </c>
      <c r="AF5" s="34">
        <v>0</v>
      </c>
      <c r="AG5" s="44">
        <v>0.48</v>
      </c>
      <c r="AH5" s="8">
        <v>0.29799999999999999</v>
      </c>
      <c r="AI5" s="17">
        <v>0.54100000000000004</v>
      </c>
      <c r="AJ5" s="8">
        <v>0.6</v>
      </c>
      <c r="AK5" s="45">
        <v>0.6</v>
      </c>
      <c r="AL5" s="85">
        <v>6.3644883701116123E-2</v>
      </c>
      <c r="AM5" s="44">
        <v>6.8493150684931496</v>
      </c>
      <c r="AN5" s="8">
        <v>0.66860465116279055</v>
      </c>
      <c r="AO5" s="44">
        <v>0.66860465116279055</v>
      </c>
      <c r="AP5" s="85">
        <v>0.14254068330919314</v>
      </c>
      <c r="AQ5" s="45">
        <v>349.32265485217687</v>
      </c>
      <c r="AR5" s="8">
        <v>477.12362613955867</v>
      </c>
      <c r="AS5" s="45">
        <v>102.24077702990543</v>
      </c>
      <c r="AT5" s="8">
        <v>17.040129504984236</v>
      </c>
      <c r="AU5" s="45"/>
      <c r="AV5" s="45"/>
      <c r="AW5" s="8"/>
      <c r="AX5" s="45"/>
      <c r="AY5" s="8"/>
      <c r="AZ5" s="45"/>
      <c r="BA5" s="8"/>
      <c r="BB5" s="45"/>
      <c r="BC5" s="8"/>
      <c r="BD5" s="45"/>
      <c r="BE5" s="8"/>
      <c r="BF5" s="45"/>
      <c r="BG5" s="8"/>
      <c r="BH5" s="45"/>
      <c r="BI5" s="8"/>
      <c r="BJ5" s="45"/>
      <c r="BK5" s="8"/>
      <c r="BL5" s="45"/>
      <c r="BM5" s="8"/>
      <c r="BN5" s="8"/>
      <c r="BO5" s="45"/>
      <c r="BP5" s="8"/>
      <c r="BQ5" s="45"/>
      <c r="BR5" s="8"/>
      <c r="BS5" s="45"/>
      <c r="BT5" s="8"/>
      <c r="BU5" s="45"/>
      <c r="BV5" s="8"/>
      <c r="BW5" s="45"/>
      <c r="BX5" s="8"/>
      <c r="BY5" s="45"/>
      <c r="BZ5" s="8"/>
      <c r="CA5" s="45"/>
      <c r="CB5" s="8"/>
      <c r="CC5" s="45"/>
      <c r="CD5" s="8"/>
      <c r="CE5" s="45"/>
      <c r="CF5" s="8"/>
      <c r="CG5" s="45"/>
      <c r="CH5" s="8"/>
      <c r="CI5" s="45"/>
      <c r="CJ5" s="8"/>
      <c r="CK5" s="45"/>
      <c r="CL5" s="8"/>
      <c r="CM5" s="45"/>
      <c r="CN5" s="8"/>
      <c r="CO5" s="45"/>
      <c r="CP5" s="8"/>
      <c r="CQ5" s="45"/>
      <c r="CR5" s="8"/>
      <c r="CS5" s="45"/>
      <c r="CT5" s="8"/>
      <c r="CU5" s="45"/>
      <c r="CV5" s="8"/>
      <c r="CW5" s="45"/>
      <c r="CX5" s="8"/>
      <c r="CY5" s="45"/>
      <c r="CZ5" s="8"/>
      <c r="DA5" s="45"/>
      <c r="DB5" s="8"/>
      <c r="DC5" s="45"/>
      <c r="DD5" s="8"/>
      <c r="DE5" s="45"/>
      <c r="DF5" s="8"/>
      <c r="DG5" s="45"/>
      <c r="DH5" s="8"/>
      <c r="DI5" s="45"/>
      <c r="DJ5" s="8"/>
      <c r="DK5" s="45"/>
      <c r="DL5" s="8"/>
      <c r="DM5" s="45"/>
      <c r="DN5" s="8"/>
      <c r="DO5" s="45"/>
      <c r="DP5" s="8"/>
      <c r="DQ5" s="45"/>
      <c r="DR5" s="8"/>
    </row>
    <row r="6" spans="1:122" s="38" customFormat="1" x14ac:dyDescent="0.3">
      <c r="A6" s="21" t="s">
        <v>90</v>
      </c>
      <c r="B6" s="8">
        <v>2300150</v>
      </c>
      <c r="C6" s="61">
        <v>1132</v>
      </c>
      <c r="D6" s="14">
        <v>7582.5574385424334</v>
      </c>
      <c r="E6" s="18">
        <v>14</v>
      </c>
      <c r="F6" s="18">
        <v>93.77721213745059</v>
      </c>
      <c r="G6" s="7">
        <v>1.2367491166077738E-2</v>
      </c>
      <c r="H6" s="63">
        <v>14929</v>
      </c>
      <c r="I6" s="19">
        <v>12572691.472972069</v>
      </c>
      <c r="J6" s="6">
        <v>99663741.710764289</v>
      </c>
      <c r="K6" s="5">
        <v>130.00200000000001</v>
      </c>
      <c r="L6" s="4">
        <v>114.83669482007969</v>
      </c>
      <c r="M6" s="6">
        <v>8075.56</v>
      </c>
      <c r="N6" s="8">
        <v>0.60599999999999998</v>
      </c>
      <c r="O6" s="15">
        <v>24.07</v>
      </c>
      <c r="P6" s="90">
        <v>67889535.333913863</v>
      </c>
      <c r="Q6" s="91">
        <v>90471448.723960072</v>
      </c>
      <c r="R6" s="15">
        <v>5.4</v>
      </c>
      <c r="S6" s="8">
        <v>4.9000000000000004</v>
      </c>
      <c r="T6" s="8">
        <v>4.3</v>
      </c>
      <c r="U6" s="14">
        <v>98.558373020980795</v>
      </c>
      <c r="V6" s="20">
        <v>20331.29</v>
      </c>
      <c r="W6" s="48">
        <v>40.19</v>
      </c>
      <c r="X6" s="8">
        <v>32.97</v>
      </c>
      <c r="Y6" s="16">
        <v>43.854748603352</v>
      </c>
      <c r="Z6" s="8">
        <v>1.21</v>
      </c>
      <c r="AA6" s="17">
        <v>0</v>
      </c>
      <c r="AB6" s="34">
        <v>7.6361444168999997</v>
      </c>
      <c r="AC6" s="34">
        <v>0</v>
      </c>
      <c r="AD6" s="42">
        <v>1</v>
      </c>
      <c r="AE6" s="43">
        <v>0.47959316729690965</v>
      </c>
      <c r="AF6" s="34">
        <v>1</v>
      </c>
      <c r="AG6" s="44">
        <v>0.42399999999999999</v>
      </c>
      <c r="AH6" s="8">
        <v>0.247</v>
      </c>
      <c r="AI6" s="17">
        <v>0.57699999999999996</v>
      </c>
      <c r="AJ6" s="8">
        <v>0.44900000000000001</v>
      </c>
      <c r="AK6" s="45">
        <v>0.44900000000000001</v>
      </c>
      <c r="AL6" s="85">
        <v>0.12686717127737959</v>
      </c>
      <c r="AM6" s="44">
        <v>17.167381974248901</v>
      </c>
      <c r="AN6" s="8">
        <v>0.86407766990291268</v>
      </c>
      <c r="AO6" s="44">
        <v>0.86407766990291279</v>
      </c>
      <c r="AP6" s="85">
        <v>0.11802531984727711</v>
      </c>
      <c r="AQ6" s="45">
        <v>395.2039654363989</v>
      </c>
      <c r="AR6" s="8">
        <v>355.01373166320582</v>
      </c>
      <c r="AS6" s="45">
        <v>66.983722955321866</v>
      </c>
      <c r="AT6" s="8">
        <v>13.396744591064373</v>
      </c>
      <c r="AU6" s="45"/>
      <c r="AV6" s="45"/>
      <c r="AW6" s="8"/>
      <c r="AX6" s="45"/>
      <c r="AY6" s="8"/>
      <c r="AZ6" s="45"/>
      <c r="BA6" s="8"/>
      <c r="BB6" s="45"/>
      <c r="BC6" s="8"/>
      <c r="BD6" s="45"/>
      <c r="BE6" s="8"/>
      <c r="BF6" s="45"/>
      <c r="BG6" s="8"/>
      <c r="BH6" s="45"/>
      <c r="BI6" s="8"/>
      <c r="BJ6" s="45"/>
      <c r="BK6" s="8"/>
      <c r="BL6" s="45"/>
      <c r="BM6" s="8"/>
      <c r="BN6" s="8"/>
      <c r="BO6" s="45"/>
      <c r="BP6" s="8"/>
      <c r="BQ6" s="45"/>
      <c r="BR6" s="8"/>
      <c r="BS6" s="45"/>
      <c r="BT6" s="8"/>
      <c r="BU6" s="45"/>
      <c r="BV6" s="8"/>
      <c r="BW6" s="45"/>
      <c r="BX6" s="8"/>
      <c r="BY6" s="45"/>
      <c r="BZ6" s="8"/>
      <c r="CA6" s="45"/>
      <c r="CB6" s="8"/>
      <c r="CC6" s="45"/>
      <c r="CD6" s="8"/>
      <c r="CE6" s="45"/>
      <c r="CF6" s="8"/>
      <c r="CG6" s="45"/>
      <c r="CH6" s="8"/>
      <c r="CI6" s="45"/>
      <c r="CJ6" s="8"/>
      <c r="CK6" s="45"/>
      <c r="CL6" s="8"/>
      <c r="CM6" s="45"/>
      <c r="CN6" s="8"/>
      <c r="CO6" s="45"/>
      <c r="CP6" s="8"/>
      <c r="CQ6" s="45"/>
      <c r="CR6" s="8"/>
      <c r="CS6" s="45"/>
      <c r="CT6" s="8"/>
      <c r="CU6" s="45"/>
      <c r="CV6" s="8"/>
      <c r="CW6" s="45"/>
      <c r="CX6" s="8"/>
      <c r="CY6" s="45"/>
      <c r="CZ6" s="8"/>
      <c r="DA6" s="45"/>
      <c r="DB6" s="8"/>
      <c r="DC6" s="45"/>
      <c r="DD6" s="8"/>
      <c r="DE6" s="45"/>
      <c r="DF6" s="8"/>
      <c r="DG6" s="45"/>
      <c r="DH6" s="8"/>
      <c r="DI6" s="45"/>
      <c r="DJ6" s="8"/>
      <c r="DK6" s="45"/>
      <c r="DL6" s="8"/>
      <c r="DM6" s="45"/>
      <c r="DN6" s="8"/>
      <c r="DO6" s="45"/>
      <c r="DP6" s="8"/>
      <c r="DQ6" s="45"/>
      <c r="DR6" s="8"/>
    </row>
    <row r="7" spans="1:122" s="38" customFormat="1" x14ac:dyDescent="0.3">
      <c r="A7" s="21" t="s">
        <v>91</v>
      </c>
      <c r="B7" s="8">
        <v>2300200</v>
      </c>
      <c r="C7" s="61">
        <v>2464</v>
      </c>
      <c r="D7" s="14">
        <v>3933.5259654220076</v>
      </c>
      <c r="E7" s="18">
        <v>54</v>
      </c>
      <c r="F7" s="18">
        <v>86.205520346099206</v>
      </c>
      <c r="G7" s="7">
        <v>2.1915584415584416E-2</v>
      </c>
      <c r="H7" s="63">
        <v>62641</v>
      </c>
      <c r="I7" s="19">
        <v>6519993.3749461211</v>
      </c>
      <c r="J7" s="6">
        <v>108659184.87891318</v>
      </c>
      <c r="K7" s="5">
        <v>842.471</v>
      </c>
      <c r="L7" s="4">
        <v>74.353894674119346</v>
      </c>
      <c r="M7" s="6">
        <v>8932.85</v>
      </c>
      <c r="N7" s="8">
        <v>0.60099999999999998</v>
      </c>
      <c r="O7" s="15">
        <v>30.63</v>
      </c>
      <c r="P7" s="90">
        <v>52475044.906690508</v>
      </c>
      <c r="Q7" s="91">
        <v>88636103.478552386</v>
      </c>
      <c r="R7" s="15">
        <v>6.5</v>
      </c>
      <c r="S7" s="8">
        <v>5.3</v>
      </c>
      <c r="T7" s="8">
        <v>4.5999999999999996</v>
      </c>
      <c r="U7" s="14">
        <v>98.039828192112495</v>
      </c>
      <c r="V7" s="20">
        <v>97471.77</v>
      </c>
      <c r="W7" s="48">
        <v>15.96</v>
      </c>
      <c r="X7" s="8">
        <v>30.48</v>
      </c>
      <c r="Y7" s="16">
        <v>53.979145537525397</v>
      </c>
      <c r="Z7" s="8">
        <v>0.54</v>
      </c>
      <c r="AA7" s="17">
        <v>1.1174789674000001</v>
      </c>
      <c r="AB7" s="34">
        <v>8.8600118132999999</v>
      </c>
      <c r="AC7" s="34">
        <v>0</v>
      </c>
      <c r="AD7" s="42">
        <v>0</v>
      </c>
      <c r="AE7" s="43">
        <v>0.50927003874824073</v>
      </c>
      <c r="AF7" s="34">
        <v>0</v>
      </c>
      <c r="AG7" s="44">
        <v>0.52200000000000002</v>
      </c>
      <c r="AH7" s="8">
        <v>0.41299999999999998</v>
      </c>
      <c r="AI7" s="17">
        <v>0.58099999999999996</v>
      </c>
      <c r="AJ7" s="8">
        <v>0.57099999999999995</v>
      </c>
      <c r="AK7" s="45">
        <v>0.57099999999999995</v>
      </c>
      <c r="AL7" s="85">
        <v>6.0711035903002829E-2</v>
      </c>
      <c r="AM7" s="44">
        <v>14.883720930232601</v>
      </c>
      <c r="AN7" s="8">
        <v>0.90058765915768868</v>
      </c>
      <c r="AO7" s="44">
        <v>0.90058765915768879</v>
      </c>
      <c r="AP7" s="85">
        <v>0.1068309892881659</v>
      </c>
      <c r="AQ7" s="45">
        <v>261.80935808815315</v>
      </c>
      <c r="AR7" s="8">
        <v>343.22568285946903</v>
      </c>
      <c r="AS7" s="45">
        <v>46.295557222905131</v>
      </c>
      <c r="AT7" s="8">
        <v>44.699158697977367</v>
      </c>
      <c r="AU7" s="45"/>
      <c r="AV7" s="45"/>
      <c r="AW7" s="8"/>
      <c r="AX7" s="45"/>
      <c r="AY7" s="8"/>
      <c r="AZ7" s="45"/>
      <c r="BA7" s="8"/>
      <c r="BB7" s="45"/>
      <c r="BC7" s="8"/>
      <c r="BD7" s="45"/>
      <c r="BE7" s="8"/>
      <c r="BF7" s="45"/>
      <c r="BG7" s="8"/>
      <c r="BH7" s="45"/>
      <c r="BI7" s="8"/>
      <c r="BJ7" s="45"/>
      <c r="BK7" s="8"/>
      <c r="BL7" s="45"/>
      <c r="BM7" s="8"/>
      <c r="BN7" s="8"/>
      <c r="BO7" s="45"/>
      <c r="BP7" s="8"/>
      <c r="BQ7" s="45"/>
      <c r="BR7" s="8"/>
      <c r="BS7" s="45"/>
      <c r="BT7" s="8"/>
      <c r="BU7" s="45"/>
      <c r="BV7" s="8"/>
      <c r="BW7" s="45"/>
      <c r="BX7" s="8"/>
      <c r="BY7" s="45"/>
      <c r="BZ7" s="8"/>
      <c r="CA7" s="45"/>
      <c r="CB7" s="8"/>
      <c r="CC7" s="45"/>
      <c r="CD7" s="8"/>
      <c r="CE7" s="45"/>
      <c r="CF7" s="8"/>
      <c r="CG7" s="45"/>
      <c r="CH7" s="8"/>
      <c r="CI7" s="45"/>
      <c r="CJ7" s="8"/>
      <c r="CK7" s="45"/>
      <c r="CL7" s="8"/>
      <c r="CM7" s="45"/>
      <c r="CN7" s="8"/>
      <c r="CO7" s="45"/>
      <c r="CP7" s="8"/>
      <c r="CQ7" s="45"/>
      <c r="CR7" s="8"/>
      <c r="CS7" s="45"/>
      <c r="CT7" s="8"/>
      <c r="CU7" s="45"/>
      <c r="CV7" s="8"/>
      <c r="CW7" s="45"/>
      <c r="CX7" s="8"/>
      <c r="CY7" s="45"/>
      <c r="CZ7" s="8"/>
      <c r="DA7" s="45"/>
      <c r="DB7" s="8"/>
      <c r="DC7" s="45"/>
      <c r="DD7" s="8"/>
      <c r="DE7" s="45"/>
      <c r="DF7" s="8"/>
      <c r="DG7" s="45"/>
      <c r="DH7" s="8"/>
      <c r="DI7" s="45"/>
      <c r="DJ7" s="8"/>
      <c r="DK7" s="45"/>
      <c r="DL7" s="8"/>
      <c r="DM7" s="45"/>
      <c r="DN7" s="8"/>
      <c r="DO7" s="45"/>
      <c r="DP7" s="8"/>
      <c r="DQ7" s="45"/>
      <c r="DR7" s="8"/>
    </row>
    <row r="8" spans="1:122" s="38" customFormat="1" x14ac:dyDescent="0.3">
      <c r="A8" s="21" t="s">
        <v>92</v>
      </c>
      <c r="B8" s="8">
        <v>2300309</v>
      </c>
      <c r="C8" s="61">
        <v>463</v>
      </c>
      <c r="D8" s="14">
        <v>853.14169891284314</v>
      </c>
      <c r="E8" s="18">
        <v>22</v>
      </c>
      <c r="F8" s="18">
        <v>40.538050488299248</v>
      </c>
      <c r="G8" s="7">
        <v>4.7516198704103674E-2</v>
      </c>
      <c r="H8" s="63">
        <v>54270</v>
      </c>
      <c r="I8" s="19">
        <v>4032983.4715312324</v>
      </c>
      <c r="J8" s="6">
        <v>91450525.152017683</v>
      </c>
      <c r="K8" s="5">
        <v>2254.279</v>
      </c>
      <c r="L8" s="4">
        <v>24.07421619063124</v>
      </c>
      <c r="M8" s="6">
        <v>7038.21</v>
      </c>
      <c r="N8" s="8">
        <v>0.59499999999999997</v>
      </c>
      <c r="O8" s="15">
        <v>19.16</v>
      </c>
      <c r="P8" s="90">
        <v>46508282.034273081</v>
      </c>
      <c r="Q8" s="91">
        <v>94679030.200847611</v>
      </c>
      <c r="R8" s="15">
        <v>6</v>
      </c>
      <c r="S8" s="8">
        <v>5.5</v>
      </c>
      <c r="T8" s="8">
        <v>4.5999999999999996</v>
      </c>
      <c r="U8" s="14">
        <v>99.613063706296899</v>
      </c>
      <c r="V8" s="20">
        <v>69789.350000000006</v>
      </c>
      <c r="W8" s="48">
        <v>29.48</v>
      </c>
      <c r="X8" s="8">
        <v>32.47</v>
      </c>
      <c r="Y8" s="16">
        <v>47.321084414750104</v>
      </c>
      <c r="Z8" s="8">
        <v>0.53</v>
      </c>
      <c r="AA8" s="17">
        <v>1.8057858854</v>
      </c>
      <c r="AB8" s="34">
        <v>6.8177630366999997</v>
      </c>
      <c r="AC8" s="34">
        <v>0</v>
      </c>
      <c r="AD8" s="42">
        <v>1</v>
      </c>
      <c r="AE8" s="43">
        <v>0.50688037529319785</v>
      </c>
      <c r="AF8" s="34">
        <v>1</v>
      </c>
      <c r="AG8" s="44">
        <v>0.42799999999999999</v>
      </c>
      <c r="AH8" s="8">
        <v>0.186</v>
      </c>
      <c r="AI8" s="17">
        <v>0.52600000000000002</v>
      </c>
      <c r="AJ8" s="8">
        <v>0.57099999999999995</v>
      </c>
      <c r="AK8" s="45">
        <v>0.57099999999999995</v>
      </c>
      <c r="AL8" s="85">
        <v>5.0912106135986734E-2</v>
      </c>
      <c r="AM8" s="44">
        <v>6.6225165562913899</v>
      </c>
      <c r="AN8" s="8">
        <v>0.87522202486678524</v>
      </c>
      <c r="AO8" s="44">
        <v>0.87522202486678524</v>
      </c>
      <c r="AP8" s="85">
        <v>0.16403169338492721</v>
      </c>
      <c r="AQ8" s="45">
        <v>316.93384927215772</v>
      </c>
      <c r="AR8" s="8">
        <v>480.92868988391382</v>
      </c>
      <c r="AS8" s="45">
        <v>55.279159756771698</v>
      </c>
      <c r="AT8" s="8">
        <v>3.6852773171181132</v>
      </c>
      <c r="AU8" s="45"/>
      <c r="AV8" s="45"/>
      <c r="AW8" s="8"/>
      <c r="AX8" s="45"/>
      <c r="AY8" s="8"/>
      <c r="AZ8" s="45"/>
      <c r="BA8" s="8"/>
      <c r="BB8" s="45"/>
      <c r="BC8" s="8"/>
      <c r="BD8" s="45"/>
      <c r="BE8" s="8"/>
      <c r="BF8" s="45"/>
      <c r="BG8" s="8"/>
      <c r="BH8" s="45"/>
      <c r="BI8" s="8"/>
      <c r="BJ8" s="45"/>
      <c r="BK8" s="8"/>
      <c r="BL8" s="45"/>
      <c r="BM8" s="8"/>
      <c r="BN8" s="8"/>
      <c r="BO8" s="45"/>
      <c r="BP8" s="8"/>
      <c r="BQ8" s="45"/>
      <c r="BR8" s="8"/>
      <c r="BS8" s="45"/>
      <c r="BT8" s="8"/>
      <c r="BU8" s="45"/>
      <c r="BV8" s="8"/>
      <c r="BW8" s="45"/>
      <c r="BX8" s="8"/>
      <c r="BY8" s="45"/>
      <c r="BZ8" s="8"/>
      <c r="CA8" s="45"/>
      <c r="CB8" s="8"/>
      <c r="CC8" s="45"/>
      <c r="CD8" s="8"/>
      <c r="CE8" s="45"/>
      <c r="CF8" s="8"/>
      <c r="CG8" s="45"/>
      <c r="CH8" s="8"/>
      <c r="CI8" s="45"/>
      <c r="CJ8" s="8"/>
      <c r="CK8" s="45"/>
      <c r="CL8" s="8"/>
      <c r="CM8" s="45"/>
      <c r="CN8" s="8"/>
      <c r="CO8" s="45"/>
      <c r="CP8" s="8"/>
      <c r="CQ8" s="45"/>
      <c r="CR8" s="8"/>
      <c r="CS8" s="45"/>
      <c r="CT8" s="8"/>
      <c r="CU8" s="45"/>
      <c r="CV8" s="8"/>
      <c r="CW8" s="45"/>
      <c r="CX8" s="8"/>
      <c r="CY8" s="45"/>
      <c r="CZ8" s="8"/>
      <c r="DA8" s="45"/>
      <c r="DB8" s="8"/>
      <c r="DC8" s="45"/>
      <c r="DD8" s="8"/>
      <c r="DE8" s="45"/>
      <c r="DF8" s="8"/>
      <c r="DG8" s="45"/>
      <c r="DH8" s="8"/>
      <c r="DI8" s="45"/>
      <c r="DJ8" s="8"/>
      <c r="DK8" s="45"/>
      <c r="DL8" s="8"/>
      <c r="DM8" s="45"/>
      <c r="DN8" s="8"/>
      <c r="DO8" s="45"/>
      <c r="DP8" s="8"/>
      <c r="DQ8" s="45"/>
      <c r="DR8" s="8"/>
    </row>
    <row r="9" spans="1:122" s="38" customFormat="1" x14ac:dyDescent="0.3">
      <c r="A9" s="21" t="s">
        <v>93</v>
      </c>
      <c r="B9" s="8">
        <v>2300408</v>
      </c>
      <c r="C9" s="61">
        <v>15</v>
      </c>
      <c r="D9" s="14">
        <v>86.211851255819298</v>
      </c>
      <c r="E9" s="18">
        <v>1</v>
      </c>
      <c r="F9" s="18">
        <v>5.7474567503879532</v>
      </c>
      <c r="G9" s="7">
        <v>6.6666666666666666E-2</v>
      </c>
      <c r="H9" s="63">
        <v>17399</v>
      </c>
      <c r="I9" s="19">
        <v>2391931.9501120755</v>
      </c>
      <c r="J9" s="6">
        <v>87042933.501925394</v>
      </c>
      <c r="K9" s="5">
        <v>2438.5630000000001</v>
      </c>
      <c r="L9" s="4">
        <v>7.134939716546179</v>
      </c>
      <c r="M9" s="6">
        <v>6424.51</v>
      </c>
      <c r="N9" s="8">
        <v>0.56899999999999995</v>
      </c>
      <c r="O9" s="15">
        <v>9.0500000000000007</v>
      </c>
      <c r="P9" s="90">
        <v>60010231.73745618</v>
      </c>
      <c r="Q9" s="91">
        <v>108320808.95453762</v>
      </c>
      <c r="R9" s="15">
        <v>6.8</v>
      </c>
      <c r="S9" s="8">
        <v>5.5</v>
      </c>
      <c r="T9" s="8">
        <v>4.0999999999999996</v>
      </c>
      <c r="U9" s="14">
        <v>100</v>
      </c>
      <c r="V9" s="20">
        <v>10923.99</v>
      </c>
      <c r="W9" s="48">
        <v>11.49</v>
      </c>
      <c r="X9" s="8">
        <v>31.25</v>
      </c>
      <c r="Y9" s="16">
        <v>49.065340421883</v>
      </c>
      <c r="Z9" s="8">
        <v>0.46</v>
      </c>
      <c r="AA9" s="17">
        <v>1.7242370251000001</v>
      </c>
      <c r="AB9" s="34">
        <v>8.3912868556000006</v>
      </c>
      <c r="AC9" s="34">
        <v>0</v>
      </c>
      <c r="AD9" s="42">
        <v>1</v>
      </c>
      <c r="AE9" s="43">
        <v>0.75615626735789665</v>
      </c>
      <c r="AF9" s="34">
        <v>1</v>
      </c>
      <c r="AG9" s="44">
        <v>0.46100000000000002</v>
      </c>
      <c r="AH9" s="8">
        <v>0.218</v>
      </c>
      <c r="AI9" s="17">
        <v>0.56999999999999995</v>
      </c>
      <c r="AJ9" s="8">
        <v>0.59499999999999997</v>
      </c>
      <c r="AK9" s="45">
        <v>0.59499999999999997</v>
      </c>
      <c r="AL9" s="85">
        <v>5.3451347778607966E-2</v>
      </c>
      <c r="AM9" s="44">
        <v>11.4285714285714</v>
      </c>
      <c r="AN9" s="8">
        <v>0.92255434782608703</v>
      </c>
      <c r="AO9" s="44">
        <v>0.92255434782608703</v>
      </c>
      <c r="AP9" s="85">
        <v>0.14201965630208632</v>
      </c>
      <c r="AQ9" s="45">
        <v>321.85757802172543</v>
      </c>
      <c r="AR9" s="8">
        <v>712.68463704810631</v>
      </c>
      <c r="AS9" s="45">
        <v>51.72711075349158</v>
      </c>
      <c r="AT9" s="8">
        <v>11.494913500775906</v>
      </c>
      <c r="AU9" s="45"/>
      <c r="AV9" s="45"/>
      <c r="AW9" s="8"/>
      <c r="AX9" s="45"/>
      <c r="AY9" s="8"/>
      <c r="AZ9" s="45"/>
      <c r="BA9" s="8"/>
      <c r="BB9" s="45"/>
      <c r="BC9" s="8"/>
      <c r="BD9" s="45"/>
      <c r="BE9" s="8"/>
      <c r="BF9" s="45"/>
      <c r="BG9" s="8"/>
      <c r="BH9" s="45"/>
      <c r="BI9" s="8"/>
      <c r="BJ9" s="45"/>
      <c r="BK9" s="8"/>
      <c r="BL9" s="45"/>
      <c r="BM9" s="8"/>
      <c r="BN9" s="8"/>
      <c r="BO9" s="45"/>
      <c r="BP9" s="8"/>
      <c r="BQ9" s="45"/>
      <c r="BR9" s="8"/>
      <c r="BS9" s="45"/>
      <c r="BT9" s="8"/>
      <c r="BU9" s="45"/>
      <c r="BV9" s="8"/>
      <c r="BW9" s="45"/>
      <c r="BX9" s="8"/>
      <c r="BY9" s="45"/>
      <c r="BZ9" s="8"/>
      <c r="CA9" s="45"/>
      <c r="CB9" s="8"/>
      <c r="CC9" s="45"/>
      <c r="CD9" s="8"/>
      <c r="CE9" s="45"/>
      <c r="CF9" s="8"/>
      <c r="CG9" s="45"/>
      <c r="CH9" s="8"/>
      <c r="CI9" s="45"/>
      <c r="CJ9" s="8"/>
      <c r="CK9" s="45"/>
      <c r="CL9" s="8"/>
      <c r="CM9" s="45"/>
      <c r="CN9" s="8"/>
      <c r="CO9" s="45"/>
      <c r="CP9" s="8"/>
      <c r="CQ9" s="45"/>
      <c r="CR9" s="8"/>
      <c r="CS9" s="45"/>
      <c r="CT9" s="8"/>
      <c r="CU9" s="45"/>
      <c r="CV9" s="8"/>
      <c r="CW9" s="45"/>
      <c r="CX9" s="8"/>
      <c r="CY9" s="45"/>
      <c r="CZ9" s="8"/>
      <c r="DA9" s="45"/>
      <c r="DB9" s="8"/>
      <c r="DC9" s="45"/>
      <c r="DD9" s="8"/>
      <c r="DE9" s="45"/>
      <c r="DF9" s="8"/>
      <c r="DG9" s="45"/>
      <c r="DH9" s="8"/>
      <c r="DI9" s="45"/>
      <c r="DJ9" s="8"/>
      <c r="DK9" s="45"/>
      <c r="DL9" s="8"/>
      <c r="DM9" s="45"/>
      <c r="DN9" s="8"/>
      <c r="DO9" s="45"/>
      <c r="DP9" s="8"/>
      <c r="DQ9" s="45"/>
      <c r="DR9" s="8"/>
    </row>
    <row r="10" spans="1:122" s="38" customFormat="1" x14ac:dyDescent="0.3">
      <c r="A10" s="21" t="s">
        <v>94</v>
      </c>
      <c r="B10" s="8">
        <v>2300507</v>
      </c>
      <c r="C10" s="61">
        <v>365</v>
      </c>
      <c r="D10" s="14">
        <v>3115.9296568208979</v>
      </c>
      <c r="E10" s="18">
        <v>3</v>
      </c>
      <c r="F10" s="18">
        <v>25.610380740993687</v>
      </c>
      <c r="G10" s="7">
        <v>8.21917808219178E-3</v>
      </c>
      <c r="H10" s="63">
        <v>11714</v>
      </c>
      <c r="I10" s="19">
        <v>2852514.0857094075</v>
      </c>
      <c r="J10" s="6">
        <v>81000512.207614809</v>
      </c>
      <c r="K10" s="5">
        <v>135.76</v>
      </c>
      <c r="L10" s="4">
        <v>86.284619917501473</v>
      </c>
      <c r="M10" s="6">
        <v>6506.65</v>
      </c>
      <c r="N10" s="8">
        <v>0.6</v>
      </c>
      <c r="O10" s="15">
        <v>15.7</v>
      </c>
      <c r="P10" s="90">
        <v>58264349.325593308</v>
      </c>
      <c r="Q10" s="91">
        <v>101979572.90421717</v>
      </c>
      <c r="R10" s="15">
        <v>7.3</v>
      </c>
      <c r="S10" s="8">
        <v>5.0999999999999996</v>
      </c>
      <c r="T10" s="8">
        <v>4</v>
      </c>
      <c r="U10" s="14">
        <v>99.662162162162204</v>
      </c>
      <c r="V10" s="20">
        <v>7532.92</v>
      </c>
      <c r="W10" s="48">
        <v>0</v>
      </c>
      <c r="X10" s="8">
        <v>31.58</v>
      </c>
      <c r="Y10" s="16">
        <v>32.391138273491201</v>
      </c>
      <c r="Z10" s="8">
        <v>0.94</v>
      </c>
      <c r="AA10" s="17">
        <v>0</v>
      </c>
      <c r="AB10" s="34">
        <v>9.3904729384000003</v>
      </c>
      <c r="AC10" s="34">
        <v>0</v>
      </c>
      <c r="AD10" s="42">
        <v>0</v>
      </c>
      <c r="AE10" s="43">
        <v>0.67988116238046603</v>
      </c>
      <c r="AF10" s="34">
        <v>0</v>
      </c>
      <c r="AG10" s="44">
        <v>0.43099999999999999</v>
      </c>
      <c r="AH10" s="8">
        <v>0.35699999999999998</v>
      </c>
      <c r="AI10" s="17">
        <v>0.47399999999999998</v>
      </c>
      <c r="AJ10" s="8">
        <v>0.46100000000000002</v>
      </c>
      <c r="AK10" s="45">
        <v>0.46100000000000002</v>
      </c>
      <c r="AL10" s="85">
        <v>8.1782482499573164E-2</v>
      </c>
      <c r="AM10" s="44">
        <v>6.7567567567567597</v>
      </c>
      <c r="AN10" s="8">
        <v>0.97933884297520646</v>
      </c>
      <c r="AO10" s="44">
        <v>0.97933884297520646</v>
      </c>
      <c r="AP10" s="85">
        <v>0.12924705480621479</v>
      </c>
      <c r="AQ10" s="45">
        <v>315.86136247225545</v>
      </c>
      <c r="AR10" s="8">
        <v>452.45005975755504</v>
      </c>
      <c r="AS10" s="45">
        <v>34.147174321324911</v>
      </c>
      <c r="AT10" s="8">
        <v>0</v>
      </c>
      <c r="AU10" s="45"/>
      <c r="AV10" s="45"/>
      <c r="AW10" s="8"/>
      <c r="AX10" s="45"/>
      <c r="AY10" s="8"/>
      <c r="AZ10" s="45"/>
      <c r="BA10" s="8"/>
      <c r="BB10" s="45"/>
      <c r="BC10" s="8"/>
      <c r="BD10" s="45"/>
      <c r="BE10" s="8"/>
      <c r="BF10" s="45"/>
      <c r="BG10" s="8"/>
      <c r="BH10" s="45"/>
      <c r="BI10" s="8"/>
      <c r="BJ10" s="45"/>
      <c r="BK10" s="8"/>
      <c r="BL10" s="45"/>
      <c r="BM10" s="8"/>
      <c r="BN10" s="8"/>
      <c r="BO10" s="45"/>
      <c r="BP10" s="8"/>
      <c r="BQ10" s="45"/>
      <c r="BR10" s="8"/>
      <c r="BS10" s="45"/>
      <c r="BT10" s="8"/>
      <c r="BU10" s="45"/>
      <c r="BV10" s="8"/>
      <c r="BW10" s="45"/>
      <c r="BX10" s="8"/>
      <c r="BY10" s="45"/>
      <c r="BZ10" s="8"/>
      <c r="CA10" s="45"/>
      <c r="CB10" s="8"/>
      <c r="CC10" s="45"/>
      <c r="CD10" s="8"/>
      <c r="CE10" s="45"/>
      <c r="CF10" s="8"/>
      <c r="CG10" s="45"/>
      <c r="CH10" s="8"/>
      <c r="CI10" s="45"/>
      <c r="CJ10" s="8"/>
      <c r="CK10" s="45"/>
      <c r="CL10" s="8"/>
      <c r="CM10" s="45"/>
      <c r="CN10" s="8"/>
      <c r="CO10" s="45"/>
      <c r="CP10" s="8"/>
      <c r="CQ10" s="45"/>
      <c r="CR10" s="8"/>
      <c r="CS10" s="45"/>
      <c r="CT10" s="8"/>
      <c r="CU10" s="45"/>
      <c r="CV10" s="8"/>
      <c r="CW10" s="45"/>
      <c r="CX10" s="8"/>
      <c r="CY10" s="45"/>
      <c r="CZ10" s="8"/>
      <c r="DA10" s="45"/>
      <c r="DB10" s="8"/>
      <c r="DC10" s="45"/>
      <c r="DD10" s="8"/>
      <c r="DE10" s="45"/>
      <c r="DF10" s="8"/>
      <c r="DG10" s="45"/>
      <c r="DH10" s="8"/>
      <c r="DI10" s="45"/>
      <c r="DJ10" s="8"/>
      <c r="DK10" s="45"/>
      <c r="DL10" s="8"/>
      <c r="DM10" s="45"/>
      <c r="DN10" s="8"/>
      <c r="DO10" s="45"/>
      <c r="DP10" s="8"/>
      <c r="DQ10" s="45"/>
      <c r="DR10" s="8"/>
    </row>
    <row r="11" spans="1:122" s="38" customFormat="1" x14ac:dyDescent="0.3">
      <c r="A11" s="21" t="s">
        <v>95</v>
      </c>
      <c r="B11" s="8">
        <v>2300606</v>
      </c>
      <c r="C11" s="61">
        <v>7</v>
      </c>
      <c r="D11" s="14">
        <v>92.275243870287369</v>
      </c>
      <c r="E11" s="18">
        <v>0</v>
      </c>
      <c r="F11" s="18">
        <v>0</v>
      </c>
      <c r="G11" s="7">
        <v>0</v>
      </c>
      <c r="H11" s="63">
        <v>7586</v>
      </c>
      <c r="I11" s="19">
        <v>3530793.4352755076</v>
      </c>
      <c r="J11" s="6">
        <v>102623253.36145532</v>
      </c>
      <c r="K11" s="5">
        <v>72.674999999999997</v>
      </c>
      <c r="L11" s="4">
        <v>104.38252493980049</v>
      </c>
      <c r="M11" s="6">
        <v>6606.64</v>
      </c>
      <c r="N11" s="8">
        <v>0.60199999999999998</v>
      </c>
      <c r="O11" s="15">
        <v>16.399999999999999</v>
      </c>
      <c r="P11" s="90">
        <v>71871931.979963079</v>
      </c>
      <c r="Q11" s="91">
        <v>123183484.04956499</v>
      </c>
      <c r="R11" s="15">
        <v>6.5</v>
      </c>
      <c r="S11" s="8">
        <v>5.4</v>
      </c>
      <c r="T11" s="8">
        <v>3.5</v>
      </c>
      <c r="U11" s="14">
        <v>99.589603283173702</v>
      </c>
      <c r="V11" s="20">
        <v>4777.87</v>
      </c>
      <c r="W11" s="48">
        <v>26.36</v>
      </c>
      <c r="X11" s="8">
        <v>32.14</v>
      </c>
      <c r="Y11" s="16">
        <v>57.411764705882298</v>
      </c>
      <c r="Z11" s="8">
        <v>1.05</v>
      </c>
      <c r="AA11" s="17">
        <v>2.5046137622</v>
      </c>
      <c r="AB11" s="34">
        <v>12.2594252571</v>
      </c>
      <c r="AC11" s="34">
        <v>0</v>
      </c>
      <c r="AD11" s="42">
        <v>1</v>
      </c>
      <c r="AE11" s="43">
        <v>0.27698366394399065</v>
      </c>
      <c r="AF11" s="34">
        <v>0</v>
      </c>
      <c r="AG11" s="44">
        <v>0.40100000000000002</v>
      </c>
      <c r="AH11" s="8">
        <v>0.11600000000000001</v>
      </c>
      <c r="AI11" s="17">
        <v>0.53100000000000003</v>
      </c>
      <c r="AJ11" s="8">
        <v>0.55600000000000005</v>
      </c>
      <c r="AK11" s="45">
        <v>0.55600000000000005</v>
      </c>
      <c r="AL11" s="85">
        <v>9.5702610071183761E-2</v>
      </c>
      <c r="AM11" s="44"/>
      <c r="AN11" s="8">
        <v>0.96238938053097345</v>
      </c>
      <c r="AO11" s="44">
        <v>0.96238938053097356</v>
      </c>
      <c r="AP11" s="85">
        <v>0.15462694437121013</v>
      </c>
      <c r="AQ11" s="45">
        <v>632.74452939625633</v>
      </c>
      <c r="AR11" s="8">
        <v>1080.9385710519377</v>
      </c>
      <c r="AS11" s="45">
        <v>65.910888478776698</v>
      </c>
      <c r="AT11" s="8">
        <v>13.182177695755341</v>
      </c>
      <c r="AU11" s="45"/>
      <c r="AV11" s="45"/>
      <c r="AW11" s="8"/>
      <c r="AX11" s="45"/>
      <c r="AY11" s="8"/>
      <c r="AZ11" s="45"/>
      <c r="BA11" s="8"/>
      <c r="BB11" s="45"/>
      <c r="BC11" s="8"/>
      <c r="BD11" s="45"/>
      <c r="BE11" s="8"/>
      <c r="BF11" s="45"/>
      <c r="BG11" s="8"/>
      <c r="BH11" s="45"/>
      <c r="BI11" s="8"/>
      <c r="BJ11" s="45"/>
      <c r="BK11" s="8"/>
      <c r="BL11" s="45"/>
      <c r="BM11" s="8"/>
      <c r="BN11" s="8"/>
      <c r="BO11" s="45"/>
      <c r="BP11" s="8"/>
      <c r="BQ11" s="45"/>
      <c r="BR11" s="8"/>
      <c r="BS11" s="45"/>
      <c r="BT11" s="8"/>
      <c r="BU11" s="45"/>
      <c r="BV11" s="8"/>
      <c r="BW11" s="45"/>
      <c r="BX11" s="8"/>
      <c r="BY11" s="45"/>
      <c r="BZ11" s="8"/>
      <c r="CA11" s="45"/>
      <c r="CB11" s="8"/>
      <c r="CC11" s="45"/>
      <c r="CD11" s="8"/>
      <c r="CE11" s="45"/>
      <c r="CF11" s="8"/>
      <c r="CG11" s="45"/>
      <c r="CH11" s="8"/>
      <c r="CI11" s="45"/>
      <c r="CJ11" s="8"/>
      <c r="CK11" s="45"/>
      <c r="CL11" s="8"/>
      <c r="CM11" s="45"/>
      <c r="CN11" s="8"/>
      <c r="CO11" s="45"/>
      <c r="CP11" s="8"/>
      <c r="CQ11" s="45"/>
      <c r="CR11" s="8"/>
      <c r="CS11" s="45"/>
      <c r="CT11" s="8"/>
      <c r="CU11" s="45"/>
      <c r="CV11" s="8"/>
      <c r="CW11" s="45"/>
      <c r="CX11" s="8"/>
      <c r="CY11" s="45"/>
      <c r="CZ11" s="8"/>
      <c r="DA11" s="45"/>
      <c r="DB11" s="8"/>
      <c r="DC11" s="45"/>
      <c r="DD11" s="8"/>
      <c r="DE11" s="45"/>
      <c r="DF11" s="8"/>
      <c r="DG11" s="45"/>
      <c r="DH11" s="8"/>
      <c r="DI11" s="45"/>
      <c r="DJ11" s="8"/>
      <c r="DK11" s="45"/>
      <c r="DL11" s="8"/>
      <c r="DM11" s="45"/>
      <c r="DN11" s="8"/>
      <c r="DO11" s="45"/>
      <c r="DP11" s="8"/>
      <c r="DQ11" s="45"/>
      <c r="DR11" s="8"/>
    </row>
    <row r="12" spans="1:122" s="38" customFormat="1" x14ac:dyDescent="0.3">
      <c r="A12" s="21" t="s">
        <v>96</v>
      </c>
      <c r="B12" s="8">
        <v>2300705</v>
      </c>
      <c r="C12" s="61">
        <v>188</v>
      </c>
      <c r="D12" s="14">
        <v>1096.4656479645398</v>
      </c>
      <c r="E12" s="18">
        <v>4</v>
      </c>
      <c r="F12" s="18">
        <v>23.329056339671062</v>
      </c>
      <c r="G12" s="7">
        <v>2.1276595744680851E-2</v>
      </c>
      <c r="H12" s="63">
        <v>17146</v>
      </c>
      <c r="I12" s="19">
        <v>15553863.233407211</v>
      </c>
      <c r="J12" s="6">
        <v>85464831.447567955</v>
      </c>
      <c r="K12" s="5">
        <v>1345.701</v>
      </c>
      <c r="L12" s="4">
        <v>12.741314749710373</v>
      </c>
      <c r="M12" s="6">
        <v>8908.98</v>
      </c>
      <c r="N12" s="8">
        <v>0.60099999999999998</v>
      </c>
      <c r="O12" s="15">
        <v>16.649999999999999</v>
      </c>
      <c r="P12" s="90">
        <v>70429269.975504503</v>
      </c>
      <c r="Q12" s="91">
        <v>82259586.550799027</v>
      </c>
      <c r="R12" s="15">
        <v>6</v>
      </c>
      <c r="S12" s="8">
        <v>5.8</v>
      </c>
      <c r="T12" s="8">
        <v>3.7</v>
      </c>
      <c r="U12" s="14">
        <v>99.637795275590506</v>
      </c>
      <c r="V12" s="20">
        <v>22811.06</v>
      </c>
      <c r="W12" s="48">
        <v>64.150000000000006</v>
      </c>
      <c r="X12" s="8">
        <v>34.880000000000003</v>
      </c>
      <c r="Y12" s="16">
        <v>35.665270993254197</v>
      </c>
      <c r="Z12" s="8">
        <v>1.69</v>
      </c>
      <c r="AA12" s="17">
        <v>1.924647148</v>
      </c>
      <c r="AB12" s="34">
        <v>8.1651697188999997</v>
      </c>
      <c r="AC12" s="34">
        <v>0</v>
      </c>
      <c r="AD12" s="42">
        <v>1</v>
      </c>
      <c r="AE12" s="43">
        <v>0.50846628767039548</v>
      </c>
      <c r="AF12" s="34">
        <v>0</v>
      </c>
      <c r="AG12" s="44">
        <v>0.43</v>
      </c>
      <c r="AH12" s="8">
        <v>0.34899999999999998</v>
      </c>
      <c r="AI12" s="17">
        <v>0.45500000000000002</v>
      </c>
      <c r="AJ12" s="8">
        <v>0.48699999999999999</v>
      </c>
      <c r="AK12" s="45">
        <v>0.48699999999999999</v>
      </c>
      <c r="AL12" s="85">
        <v>6.2055289863525022E-2</v>
      </c>
      <c r="AM12" s="44">
        <v>6.6666666666666696</v>
      </c>
      <c r="AN12" s="8">
        <v>0.80972222222222223</v>
      </c>
      <c r="AO12" s="44">
        <v>0.80972222222222223</v>
      </c>
      <c r="AP12" s="85">
        <v>0.13408375131225941</v>
      </c>
      <c r="AQ12" s="45">
        <v>396.59395777440801</v>
      </c>
      <c r="AR12" s="8">
        <v>449.08433453866792</v>
      </c>
      <c r="AS12" s="45">
        <v>34.99358450950659</v>
      </c>
      <c r="AT12" s="8">
        <v>5.8322640849177656</v>
      </c>
      <c r="AU12" s="45"/>
      <c r="AV12" s="45"/>
      <c r="AW12" s="8"/>
      <c r="AX12" s="45"/>
      <c r="AY12" s="8"/>
      <c r="AZ12" s="45"/>
      <c r="BA12" s="8"/>
      <c r="BB12" s="45"/>
      <c r="BC12" s="8"/>
      <c r="BD12" s="45"/>
      <c r="BE12" s="8"/>
      <c r="BF12" s="45"/>
      <c r="BG12" s="8"/>
      <c r="BH12" s="45"/>
      <c r="BI12" s="8"/>
      <c r="BJ12" s="45"/>
      <c r="BK12" s="8"/>
      <c r="BL12" s="45"/>
      <c r="BM12" s="8"/>
      <c r="BN12" s="8"/>
      <c r="BO12" s="45"/>
      <c r="BP12" s="8"/>
      <c r="BQ12" s="45"/>
      <c r="BR12" s="8"/>
      <c r="BS12" s="45"/>
      <c r="BT12" s="8"/>
      <c r="BU12" s="45"/>
      <c r="BV12" s="8"/>
      <c r="BW12" s="45"/>
      <c r="BX12" s="8"/>
      <c r="BY12" s="45"/>
      <c r="BZ12" s="8"/>
      <c r="CA12" s="45"/>
      <c r="CB12" s="8"/>
      <c r="CC12" s="45"/>
      <c r="CD12" s="8"/>
      <c r="CE12" s="45"/>
      <c r="CF12" s="8"/>
      <c r="CG12" s="45"/>
      <c r="CH12" s="8"/>
      <c r="CI12" s="45"/>
      <c r="CJ12" s="8"/>
      <c r="CK12" s="45"/>
      <c r="CL12" s="8"/>
      <c r="CM12" s="45"/>
      <c r="CN12" s="8"/>
      <c r="CO12" s="45"/>
      <c r="CP12" s="8"/>
      <c r="CQ12" s="45"/>
      <c r="CR12" s="8"/>
      <c r="CS12" s="45"/>
      <c r="CT12" s="8"/>
      <c r="CU12" s="45"/>
      <c r="CV12" s="8"/>
      <c r="CW12" s="45"/>
      <c r="CX12" s="8"/>
      <c r="CY12" s="45"/>
      <c r="CZ12" s="8"/>
      <c r="DA12" s="45"/>
      <c r="DB12" s="8"/>
      <c r="DC12" s="45"/>
      <c r="DD12" s="8"/>
      <c r="DE12" s="45"/>
      <c r="DF12" s="8"/>
      <c r="DG12" s="45"/>
      <c r="DH12" s="8"/>
      <c r="DI12" s="45"/>
      <c r="DJ12" s="8"/>
      <c r="DK12" s="45"/>
      <c r="DL12" s="8"/>
      <c r="DM12" s="45"/>
      <c r="DN12" s="8"/>
      <c r="DO12" s="45"/>
      <c r="DP12" s="8"/>
      <c r="DQ12" s="45"/>
      <c r="DR12" s="8"/>
    </row>
    <row r="13" spans="1:122" s="38" customFormat="1" x14ac:dyDescent="0.3">
      <c r="A13" s="21" t="s">
        <v>97</v>
      </c>
      <c r="B13" s="8">
        <v>2300754</v>
      </c>
      <c r="C13" s="61">
        <v>719</v>
      </c>
      <c r="D13" s="14">
        <v>1654.6994384608302</v>
      </c>
      <c r="E13" s="18">
        <v>16</v>
      </c>
      <c r="F13" s="18">
        <v>36.822240633342538</v>
      </c>
      <c r="G13" s="7">
        <v>2.2253129346314324E-2</v>
      </c>
      <c r="H13" s="63">
        <v>43452</v>
      </c>
      <c r="I13" s="19">
        <v>1821870.0174905641</v>
      </c>
      <c r="J13" s="6">
        <v>97261806.130903065</v>
      </c>
      <c r="K13" s="5">
        <v>1175.0440000000001</v>
      </c>
      <c r="L13" s="4">
        <v>36.979040784855712</v>
      </c>
      <c r="M13" s="6">
        <v>10090.68</v>
      </c>
      <c r="N13" s="8">
        <v>0.60599999999999998</v>
      </c>
      <c r="O13" s="15">
        <v>21.87</v>
      </c>
      <c r="P13" s="90">
        <v>50533183.881064162</v>
      </c>
      <c r="Q13" s="91">
        <v>101112042.36859062</v>
      </c>
      <c r="R13" s="15">
        <v>5.8</v>
      </c>
      <c r="S13" s="8">
        <v>5.2</v>
      </c>
      <c r="T13" s="8">
        <v>4.3</v>
      </c>
      <c r="U13" s="14">
        <v>92.812105926859999</v>
      </c>
      <c r="V13" s="20">
        <v>30213.279999999999</v>
      </c>
      <c r="W13" s="48">
        <v>20.71</v>
      </c>
      <c r="X13" s="8">
        <v>32.21</v>
      </c>
      <c r="Y13" s="16">
        <v>53.110953934609498</v>
      </c>
      <c r="Z13" s="8">
        <v>0.32</v>
      </c>
      <c r="AA13" s="17">
        <v>0.82850041429999999</v>
      </c>
      <c r="AB13" s="34">
        <v>6.0756697045000001</v>
      </c>
      <c r="AC13" s="34">
        <v>0</v>
      </c>
      <c r="AD13" s="42">
        <v>0</v>
      </c>
      <c r="AE13" s="43">
        <v>0.59352059543230018</v>
      </c>
      <c r="AF13" s="34">
        <v>0</v>
      </c>
      <c r="AG13" s="44">
        <v>0.6</v>
      </c>
      <c r="AH13" s="8">
        <v>0.621</v>
      </c>
      <c r="AI13" s="17">
        <v>0.54700000000000004</v>
      </c>
      <c r="AJ13" s="8">
        <v>0.63200000000000001</v>
      </c>
      <c r="AK13" s="45">
        <v>0.63200000000000001</v>
      </c>
      <c r="AL13" s="85">
        <v>6.8765534382767196E-2</v>
      </c>
      <c r="AM13" s="44">
        <v>9.1185410334346493</v>
      </c>
      <c r="AN13" s="8">
        <v>0.92520775623268692</v>
      </c>
      <c r="AO13" s="44">
        <v>0.92520775623268703</v>
      </c>
      <c r="AP13" s="85">
        <v>0.10973027708736077</v>
      </c>
      <c r="AQ13" s="45">
        <v>225.53622387922306</v>
      </c>
      <c r="AR13" s="8">
        <v>301.48209518549203</v>
      </c>
      <c r="AS13" s="45">
        <v>36.822240633342538</v>
      </c>
      <c r="AT13" s="8">
        <v>4.6027800791678173</v>
      </c>
      <c r="AU13" s="45"/>
      <c r="AV13" s="45"/>
      <c r="AW13" s="8"/>
      <c r="AX13" s="45"/>
      <c r="AY13" s="8"/>
      <c r="AZ13" s="45"/>
      <c r="BA13" s="8"/>
      <c r="BB13" s="45"/>
      <c r="BC13" s="8"/>
      <c r="BD13" s="45"/>
      <c r="BE13" s="8"/>
      <c r="BF13" s="45"/>
      <c r="BG13" s="8"/>
      <c r="BH13" s="45"/>
      <c r="BI13" s="8"/>
      <c r="BJ13" s="45"/>
      <c r="BK13" s="8"/>
      <c r="BL13" s="45"/>
      <c r="BM13" s="8"/>
      <c r="BN13" s="8"/>
      <c r="BO13" s="45"/>
      <c r="BP13" s="8"/>
      <c r="BQ13" s="45"/>
      <c r="BR13" s="8"/>
      <c r="BS13" s="45"/>
      <c r="BT13" s="8"/>
      <c r="BU13" s="45"/>
      <c r="BV13" s="8"/>
      <c r="BW13" s="45"/>
      <c r="BX13" s="8"/>
      <c r="BY13" s="45"/>
      <c r="BZ13" s="8"/>
      <c r="CA13" s="45"/>
      <c r="CB13" s="8"/>
      <c r="CC13" s="45"/>
      <c r="CD13" s="8"/>
      <c r="CE13" s="45"/>
      <c r="CF13" s="8"/>
      <c r="CG13" s="45"/>
      <c r="CH13" s="8"/>
      <c r="CI13" s="45"/>
      <c r="CJ13" s="8"/>
      <c r="CK13" s="45"/>
      <c r="CL13" s="8"/>
      <c r="CM13" s="45"/>
      <c r="CN13" s="8"/>
      <c r="CO13" s="45"/>
      <c r="CP13" s="8"/>
      <c r="CQ13" s="45"/>
      <c r="CR13" s="8"/>
      <c r="CS13" s="45"/>
      <c r="CT13" s="8"/>
      <c r="CU13" s="45"/>
      <c r="CV13" s="8"/>
      <c r="CW13" s="45"/>
      <c r="CX13" s="8"/>
      <c r="CY13" s="45"/>
      <c r="CZ13" s="8"/>
      <c r="DA13" s="45"/>
      <c r="DB13" s="8"/>
      <c r="DC13" s="45"/>
      <c r="DD13" s="8"/>
      <c r="DE13" s="45"/>
      <c r="DF13" s="8"/>
      <c r="DG13" s="45"/>
      <c r="DH13" s="8"/>
      <c r="DI13" s="45"/>
      <c r="DJ13" s="8"/>
      <c r="DK13" s="45"/>
      <c r="DL13" s="8"/>
      <c r="DM13" s="45"/>
      <c r="DN13" s="8"/>
      <c r="DO13" s="45"/>
      <c r="DP13" s="8"/>
      <c r="DQ13" s="45"/>
      <c r="DR13" s="8"/>
    </row>
    <row r="14" spans="1:122" s="38" customFormat="1" x14ac:dyDescent="0.3">
      <c r="A14" s="21" t="s">
        <v>98</v>
      </c>
      <c r="B14" s="8">
        <v>2300804</v>
      </c>
      <c r="C14" s="61">
        <v>12</v>
      </c>
      <c r="D14" s="14">
        <v>163.19869441044472</v>
      </c>
      <c r="E14" s="18">
        <v>0</v>
      </c>
      <c r="F14" s="18">
        <v>0</v>
      </c>
      <c r="G14" s="7">
        <v>0</v>
      </c>
      <c r="H14" s="63">
        <v>7353</v>
      </c>
      <c r="I14" s="19">
        <v>4411540.8676730581</v>
      </c>
      <c r="J14" s="6">
        <v>120995512.03590372</v>
      </c>
      <c r="K14" s="5">
        <v>259.70600000000002</v>
      </c>
      <c r="L14" s="4">
        <v>28.312784456269782</v>
      </c>
      <c r="M14" s="6">
        <v>7290.2</v>
      </c>
      <c r="N14" s="8">
        <v>0.59899999999999998</v>
      </c>
      <c r="O14" s="15">
        <v>22.89</v>
      </c>
      <c r="P14" s="90">
        <v>39909124.983000137</v>
      </c>
      <c r="Q14" s="91">
        <v>90360474.772201821</v>
      </c>
      <c r="R14" s="15">
        <v>7.3</v>
      </c>
      <c r="S14" s="8">
        <v>5.0999999999999996</v>
      </c>
      <c r="T14" s="8">
        <v>4</v>
      </c>
      <c r="U14" s="14">
        <v>99.1911619648846</v>
      </c>
      <c r="V14" s="20">
        <v>6889.18</v>
      </c>
      <c r="W14" s="48">
        <v>13.6</v>
      </c>
      <c r="X14" s="8">
        <v>29.41</v>
      </c>
      <c r="Y14" s="16">
        <v>63.364055299539203</v>
      </c>
      <c r="Z14" s="8">
        <v>0.68</v>
      </c>
      <c r="AA14" s="17">
        <v>2.1759825921</v>
      </c>
      <c r="AB14" s="34">
        <v>7.8879368965000003</v>
      </c>
      <c r="AC14" s="34">
        <v>0</v>
      </c>
      <c r="AD14" s="42">
        <v>1</v>
      </c>
      <c r="AE14" s="43">
        <v>0.28422107674684993</v>
      </c>
      <c r="AF14" s="34">
        <v>0</v>
      </c>
      <c r="AG14" s="44">
        <v>0.46300000000000002</v>
      </c>
      <c r="AH14" s="8">
        <v>0.23300000000000001</v>
      </c>
      <c r="AI14" s="17">
        <v>0.59</v>
      </c>
      <c r="AJ14" s="8">
        <v>0.56499999999999995</v>
      </c>
      <c r="AK14" s="45">
        <v>0.56499999999999995</v>
      </c>
      <c r="AL14" s="85">
        <v>8.7855297157622733E-2</v>
      </c>
      <c r="AM14" s="44">
        <v>9.7087378640776691</v>
      </c>
      <c r="AN14" s="8">
        <v>1.0651041666666674</v>
      </c>
      <c r="AO14" s="44">
        <v>1.0651041666666674</v>
      </c>
      <c r="AP14" s="85">
        <v>0.16197470420236637</v>
      </c>
      <c r="AQ14" s="45">
        <v>652.79477764177886</v>
      </c>
      <c r="AR14" s="8">
        <v>135.99891200870394</v>
      </c>
      <c r="AS14" s="45">
        <v>13.599891200870394</v>
      </c>
      <c r="AT14" s="8">
        <v>0</v>
      </c>
      <c r="AU14" s="45"/>
      <c r="AV14" s="45"/>
      <c r="AW14" s="8"/>
      <c r="AX14" s="45"/>
      <c r="AY14" s="8"/>
      <c r="AZ14" s="45"/>
      <c r="BA14" s="8"/>
      <c r="BB14" s="45"/>
      <c r="BC14" s="8"/>
      <c r="BD14" s="45"/>
      <c r="BE14" s="8"/>
      <c r="BF14" s="45"/>
      <c r="BG14" s="8"/>
      <c r="BH14" s="45"/>
      <c r="BI14" s="8"/>
      <c r="BJ14" s="45"/>
      <c r="BK14" s="8"/>
      <c r="BL14" s="45"/>
      <c r="BM14" s="8"/>
      <c r="BN14" s="8"/>
      <c r="BO14" s="45"/>
      <c r="BP14" s="8"/>
      <c r="BQ14" s="45"/>
      <c r="BR14" s="8"/>
      <c r="BS14" s="45"/>
      <c r="BT14" s="8"/>
      <c r="BU14" s="45"/>
      <c r="BV14" s="8"/>
      <c r="BW14" s="45"/>
      <c r="BX14" s="8"/>
      <c r="BY14" s="45"/>
      <c r="BZ14" s="8"/>
      <c r="CA14" s="45"/>
      <c r="CB14" s="8"/>
      <c r="CC14" s="45"/>
      <c r="CD14" s="8"/>
      <c r="CE14" s="45"/>
      <c r="CF14" s="8"/>
      <c r="CG14" s="45"/>
      <c r="CH14" s="8"/>
      <c r="CI14" s="45"/>
      <c r="CJ14" s="8"/>
      <c r="CK14" s="45"/>
      <c r="CL14" s="8"/>
      <c r="CM14" s="45"/>
      <c r="CN14" s="8"/>
      <c r="CO14" s="45"/>
      <c r="CP14" s="8"/>
      <c r="CQ14" s="45"/>
      <c r="CR14" s="8"/>
      <c r="CS14" s="45"/>
      <c r="CT14" s="8"/>
      <c r="CU14" s="45"/>
      <c r="CV14" s="8"/>
      <c r="CW14" s="45"/>
      <c r="CX14" s="8"/>
      <c r="CY14" s="45"/>
      <c r="CZ14" s="8"/>
      <c r="DA14" s="45"/>
      <c r="DB14" s="8"/>
      <c r="DC14" s="45"/>
      <c r="DD14" s="8"/>
      <c r="DE14" s="45"/>
      <c r="DF14" s="8"/>
      <c r="DG14" s="45"/>
      <c r="DH14" s="8"/>
      <c r="DI14" s="45"/>
      <c r="DJ14" s="8"/>
      <c r="DK14" s="45"/>
      <c r="DL14" s="8"/>
      <c r="DM14" s="45"/>
      <c r="DN14" s="8"/>
      <c r="DO14" s="45"/>
      <c r="DP14" s="8"/>
      <c r="DQ14" s="45"/>
      <c r="DR14" s="8"/>
    </row>
    <row r="15" spans="1:122" s="38" customFormat="1" x14ac:dyDescent="0.3">
      <c r="A15" s="21" t="s">
        <v>99</v>
      </c>
      <c r="B15" s="8">
        <v>2300903</v>
      </c>
      <c r="C15" s="61">
        <v>185</v>
      </c>
      <c r="D15" s="14">
        <v>1267.1232876712329</v>
      </c>
      <c r="E15" s="18">
        <v>11</v>
      </c>
      <c r="F15" s="18">
        <v>75.342465753424662</v>
      </c>
      <c r="G15" s="7">
        <v>5.9459459459459463E-2</v>
      </c>
      <c r="H15" s="63">
        <v>14600</v>
      </c>
      <c r="I15" s="19">
        <v>4885125.5479452051</v>
      </c>
      <c r="J15" s="6">
        <v>102789041.09589042</v>
      </c>
      <c r="K15" s="5">
        <v>543.98</v>
      </c>
      <c r="L15" s="4">
        <v>26.839222030221698</v>
      </c>
      <c r="M15" s="6">
        <v>6805.1</v>
      </c>
      <c r="N15" s="8">
        <v>0.61799999999999999</v>
      </c>
      <c r="O15" s="15">
        <v>18.88</v>
      </c>
      <c r="P15" s="90">
        <v>64612566.712328769</v>
      </c>
      <c r="Q15" s="91">
        <v>95693656.986301363</v>
      </c>
      <c r="R15" s="15">
        <v>5.7</v>
      </c>
      <c r="S15" s="8">
        <v>5.2</v>
      </c>
      <c r="T15" s="8">
        <v>4.5</v>
      </c>
      <c r="U15" s="14">
        <v>98.941893830702995</v>
      </c>
      <c r="V15" s="20">
        <v>14420.56</v>
      </c>
      <c r="W15" s="48">
        <v>13.7</v>
      </c>
      <c r="X15" s="8">
        <v>31.03</v>
      </c>
      <c r="Y15" s="16">
        <v>51.383587786259497</v>
      </c>
      <c r="Z15" s="8">
        <v>0.68</v>
      </c>
      <c r="AA15" s="17">
        <v>0.82191780820000004</v>
      </c>
      <c r="AB15" s="34">
        <v>7.1232876711999999</v>
      </c>
      <c r="AC15" s="34">
        <v>0</v>
      </c>
      <c r="AD15" s="42">
        <v>1</v>
      </c>
      <c r="AE15" s="43">
        <v>0.58549371633752245</v>
      </c>
      <c r="AF15" s="34">
        <v>1</v>
      </c>
      <c r="AG15" s="44">
        <v>0.45800000000000002</v>
      </c>
      <c r="AH15" s="8">
        <v>0.32800000000000001</v>
      </c>
      <c r="AI15" s="17">
        <v>0.51900000000000002</v>
      </c>
      <c r="AJ15" s="8">
        <v>0.52700000000000002</v>
      </c>
      <c r="AK15" s="45">
        <v>0.52700000000000002</v>
      </c>
      <c r="AL15" s="85">
        <v>6.2465753424657537E-2</v>
      </c>
      <c r="AM15" s="44">
        <v>11.173184357541899</v>
      </c>
      <c r="AN15" s="8">
        <v>0.9671052631578948</v>
      </c>
      <c r="AO15" s="44">
        <v>0.9671052631578948</v>
      </c>
      <c r="AP15" s="85">
        <v>0.13664383561643836</v>
      </c>
      <c r="AQ15" s="45">
        <v>219.17808219178082</v>
      </c>
      <c r="AR15" s="8">
        <v>445.20547945205476</v>
      </c>
      <c r="AS15" s="45">
        <v>54.794520547945204</v>
      </c>
      <c r="AT15" s="8">
        <v>6.8493150684931505</v>
      </c>
      <c r="AU15" s="45"/>
      <c r="AV15" s="45"/>
      <c r="AW15" s="8"/>
      <c r="AX15" s="45"/>
      <c r="AY15" s="8"/>
      <c r="AZ15" s="45"/>
      <c r="BA15" s="8"/>
      <c r="BB15" s="45"/>
      <c r="BC15" s="8"/>
      <c r="BD15" s="45"/>
      <c r="BE15" s="8"/>
      <c r="BF15" s="45"/>
      <c r="BG15" s="8"/>
      <c r="BH15" s="45"/>
      <c r="BI15" s="8"/>
      <c r="BJ15" s="45"/>
      <c r="BK15" s="8"/>
      <c r="BL15" s="45"/>
      <c r="BM15" s="8"/>
      <c r="BN15" s="8"/>
      <c r="BO15" s="45"/>
      <c r="BP15" s="8"/>
      <c r="BQ15" s="45"/>
      <c r="BR15" s="8"/>
      <c r="BS15" s="45"/>
      <c r="BT15" s="8"/>
      <c r="BU15" s="45"/>
      <c r="BV15" s="8"/>
      <c r="BW15" s="45"/>
      <c r="BX15" s="8"/>
      <c r="BY15" s="45"/>
      <c r="BZ15" s="8"/>
      <c r="CA15" s="45"/>
      <c r="CB15" s="8"/>
      <c r="CC15" s="45"/>
      <c r="CD15" s="8"/>
      <c r="CE15" s="45"/>
      <c r="CF15" s="8"/>
      <c r="CG15" s="45"/>
      <c r="CH15" s="8"/>
      <c r="CI15" s="45"/>
      <c r="CJ15" s="8"/>
      <c r="CK15" s="45"/>
      <c r="CL15" s="8"/>
      <c r="CM15" s="45"/>
      <c r="CN15" s="8"/>
      <c r="CO15" s="45"/>
      <c r="CP15" s="8"/>
      <c r="CQ15" s="45"/>
      <c r="CR15" s="8"/>
      <c r="CS15" s="45"/>
      <c r="CT15" s="8"/>
      <c r="CU15" s="45"/>
      <c r="CV15" s="8"/>
      <c r="CW15" s="45"/>
      <c r="CX15" s="8"/>
      <c r="CY15" s="45"/>
      <c r="CZ15" s="8"/>
      <c r="DA15" s="45"/>
      <c r="DB15" s="8"/>
      <c r="DC15" s="45"/>
      <c r="DD15" s="8"/>
      <c r="DE15" s="45"/>
      <c r="DF15" s="8"/>
      <c r="DG15" s="45"/>
      <c r="DH15" s="8"/>
      <c r="DI15" s="45"/>
      <c r="DJ15" s="8"/>
      <c r="DK15" s="45"/>
      <c r="DL15" s="8"/>
      <c r="DM15" s="45"/>
      <c r="DN15" s="8"/>
      <c r="DO15" s="45"/>
      <c r="DP15" s="8"/>
      <c r="DQ15" s="45"/>
      <c r="DR15" s="8"/>
    </row>
    <row r="16" spans="1:122" s="38" customFormat="1" x14ac:dyDescent="0.3">
      <c r="A16" s="21" t="s">
        <v>100</v>
      </c>
      <c r="B16" s="8">
        <v>2301000</v>
      </c>
      <c r="C16" s="61">
        <v>817</v>
      </c>
      <c r="D16" s="14">
        <v>1017.80219506422</v>
      </c>
      <c r="E16" s="18">
        <v>26</v>
      </c>
      <c r="F16" s="18">
        <v>32.390277933500265</v>
      </c>
      <c r="G16" s="7">
        <v>3.182374541003672E-2</v>
      </c>
      <c r="H16" s="63">
        <v>80271</v>
      </c>
      <c r="I16" s="19">
        <v>3809141.0222870023</v>
      </c>
      <c r="J16" s="6">
        <v>102145980.49108645</v>
      </c>
      <c r="K16" s="5">
        <v>480.23599999999999</v>
      </c>
      <c r="L16" s="4">
        <v>167.14906837471577</v>
      </c>
      <c r="M16" s="6">
        <v>24630.33</v>
      </c>
      <c r="N16" s="8">
        <v>0.64100000000000001</v>
      </c>
      <c r="O16" s="15">
        <v>51.04</v>
      </c>
      <c r="P16" s="90">
        <v>66205051.836902484</v>
      </c>
      <c r="Q16" s="91">
        <v>99168336.31074734</v>
      </c>
      <c r="R16" s="15">
        <v>6</v>
      </c>
      <c r="S16" s="8">
        <v>5.0999999999999996</v>
      </c>
      <c r="T16" s="8">
        <v>4.0999999999999996</v>
      </c>
      <c r="U16" s="14">
        <v>98.901882487164897</v>
      </c>
      <c r="V16" s="20">
        <v>320678.53000000003</v>
      </c>
      <c r="W16" s="48">
        <v>37.369999999999997</v>
      </c>
      <c r="X16" s="8">
        <v>32.43</v>
      </c>
      <c r="Y16" s="16">
        <v>36.477420151973803</v>
      </c>
      <c r="Z16" s="8">
        <v>0.55000000000000004</v>
      </c>
      <c r="AA16" s="17">
        <v>0.49831196820000001</v>
      </c>
      <c r="AB16" s="34">
        <v>9.0692778214000001</v>
      </c>
      <c r="AC16" s="34">
        <v>1</v>
      </c>
      <c r="AD16" s="42">
        <v>0</v>
      </c>
      <c r="AE16" s="43">
        <v>7.634796497218703E-2</v>
      </c>
      <c r="AF16" s="34">
        <v>1</v>
      </c>
      <c r="AG16" s="44">
        <v>0.441</v>
      </c>
      <c r="AH16" s="8">
        <v>0.41499999999999998</v>
      </c>
      <c r="AI16" s="17">
        <v>0.48099999999999998</v>
      </c>
      <c r="AJ16" s="8">
        <v>0.42599999999999999</v>
      </c>
      <c r="AK16" s="45">
        <v>0.49099999999999999</v>
      </c>
      <c r="AL16" s="85">
        <v>0.21368862976666542</v>
      </c>
      <c r="AM16" s="44">
        <v>8.4104289318755292</v>
      </c>
      <c r="AN16" s="8">
        <v>0.67377201112140883</v>
      </c>
      <c r="AO16" s="44">
        <v>0.67377201112140872</v>
      </c>
      <c r="AP16" s="85">
        <v>0.10759801173524686</v>
      </c>
      <c r="AQ16" s="45">
        <v>365.01351671213763</v>
      </c>
      <c r="AR16" s="8">
        <v>343.83525806331056</v>
      </c>
      <c r="AS16" s="45">
        <v>72.255235390115985</v>
      </c>
      <c r="AT16" s="8">
        <v>11.21201928467317</v>
      </c>
      <c r="AU16" s="45"/>
      <c r="AV16" s="45"/>
      <c r="AW16" s="8"/>
      <c r="AX16" s="45"/>
      <c r="AY16" s="8"/>
      <c r="AZ16" s="45"/>
      <c r="BA16" s="8"/>
      <c r="BB16" s="45"/>
      <c r="BC16" s="8"/>
      <c r="BD16" s="45"/>
      <c r="BE16" s="8"/>
      <c r="BF16" s="45"/>
      <c r="BG16" s="8"/>
      <c r="BH16" s="45"/>
      <c r="BI16" s="8"/>
      <c r="BJ16" s="45"/>
      <c r="BK16" s="8"/>
      <c r="BL16" s="45"/>
      <c r="BM16" s="8"/>
      <c r="BN16" s="8"/>
      <c r="BO16" s="45"/>
      <c r="BP16" s="8"/>
      <c r="BQ16" s="45"/>
      <c r="BR16" s="8"/>
      <c r="BS16" s="45"/>
      <c r="BT16" s="8"/>
      <c r="BU16" s="45"/>
      <c r="BV16" s="8"/>
      <c r="BW16" s="45"/>
      <c r="BX16" s="8"/>
      <c r="BY16" s="45"/>
      <c r="BZ16" s="8"/>
      <c r="CA16" s="45"/>
      <c r="CB16" s="8"/>
      <c r="CC16" s="45"/>
      <c r="CD16" s="8"/>
      <c r="CE16" s="45"/>
      <c r="CF16" s="8"/>
      <c r="CG16" s="45"/>
      <c r="CH16" s="8"/>
      <c r="CI16" s="45"/>
      <c r="CJ16" s="8"/>
      <c r="CK16" s="45"/>
      <c r="CL16" s="8"/>
      <c r="CM16" s="45"/>
      <c r="CN16" s="8"/>
      <c r="CO16" s="45"/>
      <c r="CP16" s="8"/>
      <c r="CQ16" s="45"/>
      <c r="CR16" s="8"/>
      <c r="CS16" s="45"/>
      <c r="CT16" s="8"/>
      <c r="CU16" s="45"/>
      <c r="CV16" s="8"/>
      <c r="CW16" s="45"/>
      <c r="CX16" s="8"/>
      <c r="CY16" s="45"/>
      <c r="CZ16" s="8"/>
      <c r="DA16" s="45"/>
      <c r="DB16" s="8"/>
      <c r="DC16" s="45"/>
      <c r="DD16" s="8"/>
      <c r="DE16" s="45"/>
      <c r="DF16" s="8"/>
      <c r="DG16" s="45"/>
      <c r="DH16" s="8"/>
      <c r="DI16" s="45"/>
      <c r="DJ16" s="8"/>
      <c r="DK16" s="45"/>
      <c r="DL16" s="8"/>
      <c r="DM16" s="45"/>
      <c r="DN16" s="8"/>
      <c r="DO16" s="45"/>
      <c r="DP16" s="8"/>
      <c r="DQ16" s="45"/>
      <c r="DR16" s="8"/>
    </row>
    <row r="17" spans="1:122" s="38" customFormat="1" x14ac:dyDescent="0.3">
      <c r="A17" s="21" t="s">
        <v>101</v>
      </c>
      <c r="B17" s="8">
        <v>2301109</v>
      </c>
      <c r="C17" s="61">
        <v>1305</v>
      </c>
      <c r="D17" s="14">
        <v>1750.5734637208739</v>
      </c>
      <c r="E17" s="18">
        <v>46</v>
      </c>
      <c r="F17" s="18">
        <v>61.706037801655327</v>
      </c>
      <c r="G17" s="7">
        <v>3.5249042145593872E-2</v>
      </c>
      <c r="H17" s="63">
        <v>74547</v>
      </c>
      <c r="I17" s="19">
        <v>10355246.703422001</v>
      </c>
      <c r="J17" s="6">
        <v>90013280.212483406</v>
      </c>
      <c r="K17" s="5">
        <v>1227.1969999999999</v>
      </c>
      <c r="L17" s="4">
        <v>60.745748237650524</v>
      </c>
      <c r="M17" s="6">
        <v>15210.71</v>
      </c>
      <c r="N17" s="8">
        <v>0.65500000000000003</v>
      </c>
      <c r="O17" s="15">
        <v>38.24</v>
      </c>
      <c r="P17" s="90">
        <v>68045400.324627414</v>
      </c>
      <c r="Q17" s="91">
        <v>79267238.681637093</v>
      </c>
      <c r="R17" s="15">
        <v>6.1</v>
      </c>
      <c r="S17" s="8">
        <v>5.2</v>
      </c>
      <c r="T17" s="8">
        <v>4.5</v>
      </c>
      <c r="U17" s="14">
        <v>98.391545131610897</v>
      </c>
      <c r="V17" s="20">
        <v>184116.56</v>
      </c>
      <c r="W17" s="48">
        <v>17.440000000000001</v>
      </c>
      <c r="X17" s="8">
        <v>31.76</v>
      </c>
      <c r="Y17" s="16">
        <v>29.771257085695201</v>
      </c>
      <c r="Z17" s="8">
        <v>0.5</v>
      </c>
      <c r="AA17" s="17">
        <v>1.3011925363000001</v>
      </c>
      <c r="AB17" s="34">
        <v>10.3827115779</v>
      </c>
      <c r="AC17" s="34">
        <v>0</v>
      </c>
      <c r="AD17" s="42">
        <v>0</v>
      </c>
      <c r="AE17" s="43">
        <v>0.36327882126693561</v>
      </c>
      <c r="AF17" s="34">
        <v>1</v>
      </c>
      <c r="AG17" s="44">
        <v>0.42799999999999999</v>
      </c>
      <c r="AH17" s="8">
        <v>0.32200000000000001</v>
      </c>
      <c r="AI17" s="17">
        <v>0.47</v>
      </c>
      <c r="AJ17" s="8">
        <v>0.49099999999999999</v>
      </c>
      <c r="AK17" s="45">
        <v>0.55100000000000005</v>
      </c>
      <c r="AL17" s="85">
        <v>0.14331897997236642</v>
      </c>
      <c r="AM17" s="44">
        <v>2.0408163265306101</v>
      </c>
      <c r="AN17" s="8">
        <v>0.82193158953722334</v>
      </c>
      <c r="AO17" s="44">
        <v>0.82193158953722323</v>
      </c>
      <c r="AP17" s="85">
        <v>0.12453888151099307</v>
      </c>
      <c r="AQ17" s="45">
        <v>348.77325713979104</v>
      </c>
      <c r="AR17" s="8">
        <v>403.77211691952726</v>
      </c>
      <c r="AS17" s="45">
        <v>60.364602197271523</v>
      </c>
      <c r="AT17" s="8">
        <v>4.0243068131514343</v>
      </c>
      <c r="AU17" s="45"/>
      <c r="AV17" s="45"/>
      <c r="AW17" s="8"/>
      <c r="AX17" s="45"/>
      <c r="AY17" s="8"/>
      <c r="AZ17" s="45"/>
      <c r="BA17" s="8"/>
      <c r="BB17" s="45"/>
      <c r="BC17" s="8"/>
      <c r="BD17" s="45"/>
      <c r="BE17" s="8"/>
      <c r="BF17" s="45"/>
      <c r="BG17" s="8"/>
      <c r="BH17" s="45"/>
      <c r="BI17" s="8"/>
      <c r="BJ17" s="45"/>
      <c r="BK17" s="8"/>
      <c r="BL17" s="45"/>
      <c r="BM17" s="8"/>
      <c r="BN17" s="8"/>
      <c r="BO17" s="45"/>
      <c r="BP17" s="8"/>
      <c r="BQ17" s="45"/>
      <c r="BR17" s="8"/>
      <c r="BS17" s="45"/>
      <c r="BT17" s="8"/>
      <c r="BU17" s="45"/>
      <c r="BV17" s="8"/>
      <c r="BW17" s="45"/>
      <c r="BX17" s="8"/>
      <c r="BY17" s="45"/>
      <c r="BZ17" s="8"/>
      <c r="CA17" s="45"/>
      <c r="CB17" s="8"/>
      <c r="CC17" s="45"/>
      <c r="CD17" s="8"/>
      <c r="CE17" s="45"/>
      <c r="CF17" s="8"/>
      <c r="CG17" s="45"/>
      <c r="CH17" s="8"/>
      <c r="CI17" s="45"/>
      <c r="CJ17" s="8"/>
      <c r="CK17" s="45"/>
      <c r="CL17" s="8"/>
      <c r="CM17" s="45"/>
      <c r="CN17" s="8"/>
      <c r="CO17" s="45"/>
      <c r="CP17" s="8"/>
      <c r="CQ17" s="45"/>
      <c r="CR17" s="8"/>
      <c r="CS17" s="45"/>
      <c r="CT17" s="8"/>
      <c r="CU17" s="45"/>
      <c r="CV17" s="8"/>
      <c r="CW17" s="45"/>
      <c r="CX17" s="8"/>
      <c r="CY17" s="45"/>
      <c r="CZ17" s="8"/>
      <c r="DA17" s="45"/>
      <c r="DB17" s="8"/>
      <c r="DC17" s="45"/>
      <c r="DD17" s="8"/>
      <c r="DE17" s="45"/>
      <c r="DF17" s="8"/>
      <c r="DG17" s="45"/>
      <c r="DH17" s="8"/>
      <c r="DI17" s="45"/>
      <c r="DJ17" s="8"/>
      <c r="DK17" s="45"/>
      <c r="DL17" s="8"/>
      <c r="DM17" s="45"/>
      <c r="DN17" s="8"/>
      <c r="DO17" s="45"/>
      <c r="DP17" s="8"/>
      <c r="DQ17" s="45"/>
      <c r="DR17" s="8"/>
    </row>
    <row r="18" spans="1:122" s="38" customFormat="1" x14ac:dyDescent="0.3">
      <c r="A18" s="21" t="s">
        <v>102</v>
      </c>
      <c r="B18" s="8">
        <v>2301208</v>
      </c>
      <c r="C18" s="61">
        <v>648</v>
      </c>
      <c r="D18" s="14">
        <v>2448.146888813329</v>
      </c>
      <c r="E18" s="18">
        <v>12</v>
      </c>
      <c r="F18" s="18">
        <v>45.336053496543123</v>
      </c>
      <c r="G18" s="7">
        <v>1.8518518518518517E-2</v>
      </c>
      <c r="H18" s="63">
        <v>26469</v>
      </c>
      <c r="I18" s="19">
        <v>4771770.2973289508</v>
      </c>
      <c r="J18" s="6">
        <v>109035475.46186104</v>
      </c>
      <c r="K18" s="5">
        <v>643.98800000000006</v>
      </c>
      <c r="L18" s="4">
        <v>41.101697547159262</v>
      </c>
      <c r="M18" s="6">
        <v>7457.75</v>
      </c>
      <c r="N18" s="8">
        <v>0.61499999999999999</v>
      </c>
      <c r="O18" s="15">
        <v>28.56</v>
      </c>
      <c r="P18" s="90">
        <v>88102190.335864604</v>
      </c>
      <c r="Q18" s="91">
        <v>89914338.660319611</v>
      </c>
      <c r="R18" s="15">
        <v>5.2</v>
      </c>
      <c r="S18" s="8">
        <v>4.9000000000000004</v>
      </c>
      <c r="T18" s="8">
        <v>4.7</v>
      </c>
      <c r="U18" s="14">
        <v>99.154071734716894</v>
      </c>
      <c r="V18" s="20">
        <v>21478.62</v>
      </c>
      <c r="W18" s="48">
        <v>56.67</v>
      </c>
      <c r="X18" s="8">
        <v>32.47</v>
      </c>
      <c r="Y18" s="16">
        <v>53.2579611833428</v>
      </c>
      <c r="Z18" s="8">
        <v>0.98</v>
      </c>
      <c r="AA18" s="17">
        <v>1.8890022289999999</v>
      </c>
      <c r="AB18" s="34">
        <v>12.9963353357</v>
      </c>
      <c r="AC18" s="34">
        <v>0</v>
      </c>
      <c r="AD18" s="42">
        <v>1</v>
      </c>
      <c r="AE18" s="43">
        <v>0.45898152888818872</v>
      </c>
      <c r="AF18" s="34">
        <v>1</v>
      </c>
      <c r="AG18" s="44">
        <v>0.51</v>
      </c>
      <c r="AH18" s="8">
        <v>0.45300000000000001</v>
      </c>
      <c r="AI18" s="17">
        <v>0.52600000000000002</v>
      </c>
      <c r="AJ18" s="8">
        <v>0.55100000000000005</v>
      </c>
      <c r="AK18" s="45">
        <v>0.66700000000000004</v>
      </c>
      <c r="AL18" s="85">
        <v>7.4426687823491627E-2</v>
      </c>
      <c r="AM18" s="44">
        <v>8.0213903743315509</v>
      </c>
      <c r="AN18" s="8">
        <v>0.70496083550913824</v>
      </c>
      <c r="AO18" s="44">
        <v>0.70496083550913835</v>
      </c>
      <c r="AP18" s="85">
        <v>0.13887944387774379</v>
      </c>
      <c r="AQ18" s="45">
        <v>506.25259737806488</v>
      </c>
      <c r="AR18" s="8">
        <v>876.49703426650046</v>
      </c>
      <c r="AS18" s="45">
        <v>154.89818277985569</v>
      </c>
      <c r="AT18" s="8">
        <v>26.446031206316821</v>
      </c>
      <c r="AU18" s="45"/>
      <c r="AV18" s="45"/>
      <c r="AW18" s="8"/>
      <c r="AX18" s="45"/>
      <c r="AY18" s="8"/>
      <c r="AZ18" s="45"/>
      <c r="BA18" s="8"/>
      <c r="BB18" s="45"/>
      <c r="BC18" s="8"/>
      <c r="BD18" s="45"/>
      <c r="BE18" s="8"/>
      <c r="BF18" s="45"/>
      <c r="BG18" s="8"/>
      <c r="BH18" s="45"/>
      <c r="BI18" s="8"/>
      <c r="BJ18" s="45"/>
      <c r="BK18" s="8"/>
      <c r="BL18" s="45"/>
      <c r="BM18" s="8"/>
      <c r="BN18" s="8"/>
      <c r="BO18" s="45"/>
      <c r="BP18" s="8"/>
      <c r="BQ18" s="45"/>
      <c r="BR18" s="8"/>
      <c r="BS18" s="45"/>
      <c r="BT18" s="8"/>
      <c r="BU18" s="45"/>
      <c r="BV18" s="8"/>
      <c r="BW18" s="45"/>
      <c r="BX18" s="8"/>
      <c r="BY18" s="45"/>
      <c r="BZ18" s="8"/>
      <c r="CA18" s="45"/>
      <c r="CB18" s="8"/>
      <c r="CC18" s="45"/>
      <c r="CD18" s="8"/>
      <c r="CE18" s="45"/>
      <c r="CF18" s="8"/>
      <c r="CG18" s="45"/>
      <c r="CH18" s="8"/>
      <c r="CI18" s="45"/>
      <c r="CJ18" s="8"/>
      <c r="CK18" s="45"/>
      <c r="CL18" s="8"/>
      <c r="CM18" s="45"/>
      <c r="CN18" s="8"/>
      <c r="CO18" s="45"/>
      <c r="CP18" s="8"/>
      <c r="CQ18" s="45"/>
      <c r="CR18" s="8"/>
      <c r="CS18" s="45"/>
      <c r="CT18" s="8"/>
      <c r="CU18" s="45"/>
      <c r="CV18" s="8"/>
      <c r="CW18" s="45"/>
      <c r="CX18" s="8"/>
      <c r="CY18" s="45"/>
      <c r="CZ18" s="8"/>
      <c r="DA18" s="45"/>
      <c r="DB18" s="8"/>
      <c r="DC18" s="45"/>
      <c r="DD18" s="8"/>
      <c r="DE18" s="45"/>
      <c r="DF18" s="8"/>
      <c r="DG18" s="45"/>
      <c r="DH18" s="8"/>
      <c r="DI18" s="45"/>
      <c r="DJ18" s="8"/>
      <c r="DK18" s="45"/>
      <c r="DL18" s="8"/>
      <c r="DM18" s="45"/>
      <c r="DN18" s="8"/>
      <c r="DO18" s="45"/>
      <c r="DP18" s="8"/>
      <c r="DQ18" s="45"/>
      <c r="DR18" s="8"/>
    </row>
    <row r="19" spans="1:122" s="38" customFormat="1" x14ac:dyDescent="0.3">
      <c r="A19" s="21" t="s">
        <v>103</v>
      </c>
      <c r="B19" s="8">
        <v>2301257</v>
      </c>
      <c r="C19" s="61">
        <v>40</v>
      </c>
      <c r="D19" s="14">
        <v>365.79789666209416</v>
      </c>
      <c r="E19" s="18">
        <v>2</v>
      </c>
      <c r="F19" s="18">
        <v>18.289894833104711</v>
      </c>
      <c r="G19" s="7">
        <v>0.05</v>
      </c>
      <c r="H19" s="63">
        <v>10935</v>
      </c>
      <c r="I19" s="19">
        <v>6610003.6579789678</v>
      </c>
      <c r="J19" s="6">
        <v>100883401.92043896</v>
      </c>
      <c r="K19" s="5">
        <v>342.30099999999999</v>
      </c>
      <c r="L19" s="4">
        <v>31.945568374033382</v>
      </c>
      <c r="M19" s="6">
        <v>7162.31</v>
      </c>
      <c r="N19" s="8">
        <v>0.59</v>
      </c>
      <c r="O19" s="15">
        <v>22.71</v>
      </c>
      <c r="P19" s="90">
        <v>67805938.088705987</v>
      </c>
      <c r="Q19" s="91">
        <v>108209497.66803843</v>
      </c>
      <c r="R19" s="15">
        <v>8.3000000000000007</v>
      </c>
      <c r="S19" s="8">
        <v>6.9</v>
      </c>
      <c r="T19" s="8">
        <v>5.6</v>
      </c>
      <c r="U19" s="14">
        <v>99.9479166666667</v>
      </c>
      <c r="V19" s="20">
        <v>7862.94</v>
      </c>
      <c r="W19" s="48">
        <v>9.14</v>
      </c>
      <c r="X19" s="8">
        <v>26.67</v>
      </c>
      <c r="Y19" s="16">
        <v>52.0211698147641</v>
      </c>
      <c r="Z19" s="8">
        <v>0.82</v>
      </c>
      <c r="AA19" s="17">
        <v>1.8289894833</v>
      </c>
      <c r="AB19" s="34">
        <v>11.796982167399999</v>
      </c>
      <c r="AC19" s="34">
        <v>0</v>
      </c>
      <c r="AD19" s="42">
        <v>1</v>
      </c>
      <c r="AE19" s="43">
        <v>0.5323610713945286</v>
      </c>
      <c r="AF19" s="34">
        <v>0</v>
      </c>
      <c r="AG19" s="44">
        <v>0.47599999999999998</v>
      </c>
      <c r="AH19" s="8">
        <v>0.22900000000000001</v>
      </c>
      <c r="AI19" s="17">
        <v>0.53200000000000003</v>
      </c>
      <c r="AJ19" s="8">
        <v>0.66700000000000004</v>
      </c>
      <c r="AK19" s="45">
        <v>0.55200000000000005</v>
      </c>
      <c r="AL19" s="85">
        <v>6.6483767718335626E-2</v>
      </c>
      <c r="AM19" s="44">
        <v>40.540540540540498</v>
      </c>
      <c r="AN19" s="8">
        <v>1</v>
      </c>
      <c r="AO19" s="44">
        <v>1</v>
      </c>
      <c r="AP19" s="85">
        <v>0.16707818930041152</v>
      </c>
      <c r="AQ19" s="45">
        <v>557.84179240969365</v>
      </c>
      <c r="AR19" s="8">
        <v>713.30589849108367</v>
      </c>
      <c r="AS19" s="45">
        <v>91.44947416552354</v>
      </c>
      <c r="AT19" s="8">
        <v>18.289894833104711</v>
      </c>
      <c r="AU19" s="45"/>
      <c r="AV19" s="45"/>
      <c r="AW19" s="8"/>
      <c r="AX19" s="45"/>
      <c r="AY19" s="8"/>
      <c r="AZ19" s="45"/>
      <c r="BA19" s="8"/>
      <c r="BB19" s="45"/>
      <c r="BC19" s="8"/>
      <c r="BD19" s="45"/>
      <c r="BE19" s="8"/>
      <c r="BF19" s="45"/>
      <c r="BG19" s="8"/>
      <c r="BH19" s="45"/>
      <c r="BI19" s="8"/>
      <c r="BJ19" s="45"/>
      <c r="BK19" s="8"/>
      <c r="BL19" s="45"/>
      <c r="BM19" s="8"/>
      <c r="BN19" s="8"/>
      <c r="BO19" s="45"/>
      <c r="BP19" s="8"/>
      <c r="BQ19" s="45"/>
      <c r="BR19" s="8"/>
      <c r="BS19" s="45"/>
      <c r="BT19" s="8"/>
      <c r="BU19" s="45"/>
      <c r="BV19" s="8"/>
      <c r="BW19" s="45"/>
      <c r="BX19" s="8"/>
      <c r="BY19" s="45"/>
      <c r="BZ19" s="8"/>
      <c r="CA19" s="45"/>
      <c r="CB19" s="8"/>
      <c r="CC19" s="45"/>
      <c r="CD19" s="8"/>
      <c r="CE19" s="45"/>
      <c r="CF19" s="8"/>
      <c r="CG19" s="45"/>
      <c r="CH19" s="8"/>
      <c r="CI19" s="45"/>
      <c r="CJ19" s="8"/>
      <c r="CK19" s="45"/>
      <c r="CL19" s="8"/>
      <c r="CM19" s="45"/>
      <c r="CN19" s="8"/>
      <c r="CO19" s="45"/>
      <c r="CP19" s="8"/>
      <c r="CQ19" s="45"/>
      <c r="CR19" s="8"/>
      <c r="CS19" s="45"/>
      <c r="CT19" s="8"/>
      <c r="CU19" s="45"/>
      <c r="CV19" s="8"/>
      <c r="CW19" s="45"/>
      <c r="CX19" s="8"/>
      <c r="CY19" s="45"/>
      <c r="CZ19" s="8"/>
      <c r="DA19" s="45"/>
      <c r="DB19" s="8"/>
      <c r="DC19" s="45"/>
      <c r="DD19" s="8"/>
      <c r="DE19" s="45"/>
      <c r="DF19" s="8"/>
      <c r="DG19" s="45"/>
      <c r="DH19" s="8"/>
      <c r="DI19" s="45"/>
      <c r="DJ19" s="8"/>
      <c r="DK19" s="45"/>
      <c r="DL19" s="8"/>
      <c r="DM19" s="45"/>
      <c r="DN19" s="8"/>
      <c r="DO19" s="45"/>
      <c r="DP19" s="8"/>
      <c r="DQ19" s="45"/>
      <c r="DR19" s="8"/>
    </row>
    <row r="20" spans="1:122" s="38" customFormat="1" x14ac:dyDescent="0.3">
      <c r="A20" s="21" t="s">
        <v>104</v>
      </c>
      <c r="B20" s="8">
        <v>2301307</v>
      </c>
      <c r="C20" s="61">
        <v>161</v>
      </c>
      <c r="D20" s="14">
        <v>745.37037037037032</v>
      </c>
      <c r="E20" s="18">
        <v>2</v>
      </c>
      <c r="F20" s="18">
        <v>9.2592592592592595</v>
      </c>
      <c r="G20" s="7">
        <v>1.2422360248447204E-2</v>
      </c>
      <c r="H20" s="63">
        <v>21600</v>
      </c>
      <c r="I20" s="19">
        <v>2760128.1018518521</v>
      </c>
      <c r="J20" s="6">
        <v>98791666.666666657</v>
      </c>
      <c r="K20" s="5">
        <v>1097.3389999999999</v>
      </c>
      <c r="L20" s="4">
        <v>19.683980975796906</v>
      </c>
      <c r="M20" s="6">
        <v>6724.7</v>
      </c>
      <c r="N20" s="8">
        <v>0.56399999999999995</v>
      </c>
      <c r="O20" s="15">
        <v>18.940000000000001</v>
      </c>
      <c r="P20" s="90">
        <v>66828335.78703703</v>
      </c>
      <c r="Q20" s="91">
        <v>157870351.75925922</v>
      </c>
      <c r="R20" s="15">
        <v>5.9</v>
      </c>
      <c r="S20" s="8">
        <v>5.6</v>
      </c>
      <c r="T20" s="8">
        <v>4.5999999999999996</v>
      </c>
      <c r="U20" s="14">
        <v>95.044667783361206</v>
      </c>
      <c r="V20" s="20">
        <v>14210.26</v>
      </c>
      <c r="W20" s="48">
        <v>4.63</v>
      </c>
      <c r="X20" s="8">
        <v>34.21</v>
      </c>
      <c r="Y20" s="16">
        <v>50.498753117207002</v>
      </c>
      <c r="Z20" s="8">
        <v>0.56000000000000005</v>
      </c>
      <c r="AA20" s="17">
        <v>2.0370370370000002</v>
      </c>
      <c r="AB20" s="34">
        <v>7.3611111110999996</v>
      </c>
      <c r="AC20" s="34">
        <v>0</v>
      </c>
      <c r="AD20" s="42">
        <v>1</v>
      </c>
      <c r="AE20" s="43">
        <v>0.38443316412859563</v>
      </c>
      <c r="AF20" s="34">
        <v>1</v>
      </c>
      <c r="AG20" s="44">
        <v>0.47799999999999998</v>
      </c>
      <c r="AH20" s="8">
        <v>0.29199999999999998</v>
      </c>
      <c r="AI20" s="17">
        <v>0.58899999999999997</v>
      </c>
      <c r="AJ20" s="8">
        <v>0.55200000000000005</v>
      </c>
      <c r="AK20" s="45">
        <v>0.53100000000000003</v>
      </c>
      <c r="AL20" s="85">
        <v>5.199074074074074E-2</v>
      </c>
      <c r="AM20" s="44">
        <v>11.0192837465565</v>
      </c>
      <c r="AN20" s="8">
        <v>0.84679487179487201</v>
      </c>
      <c r="AO20" s="44">
        <v>0.84679487179487201</v>
      </c>
      <c r="AP20" s="85">
        <v>0.11916666666666667</v>
      </c>
      <c r="AQ20" s="45">
        <v>412.03703703703707</v>
      </c>
      <c r="AR20" s="8">
        <v>458.33333333333331</v>
      </c>
      <c r="AS20" s="45">
        <v>32.407407407407405</v>
      </c>
      <c r="AT20" s="8">
        <v>27.777777777777779</v>
      </c>
      <c r="AU20" s="45"/>
      <c r="AV20" s="45"/>
      <c r="AW20" s="8"/>
      <c r="AX20" s="45"/>
      <c r="AY20" s="8"/>
      <c r="AZ20" s="45"/>
      <c r="BA20" s="8"/>
      <c r="BB20" s="45"/>
      <c r="BC20" s="8"/>
      <c r="BD20" s="45"/>
      <c r="BE20" s="8"/>
      <c r="BF20" s="45"/>
      <c r="BG20" s="8"/>
      <c r="BH20" s="45"/>
      <c r="BI20" s="8"/>
      <c r="BJ20" s="45"/>
      <c r="BK20" s="8"/>
      <c r="BL20" s="45"/>
      <c r="BM20" s="8"/>
      <c r="BN20" s="8"/>
      <c r="BO20" s="45"/>
      <c r="BP20" s="8"/>
      <c r="BQ20" s="45"/>
      <c r="BR20" s="8"/>
      <c r="BS20" s="45"/>
      <c r="BT20" s="8"/>
      <c r="BU20" s="45"/>
      <c r="BV20" s="8"/>
      <c r="BW20" s="45"/>
      <c r="BX20" s="8"/>
      <c r="BY20" s="45"/>
      <c r="BZ20" s="8"/>
      <c r="CA20" s="45"/>
      <c r="CB20" s="8"/>
      <c r="CC20" s="45"/>
      <c r="CD20" s="8"/>
      <c r="CE20" s="45"/>
      <c r="CF20" s="8"/>
      <c r="CG20" s="45"/>
      <c r="CH20" s="8"/>
      <c r="CI20" s="45"/>
      <c r="CJ20" s="8"/>
      <c r="CK20" s="45"/>
      <c r="CL20" s="8"/>
      <c r="CM20" s="45"/>
      <c r="CN20" s="8"/>
      <c r="CO20" s="45"/>
      <c r="CP20" s="8"/>
      <c r="CQ20" s="45"/>
      <c r="CR20" s="8"/>
      <c r="CS20" s="45"/>
      <c r="CT20" s="8"/>
      <c r="CU20" s="45"/>
      <c r="CV20" s="8"/>
      <c r="CW20" s="45"/>
      <c r="CX20" s="8"/>
      <c r="CY20" s="45"/>
      <c r="CZ20" s="8"/>
      <c r="DA20" s="45"/>
      <c r="DB20" s="8"/>
      <c r="DC20" s="45"/>
      <c r="DD20" s="8"/>
      <c r="DE20" s="45"/>
      <c r="DF20" s="8"/>
      <c r="DG20" s="45"/>
      <c r="DH20" s="8"/>
      <c r="DI20" s="45"/>
      <c r="DJ20" s="8"/>
      <c r="DK20" s="45"/>
      <c r="DL20" s="8"/>
      <c r="DM20" s="45"/>
      <c r="DN20" s="8"/>
      <c r="DO20" s="45"/>
      <c r="DP20" s="8"/>
      <c r="DQ20" s="45"/>
      <c r="DR20" s="8"/>
    </row>
    <row r="21" spans="1:122" s="38" customFormat="1" x14ac:dyDescent="0.3">
      <c r="A21" s="21" t="s">
        <v>105</v>
      </c>
      <c r="B21" s="8">
        <v>2301406</v>
      </c>
      <c r="C21" s="61">
        <v>181</v>
      </c>
      <c r="D21" s="14">
        <v>1527.8129484257618</v>
      </c>
      <c r="E21" s="18">
        <v>1</v>
      </c>
      <c r="F21" s="18">
        <v>8.440955516164431</v>
      </c>
      <c r="G21" s="7">
        <v>5.5248618784530384E-3</v>
      </c>
      <c r="H21" s="63">
        <v>11847</v>
      </c>
      <c r="I21" s="19">
        <v>9100734.9539967924</v>
      </c>
      <c r="J21" s="6">
        <v>113365408.96429476</v>
      </c>
      <c r="K21" s="5">
        <v>119.758</v>
      </c>
      <c r="L21" s="4">
        <v>98.924497737103167</v>
      </c>
      <c r="M21" s="6">
        <v>11444.89</v>
      </c>
      <c r="N21" s="8">
        <v>0.622</v>
      </c>
      <c r="O21" s="15">
        <v>26.25</v>
      </c>
      <c r="P21" s="90">
        <v>86412632.311977729</v>
      </c>
      <c r="Q21" s="91">
        <v>210694228.9187136</v>
      </c>
      <c r="R21" s="15">
        <v>5.7</v>
      </c>
      <c r="S21" s="8">
        <v>5.3</v>
      </c>
      <c r="T21" s="8">
        <v>3.8</v>
      </c>
      <c r="U21" s="14">
        <v>99.531396438612902</v>
      </c>
      <c r="V21" s="20">
        <v>7905.52</v>
      </c>
      <c r="W21" s="48">
        <v>16.88</v>
      </c>
      <c r="X21" s="8">
        <v>30.99</v>
      </c>
      <c r="Y21" s="16">
        <v>57.329266226063403</v>
      </c>
      <c r="Z21" s="8">
        <v>1.1000000000000001</v>
      </c>
      <c r="AA21" s="17">
        <v>1.0129146619</v>
      </c>
      <c r="AB21" s="34">
        <v>9.4538701781000007</v>
      </c>
      <c r="AC21" s="34">
        <v>0</v>
      </c>
      <c r="AD21" s="42">
        <v>1</v>
      </c>
      <c r="AE21" s="43">
        <v>0.67308526324919771</v>
      </c>
      <c r="AF21" s="34">
        <v>1</v>
      </c>
      <c r="AG21" s="44">
        <v>0.45900000000000002</v>
      </c>
      <c r="AH21" s="8">
        <v>0.35899999999999999</v>
      </c>
      <c r="AI21" s="17">
        <v>0.48799999999999999</v>
      </c>
      <c r="AJ21" s="8">
        <v>0.53100000000000003</v>
      </c>
      <c r="AK21" s="45">
        <v>0.52</v>
      </c>
      <c r="AL21" s="85">
        <v>7.1663712332236007E-2</v>
      </c>
      <c r="AM21" s="44">
        <v>28.409090909090899</v>
      </c>
      <c r="AN21" s="8">
        <v>0.79141104294478526</v>
      </c>
      <c r="AO21" s="44">
        <v>0.79141104294478526</v>
      </c>
      <c r="AP21" s="85">
        <v>0.12948425761796237</v>
      </c>
      <c r="AQ21" s="45">
        <v>312.3153540980839</v>
      </c>
      <c r="AR21" s="8">
        <v>396.72490925972824</v>
      </c>
      <c r="AS21" s="45">
        <v>92.850510677808728</v>
      </c>
      <c r="AT21" s="8">
        <v>0</v>
      </c>
      <c r="AU21" s="45"/>
      <c r="AV21" s="45"/>
      <c r="AW21" s="8"/>
      <c r="AX21" s="45"/>
      <c r="AY21" s="8"/>
      <c r="AZ21" s="45"/>
      <c r="BA21" s="8"/>
      <c r="BB21" s="45"/>
      <c r="BC21" s="8"/>
      <c r="BD21" s="45"/>
      <c r="BE21" s="8"/>
      <c r="BF21" s="45"/>
      <c r="BG21" s="8"/>
      <c r="BH21" s="45"/>
      <c r="BI21" s="8"/>
      <c r="BJ21" s="45"/>
      <c r="BK21" s="8"/>
      <c r="BL21" s="45"/>
      <c r="BM21" s="8"/>
      <c r="BN21" s="8"/>
      <c r="BO21" s="45"/>
      <c r="BP21" s="8"/>
      <c r="BQ21" s="45"/>
      <c r="BR21" s="8"/>
      <c r="BS21" s="45"/>
      <c r="BT21" s="8"/>
      <c r="BU21" s="45"/>
      <c r="BV21" s="8"/>
      <c r="BW21" s="45"/>
      <c r="BX21" s="8"/>
      <c r="BY21" s="45"/>
      <c r="BZ21" s="8"/>
      <c r="CA21" s="45"/>
      <c r="CB21" s="8"/>
      <c r="CC21" s="45"/>
      <c r="CD21" s="8"/>
      <c r="CE21" s="45"/>
      <c r="CF21" s="8"/>
      <c r="CG21" s="45"/>
      <c r="CH21" s="8"/>
      <c r="CI21" s="45"/>
      <c r="CJ21" s="8"/>
      <c r="CK21" s="45"/>
      <c r="CL21" s="8"/>
      <c r="CM21" s="45"/>
      <c r="CN21" s="8"/>
      <c r="CO21" s="45"/>
      <c r="CP21" s="8"/>
      <c r="CQ21" s="45"/>
      <c r="CR21" s="8"/>
      <c r="CS21" s="45"/>
      <c r="CT21" s="8"/>
      <c r="CU21" s="45"/>
      <c r="CV21" s="8"/>
      <c r="CW21" s="45"/>
      <c r="CX21" s="8"/>
      <c r="CY21" s="45"/>
      <c r="CZ21" s="8"/>
      <c r="DA21" s="45"/>
      <c r="DB21" s="8"/>
      <c r="DC21" s="45"/>
      <c r="DD21" s="8"/>
      <c r="DE21" s="45"/>
      <c r="DF21" s="8"/>
      <c r="DG21" s="45"/>
      <c r="DH21" s="8"/>
      <c r="DI21" s="45"/>
      <c r="DJ21" s="8"/>
      <c r="DK21" s="45"/>
      <c r="DL21" s="8"/>
      <c r="DM21" s="45"/>
      <c r="DN21" s="8"/>
      <c r="DO21" s="45"/>
      <c r="DP21" s="8"/>
      <c r="DQ21" s="45"/>
      <c r="DR21" s="8"/>
    </row>
    <row r="22" spans="1:122" s="38" customFormat="1" x14ac:dyDescent="0.3">
      <c r="A22" s="21" t="s">
        <v>106</v>
      </c>
      <c r="B22" s="8">
        <v>2301505</v>
      </c>
      <c r="C22" s="61">
        <v>40</v>
      </c>
      <c r="D22" s="14">
        <v>510.20408163265301</v>
      </c>
      <c r="E22" s="18">
        <v>2</v>
      </c>
      <c r="F22" s="18">
        <v>25.510204081632654</v>
      </c>
      <c r="G22" s="7">
        <v>0.05</v>
      </c>
      <c r="H22" s="63">
        <v>7840</v>
      </c>
      <c r="I22" s="19">
        <v>11493844.770408165</v>
      </c>
      <c r="J22" s="6">
        <v>83831632.653061226</v>
      </c>
      <c r="K22" s="5">
        <v>1068.4369999999999</v>
      </c>
      <c r="L22" s="4">
        <v>7.3378215093636783</v>
      </c>
      <c r="M22" s="6">
        <v>6907.11</v>
      </c>
      <c r="N22" s="8">
        <v>0.61799999999999999</v>
      </c>
      <c r="O22" s="15">
        <v>13.5</v>
      </c>
      <c r="P22" s="90">
        <v>84014477.168367341</v>
      </c>
      <c r="Q22" s="91">
        <v>108110496.42857142</v>
      </c>
      <c r="R22" s="15">
        <v>5.7</v>
      </c>
      <c r="S22" s="8">
        <v>4.8</v>
      </c>
      <c r="T22" s="8">
        <v>4.5999999999999996</v>
      </c>
      <c r="U22" s="14">
        <v>99.610263072426093</v>
      </c>
      <c r="V22" s="20">
        <v>6135.25</v>
      </c>
      <c r="W22" s="48">
        <v>12.76</v>
      </c>
      <c r="X22" s="8">
        <v>32.26</v>
      </c>
      <c r="Y22" s="16">
        <v>36.486486486486498</v>
      </c>
      <c r="Z22" s="8">
        <v>0.89</v>
      </c>
      <c r="AA22" s="17">
        <v>2.0408163264999999</v>
      </c>
      <c r="AB22" s="34">
        <v>9.0561224490000001</v>
      </c>
      <c r="AC22" s="34">
        <v>0</v>
      </c>
      <c r="AD22" s="42">
        <v>1</v>
      </c>
      <c r="AE22" s="43">
        <v>0.49294117647058822</v>
      </c>
      <c r="AF22" s="34">
        <v>1</v>
      </c>
      <c r="AG22" s="44">
        <v>0.41099999999999998</v>
      </c>
      <c r="AH22" s="8">
        <v>0.23300000000000001</v>
      </c>
      <c r="AI22" s="17">
        <v>0.48</v>
      </c>
      <c r="AJ22" s="8">
        <v>0.52</v>
      </c>
      <c r="AK22" s="45">
        <v>0.54100000000000004</v>
      </c>
      <c r="AL22" s="85">
        <v>4.7448979591836735E-2</v>
      </c>
      <c r="AM22" s="44">
        <v>26.5486725663717</v>
      </c>
      <c r="AN22" s="8">
        <v>0.9916666666666667</v>
      </c>
      <c r="AO22" s="44">
        <v>0.9916666666666667</v>
      </c>
      <c r="AP22" s="85">
        <v>0.15778061224489795</v>
      </c>
      <c r="AQ22" s="45">
        <v>510.20408163265301</v>
      </c>
      <c r="AR22" s="8">
        <v>752.55102040816325</v>
      </c>
      <c r="AS22" s="45">
        <v>76.530612244897952</v>
      </c>
      <c r="AT22" s="8">
        <v>25.510204081632654</v>
      </c>
      <c r="AU22" s="45"/>
      <c r="AV22" s="45"/>
      <c r="AW22" s="8"/>
      <c r="AX22" s="45"/>
      <c r="AY22" s="8"/>
      <c r="AZ22" s="45"/>
      <c r="BA22" s="8"/>
      <c r="BB22" s="45"/>
      <c r="BC22" s="8"/>
      <c r="BD22" s="45"/>
      <c r="BE22" s="8"/>
      <c r="BF22" s="45"/>
      <c r="BG22" s="8"/>
      <c r="BH22" s="45"/>
      <c r="BI22" s="8"/>
      <c r="BJ22" s="45"/>
      <c r="BK22" s="8"/>
      <c r="BL22" s="45"/>
      <c r="BM22" s="8"/>
      <c r="BN22" s="8"/>
      <c r="BO22" s="45"/>
      <c r="BP22" s="8"/>
      <c r="BQ22" s="45"/>
      <c r="BR22" s="8"/>
      <c r="BS22" s="45"/>
      <c r="BT22" s="8"/>
      <c r="BU22" s="45"/>
      <c r="BV22" s="8"/>
      <c r="BW22" s="45"/>
      <c r="BX22" s="8"/>
      <c r="BY22" s="45"/>
      <c r="BZ22" s="8"/>
      <c r="CA22" s="45"/>
      <c r="CB22" s="8"/>
      <c r="CC22" s="45"/>
      <c r="CD22" s="8"/>
      <c r="CE22" s="45"/>
      <c r="CF22" s="8"/>
      <c r="CG22" s="45"/>
      <c r="CH22" s="8"/>
      <c r="CI22" s="45"/>
      <c r="CJ22" s="8"/>
      <c r="CK22" s="45"/>
      <c r="CL22" s="8"/>
      <c r="CM22" s="45"/>
      <c r="CN22" s="8"/>
      <c r="CO22" s="45"/>
      <c r="CP22" s="8"/>
      <c r="CQ22" s="45"/>
      <c r="CR22" s="8"/>
      <c r="CS22" s="45"/>
      <c r="CT22" s="8"/>
      <c r="CU22" s="45"/>
      <c r="CV22" s="8"/>
      <c r="CW22" s="45"/>
      <c r="CX22" s="8"/>
      <c r="CY22" s="45"/>
      <c r="CZ22" s="8"/>
      <c r="DA22" s="45"/>
      <c r="DB22" s="8"/>
      <c r="DC22" s="45"/>
      <c r="DD22" s="8"/>
      <c r="DE22" s="45"/>
      <c r="DF22" s="8"/>
      <c r="DG22" s="45"/>
      <c r="DH22" s="8"/>
      <c r="DI22" s="45"/>
      <c r="DJ22" s="8"/>
      <c r="DK22" s="45"/>
      <c r="DL22" s="8"/>
      <c r="DM22" s="45"/>
      <c r="DN22" s="8"/>
      <c r="DO22" s="45"/>
      <c r="DP22" s="8"/>
      <c r="DQ22" s="45"/>
      <c r="DR22" s="8"/>
    </row>
    <row r="23" spans="1:122" s="38" customFormat="1" x14ac:dyDescent="0.3">
      <c r="A23" s="21" t="s">
        <v>107</v>
      </c>
      <c r="B23" s="8">
        <v>2301604</v>
      </c>
      <c r="C23" s="61">
        <v>223</v>
      </c>
      <c r="D23" s="14">
        <v>952.29961139343209</v>
      </c>
      <c r="E23" s="18">
        <v>4</v>
      </c>
      <c r="F23" s="18">
        <v>17.081607379254386</v>
      </c>
      <c r="G23" s="7">
        <v>1.7937219730941704E-2</v>
      </c>
      <c r="H23" s="63">
        <v>23417</v>
      </c>
      <c r="I23" s="19">
        <v>6261040.9104496734</v>
      </c>
      <c r="J23" s="6">
        <v>101638980.22803946</v>
      </c>
      <c r="K23" s="5">
        <v>1155.124</v>
      </c>
      <c r="L23" s="4">
        <v>20.272282456255777</v>
      </c>
      <c r="M23" s="6">
        <v>6947.09</v>
      </c>
      <c r="N23" s="8">
        <v>0.6</v>
      </c>
      <c r="O23" s="15">
        <v>21.16</v>
      </c>
      <c r="P23" s="90">
        <v>51687235.683477819</v>
      </c>
      <c r="Q23" s="91">
        <v>85971425.801767945</v>
      </c>
      <c r="R23" s="15">
        <v>6.3</v>
      </c>
      <c r="S23" s="8">
        <v>4.7</v>
      </c>
      <c r="T23" s="8">
        <v>4.5999999999999996</v>
      </c>
      <c r="U23" s="14">
        <v>99.859983197983794</v>
      </c>
      <c r="V23" s="20">
        <v>16353.2</v>
      </c>
      <c r="W23" s="48">
        <v>29.89</v>
      </c>
      <c r="X23" s="8">
        <v>32.880000000000003</v>
      </c>
      <c r="Y23" s="16">
        <v>51.371496720333901</v>
      </c>
      <c r="Z23" s="8">
        <v>0.64</v>
      </c>
      <c r="AA23" s="17">
        <v>2.0497928855000001</v>
      </c>
      <c r="AB23" s="34">
        <v>8.4980996712000003</v>
      </c>
      <c r="AC23" s="34">
        <v>0</v>
      </c>
      <c r="AD23" s="42">
        <v>1</v>
      </c>
      <c r="AE23" s="43">
        <v>0.46749832924927603</v>
      </c>
      <c r="AF23" s="34">
        <v>1</v>
      </c>
      <c r="AG23" s="44">
        <v>0.437</v>
      </c>
      <c r="AH23" s="8">
        <v>0.27300000000000002</v>
      </c>
      <c r="AI23" s="17">
        <v>0.498</v>
      </c>
      <c r="AJ23" s="8">
        <v>0.54100000000000004</v>
      </c>
      <c r="AK23" s="45">
        <v>0.52200000000000002</v>
      </c>
      <c r="AL23" s="85">
        <v>6.5935004483921936E-2</v>
      </c>
      <c r="AM23" s="44">
        <v>3.3557046979865799</v>
      </c>
      <c r="AN23" s="8">
        <v>0.85227272727272751</v>
      </c>
      <c r="AO23" s="44">
        <v>0.85227272727272751</v>
      </c>
      <c r="AP23" s="85">
        <v>0.15962762095913224</v>
      </c>
      <c r="AQ23" s="45">
        <v>401.41777341247808</v>
      </c>
      <c r="AR23" s="8">
        <v>644.83067856685307</v>
      </c>
      <c r="AS23" s="45">
        <v>51.244822137763158</v>
      </c>
      <c r="AT23" s="8">
        <v>8.5408036896271931</v>
      </c>
      <c r="AU23" s="45"/>
      <c r="AV23" s="45"/>
      <c r="AW23" s="8"/>
      <c r="AX23" s="45"/>
      <c r="AY23" s="8"/>
      <c r="AZ23" s="45"/>
      <c r="BA23" s="8"/>
      <c r="BB23" s="45"/>
      <c r="BC23" s="8"/>
      <c r="BD23" s="45"/>
      <c r="BE23" s="8"/>
      <c r="BF23" s="45"/>
      <c r="BG23" s="8"/>
      <c r="BH23" s="45"/>
      <c r="BI23" s="8"/>
      <c r="BJ23" s="45"/>
      <c r="BK23" s="8"/>
      <c r="BL23" s="45"/>
      <c r="BM23" s="8"/>
      <c r="BN23" s="8"/>
      <c r="BO23" s="45"/>
      <c r="BP23" s="8"/>
      <c r="BQ23" s="45"/>
      <c r="BR23" s="8"/>
      <c r="BS23" s="45"/>
      <c r="BT23" s="8"/>
      <c r="BU23" s="45"/>
      <c r="BV23" s="8"/>
      <c r="BW23" s="45"/>
      <c r="BX23" s="8"/>
      <c r="BY23" s="45"/>
      <c r="BZ23" s="8"/>
      <c r="CA23" s="45"/>
      <c r="CB23" s="8"/>
      <c r="CC23" s="45"/>
      <c r="CD23" s="8"/>
      <c r="CE23" s="45"/>
      <c r="CF23" s="8"/>
      <c r="CG23" s="45"/>
      <c r="CH23" s="8"/>
      <c r="CI23" s="45"/>
      <c r="CJ23" s="8"/>
      <c r="CK23" s="45"/>
      <c r="CL23" s="8"/>
      <c r="CM23" s="45"/>
      <c r="CN23" s="8"/>
      <c r="CO23" s="45"/>
      <c r="CP23" s="8"/>
      <c r="CQ23" s="45"/>
      <c r="CR23" s="8"/>
      <c r="CS23" s="45"/>
      <c r="CT23" s="8"/>
      <c r="CU23" s="45"/>
      <c r="CV23" s="8"/>
      <c r="CW23" s="45"/>
      <c r="CX23" s="8"/>
      <c r="CY23" s="45"/>
      <c r="CZ23" s="8"/>
      <c r="DA23" s="45"/>
      <c r="DB23" s="8"/>
      <c r="DC23" s="45"/>
      <c r="DD23" s="8"/>
      <c r="DE23" s="45"/>
      <c r="DF23" s="8"/>
      <c r="DG23" s="45"/>
      <c r="DH23" s="8"/>
      <c r="DI23" s="45"/>
      <c r="DJ23" s="8"/>
      <c r="DK23" s="45"/>
      <c r="DL23" s="8"/>
      <c r="DM23" s="45"/>
      <c r="DN23" s="8"/>
      <c r="DO23" s="45"/>
      <c r="DP23" s="8"/>
      <c r="DQ23" s="45"/>
      <c r="DR23" s="8"/>
    </row>
    <row r="24" spans="1:122" s="38" customFormat="1" x14ac:dyDescent="0.3">
      <c r="A24" s="21" t="s">
        <v>108</v>
      </c>
      <c r="B24" s="8">
        <v>2301703</v>
      </c>
      <c r="C24" s="61">
        <v>146</v>
      </c>
      <c r="D24" s="14">
        <v>592.1959925367081</v>
      </c>
      <c r="E24" s="18">
        <v>8</v>
      </c>
      <c r="F24" s="18">
        <v>32.449095481463459</v>
      </c>
      <c r="G24" s="7">
        <v>5.4794520547945202E-2</v>
      </c>
      <c r="H24" s="63">
        <v>24654</v>
      </c>
      <c r="I24" s="19">
        <v>8073221.0189015977</v>
      </c>
      <c r="J24" s="6">
        <v>94010708.20150888</v>
      </c>
      <c r="K24" s="5">
        <v>885.87</v>
      </c>
      <c r="L24" s="4">
        <v>27.830268549561449</v>
      </c>
      <c r="M24" s="6">
        <v>7511.26</v>
      </c>
      <c r="N24" s="8">
        <v>0.60499999999999998</v>
      </c>
      <c r="O24" s="15">
        <v>18.11</v>
      </c>
      <c r="P24" s="90">
        <v>64418764.825180493</v>
      </c>
      <c r="Q24" s="91">
        <v>74395435.385738626</v>
      </c>
      <c r="R24" s="15">
        <v>5</v>
      </c>
      <c r="S24" s="8">
        <v>4.7</v>
      </c>
      <c r="T24" s="8">
        <v>4.9000000000000004</v>
      </c>
      <c r="U24" s="14">
        <v>99.159663865546193</v>
      </c>
      <c r="V24" s="20">
        <v>19931.82</v>
      </c>
      <c r="W24" s="48">
        <v>12.17</v>
      </c>
      <c r="X24" s="8">
        <v>28.21</v>
      </c>
      <c r="Y24" s="16">
        <v>47.049979683055703</v>
      </c>
      <c r="Z24" s="8">
        <v>0.85</v>
      </c>
      <c r="AA24" s="17">
        <v>3.6099618723</v>
      </c>
      <c r="AB24" s="34">
        <v>8.3962034558000003</v>
      </c>
      <c r="AC24" s="34">
        <v>0</v>
      </c>
      <c r="AD24" s="42">
        <v>1</v>
      </c>
      <c r="AE24" s="43">
        <v>0.51864365383049749</v>
      </c>
      <c r="AF24" s="34">
        <v>1</v>
      </c>
      <c r="AG24" s="44">
        <v>0.41199999999999998</v>
      </c>
      <c r="AH24" s="8">
        <v>0.25</v>
      </c>
      <c r="AI24" s="17">
        <v>0.46400000000000002</v>
      </c>
      <c r="AJ24" s="8">
        <v>0.52200000000000002</v>
      </c>
      <c r="AK24" s="45">
        <v>0.47499999999999998</v>
      </c>
      <c r="AL24" s="85">
        <v>6.4573700008112273E-2</v>
      </c>
      <c r="AM24" s="44">
        <v>3.13479623824451</v>
      </c>
      <c r="AN24" s="8">
        <v>1</v>
      </c>
      <c r="AO24" s="44">
        <v>1</v>
      </c>
      <c r="AP24" s="85">
        <v>0.15851383142694897</v>
      </c>
      <c r="AQ24" s="45">
        <v>1115.4376571753062</v>
      </c>
      <c r="AR24" s="8">
        <v>1395.3111057029284</v>
      </c>
      <c r="AS24" s="45">
        <v>271.76117465725639</v>
      </c>
      <c r="AT24" s="8">
        <v>640.8696357589032</v>
      </c>
      <c r="AU24" s="45"/>
      <c r="AV24" s="45"/>
      <c r="AW24" s="8"/>
      <c r="AX24" s="45"/>
      <c r="AY24" s="8"/>
      <c r="AZ24" s="45"/>
      <c r="BA24" s="8"/>
      <c r="BB24" s="45"/>
      <c r="BC24" s="8"/>
      <c r="BD24" s="45"/>
      <c r="BE24" s="8"/>
      <c r="BF24" s="45"/>
      <c r="BG24" s="8"/>
      <c r="BH24" s="45"/>
      <c r="BI24" s="8"/>
      <c r="BJ24" s="45"/>
      <c r="BK24" s="8"/>
      <c r="BL24" s="45"/>
      <c r="BM24" s="8"/>
      <c r="BN24" s="8"/>
      <c r="BO24" s="45"/>
      <c r="BP24" s="8"/>
      <c r="BQ24" s="45"/>
      <c r="BR24" s="8"/>
      <c r="BS24" s="45"/>
      <c r="BT24" s="8"/>
      <c r="BU24" s="45"/>
      <c r="BV24" s="8"/>
      <c r="BW24" s="45"/>
      <c r="BX24" s="8"/>
      <c r="BY24" s="45"/>
      <c r="BZ24" s="8"/>
      <c r="CA24" s="45"/>
      <c r="CB24" s="8"/>
      <c r="CC24" s="45"/>
      <c r="CD24" s="8"/>
      <c r="CE24" s="45"/>
      <c r="CF24" s="8"/>
      <c r="CG24" s="45"/>
      <c r="CH24" s="8"/>
      <c r="CI24" s="45"/>
      <c r="CJ24" s="8"/>
      <c r="CK24" s="45"/>
      <c r="CL24" s="8"/>
      <c r="CM24" s="45"/>
      <c r="CN24" s="8"/>
      <c r="CO24" s="45"/>
      <c r="CP24" s="8"/>
      <c r="CQ24" s="45"/>
      <c r="CR24" s="8"/>
      <c r="CS24" s="45"/>
      <c r="CT24" s="8"/>
      <c r="CU24" s="45"/>
      <c r="CV24" s="8"/>
      <c r="CW24" s="45"/>
      <c r="CX24" s="8"/>
      <c r="CY24" s="45"/>
      <c r="CZ24" s="8"/>
      <c r="DA24" s="45"/>
      <c r="DB24" s="8"/>
      <c r="DC24" s="45"/>
      <c r="DD24" s="8"/>
      <c r="DE24" s="45"/>
      <c r="DF24" s="8"/>
      <c r="DG24" s="45"/>
      <c r="DH24" s="8"/>
      <c r="DI24" s="45"/>
      <c r="DJ24" s="8"/>
      <c r="DK24" s="45"/>
      <c r="DL24" s="8"/>
      <c r="DM24" s="45"/>
      <c r="DN24" s="8"/>
      <c r="DO24" s="45"/>
      <c r="DP24" s="8"/>
      <c r="DQ24" s="45"/>
      <c r="DR24" s="8"/>
    </row>
    <row r="25" spans="1:122" s="38" customFormat="1" x14ac:dyDescent="0.3">
      <c r="A25" s="21" t="s">
        <v>109</v>
      </c>
      <c r="B25" s="8">
        <v>2301802</v>
      </c>
      <c r="C25" s="61">
        <v>34</v>
      </c>
      <c r="D25" s="14">
        <v>540.71246819338421</v>
      </c>
      <c r="E25" s="18">
        <v>0</v>
      </c>
      <c r="F25" s="18">
        <v>0</v>
      </c>
      <c r="G25" s="7">
        <v>0</v>
      </c>
      <c r="H25" s="63">
        <v>6288</v>
      </c>
      <c r="I25" s="19">
        <v>13028127.703562342</v>
      </c>
      <c r="J25" s="6">
        <v>95620229.007633582</v>
      </c>
      <c r="K25" s="5">
        <v>145.55600000000001</v>
      </c>
      <c r="L25" s="4">
        <v>43.199868092005822</v>
      </c>
      <c r="M25" s="6">
        <v>9141.2900000000009</v>
      </c>
      <c r="N25" s="8">
        <v>0.627</v>
      </c>
      <c r="O25" s="15">
        <v>15.31</v>
      </c>
      <c r="P25" s="90">
        <v>88995202.926208645</v>
      </c>
      <c r="Q25" s="91">
        <v>183358513.67684481</v>
      </c>
      <c r="R25" s="15">
        <v>4.8</v>
      </c>
      <c r="S25" s="8">
        <v>4.4000000000000004</v>
      </c>
      <c r="T25" s="8">
        <v>3.9</v>
      </c>
      <c r="U25" s="14">
        <v>99.564965197215798</v>
      </c>
      <c r="V25" s="20">
        <v>5784.91</v>
      </c>
      <c r="W25" s="48">
        <v>0</v>
      </c>
      <c r="X25" s="8">
        <v>48.15</v>
      </c>
      <c r="Y25" s="16">
        <v>49.325717912105297</v>
      </c>
      <c r="Z25" s="8">
        <v>0.95</v>
      </c>
      <c r="AA25" s="17">
        <v>3.0216284987000002</v>
      </c>
      <c r="AB25" s="34">
        <v>12.245547073799999</v>
      </c>
      <c r="AC25" s="34">
        <v>0</v>
      </c>
      <c r="AD25" s="42">
        <v>1</v>
      </c>
      <c r="AE25" s="43">
        <v>0.45170925987387983</v>
      </c>
      <c r="AF25" s="34">
        <v>0</v>
      </c>
      <c r="AG25" s="44">
        <v>0.34499999999999997</v>
      </c>
      <c r="AH25" s="8">
        <v>0.121</v>
      </c>
      <c r="AI25" s="17">
        <v>0.439</v>
      </c>
      <c r="AJ25" s="8">
        <v>0.47499999999999998</v>
      </c>
      <c r="AK25" s="45">
        <v>0.51900000000000002</v>
      </c>
      <c r="AL25" s="85">
        <v>0.11052798982188296</v>
      </c>
      <c r="AM25" s="44"/>
      <c r="AN25" s="8">
        <v>0.88194444444444442</v>
      </c>
      <c r="AO25" s="44">
        <v>0.88194444444444453</v>
      </c>
      <c r="AP25" s="85">
        <v>0.15314885496183206</v>
      </c>
      <c r="AQ25" s="45">
        <v>381.67938931297709</v>
      </c>
      <c r="AR25" s="8">
        <v>477.09923664122141</v>
      </c>
      <c r="AS25" s="45">
        <v>111.32315521628499</v>
      </c>
      <c r="AT25" s="8">
        <v>0</v>
      </c>
      <c r="AU25" s="45"/>
      <c r="AV25" s="45"/>
      <c r="AW25" s="8"/>
      <c r="AX25" s="45"/>
      <c r="AY25" s="8"/>
      <c r="AZ25" s="45"/>
      <c r="BA25" s="8"/>
      <c r="BB25" s="45"/>
      <c r="BC25" s="8"/>
      <c r="BD25" s="45"/>
      <c r="BE25" s="8"/>
      <c r="BF25" s="45"/>
      <c r="BG25" s="8"/>
      <c r="BH25" s="45"/>
      <c r="BI25" s="8"/>
      <c r="BJ25" s="45"/>
      <c r="BK25" s="8"/>
      <c r="BL25" s="45"/>
      <c r="BM25" s="8"/>
      <c r="BN25" s="8"/>
      <c r="BO25" s="45"/>
      <c r="BP25" s="8"/>
      <c r="BQ25" s="45"/>
      <c r="BR25" s="8"/>
      <c r="BS25" s="45"/>
      <c r="BT25" s="8"/>
      <c r="BU25" s="45"/>
      <c r="BV25" s="8"/>
      <c r="BW25" s="45"/>
      <c r="BX25" s="8"/>
      <c r="BY25" s="45"/>
      <c r="BZ25" s="8"/>
      <c r="CA25" s="45"/>
      <c r="CB25" s="8"/>
      <c r="CC25" s="45"/>
      <c r="CD25" s="8"/>
      <c r="CE25" s="45"/>
      <c r="CF25" s="8"/>
      <c r="CG25" s="45"/>
      <c r="CH25" s="8"/>
      <c r="CI25" s="45"/>
      <c r="CJ25" s="8"/>
      <c r="CK25" s="45"/>
      <c r="CL25" s="8"/>
      <c r="CM25" s="45"/>
      <c r="CN25" s="8"/>
      <c r="CO25" s="45"/>
      <c r="CP25" s="8"/>
      <c r="CQ25" s="45"/>
      <c r="CR25" s="8"/>
      <c r="CS25" s="45"/>
      <c r="CT25" s="8"/>
      <c r="CU25" s="45"/>
      <c r="CV25" s="8"/>
      <c r="CW25" s="45"/>
      <c r="CX25" s="8"/>
      <c r="CY25" s="45"/>
      <c r="CZ25" s="8"/>
      <c r="DA25" s="45"/>
      <c r="DB25" s="8"/>
      <c r="DC25" s="45"/>
      <c r="DD25" s="8"/>
      <c r="DE25" s="45"/>
      <c r="DF25" s="8"/>
      <c r="DG25" s="45"/>
      <c r="DH25" s="8"/>
      <c r="DI25" s="45"/>
      <c r="DJ25" s="8"/>
      <c r="DK25" s="45"/>
      <c r="DL25" s="8"/>
      <c r="DM25" s="45"/>
      <c r="DN25" s="8"/>
      <c r="DO25" s="45"/>
      <c r="DP25" s="8"/>
      <c r="DQ25" s="45"/>
      <c r="DR25" s="8"/>
    </row>
    <row r="26" spans="1:122" s="38" customFormat="1" x14ac:dyDescent="0.3">
      <c r="A26" s="21" t="s">
        <v>110</v>
      </c>
      <c r="B26" s="8">
        <v>2301851</v>
      </c>
      <c r="C26" s="61">
        <v>411</v>
      </c>
      <c r="D26" s="14">
        <v>2258.6140572621862</v>
      </c>
      <c r="E26" s="18">
        <v>2</v>
      </c>
      <c r="F26" s="18">
        <v>10.990822663076331</v>
      </c>
      <c r="G26" s="7">
        <v>4.8661800486618006E-3</v>
      </c>
      <c r="H26" s="63">
        <v>18197</v>
      </c>
      <c r="I26" s="19">
        <v>12565504.258943783</v>
      </c>
      <c r="J26" s="6">
        <v>93582458.647029728</v>
      </c>
      <c r="K26" s="5">
        <v>1080.9860000000001</v>
      </c>
      <c r="L26" s="4">
        <v>16.83370552440087</v>
      </c>
      <c r="M26" s="6">
        <v>8874.99</v>
      </c>
      <c r="N26" s="8">
        <v>0.60599999999999998</v>
      </c>
      <c r="O26" s="15">
        <v>18.04</v>
      </c>
      <c r="P26" s="90">
        <v>70543585.206352696</v>
      </c>
      <c r="Q26" s="91">
        <v>101136549.04654612</v>
      </c>
      <c r="R26" s="15">
        <v>5.7</v>
      </c>
      <c r="S26" s="8">
        <v>4.9000000000000004</v>
      </c>
      <c r="T26" s="8">
        <v>3.9</v>
      </c>
      <c r="U26" s="14">
        <v>100</v>
      </c>
      <c r="V26" s="20">
        <v>14482.65</v>
      </c>
      <c r="W26" s="48">
        <v>71.44</v>
      </c>
      <c r="X26" s="8">
        <v>30</v>
      </c>
      <c r="Y26" s="16">
        <v>48.805872042068401</v>
      </c>
      <c r="Z26" s="8">
        <v>0.88</v>
      </c>
      <c r="AA26" s="17">
        <v>0.93421992639999996</v>
      </c>
      <c r="AB26" s="34">
        <v>10.9358685498</v>
      </c>
      <c r="AC26" s="34">
        <v>0</v>
      </c>
      <c r="AD26" s="42">
        <v>1</v>
      </c>
      <c r="AE26" s="43">
        <v>0.49448455096736932</v>
      </c>
      <c r="AF26" s="34">
        <v>0</v>
      </c>
      <c r="AG26" s="44">
        <v>0.46899999999999997</v>
      </c>
      <c r="AH26" s="8">
        <v>0.315</v>
      </c>
      <c r="AI26" s="17">
        <v>0.57299999999999995</v>
      </c>
      <c r="AJ26" s="8">
        <v>0.51900000000000002</v>
      </c>
      <c r="AK26" s="45">
        <v>0.45700000000000002</v>
      </c>
      <c r="AL26" s="85">
        <v>8.4299609825795457E-2</v>
      </c>
      <c r="AM26" s="44">
        <v>26.515151515151501</v>
      </c>
      <c r="AN26" s="8">
        <v>0.93893129770992378</v>
      </c>
      <c r="AO26" s="44">
        <v>0.93893129770992378</v>
      </c>
      <c r="AP26" s="85">
        <v>0.12562510303896246</v>
      </c>
      <c r="AQ26" s="45">
        <v>357.20173654998075</v>
      </c>
      <c r="AR26" s="8">
        <v>494.58701983843486</v>
      </c>
      <c r="AS26" s="45">
        <v>54.954113315381662</v>
      </c>
      <c r="AT26" s="8">
        <v>21.981645326152663</v>
      </c>
      <c r="AU26" s="45"/>
      <c r="AV26" s="45"/>
      <c r="AW26" s="8"/>
      <c r="AX26" s="45"/>
      <c r="AY26" s="8"/>
      <c r="AZ26" s="45"/>
      <c r="BA26" s="8"/>
      <c r="BB26" s="45"/>
      <c r="BC26" s="8"/>
      <c r="BD26" s="45"/>
      <c r="BE26" s="8"/>
      <c r="BF26" s="45"/>
      <c r="BG26" s="8"/>
      <c r="BH26" s="45"/>
      <c r="BI26" s="8"/>
      <c r="BJ26" s="45"/>
      <c r="BK26" s="8"/>
      <c r="BL26" s="45"/>
      <c r="BM26" s="8"/>
      <c r="BN26" s="8"/>
      <c r="BO26" s="45"/>
      <c r="BP26" s="8"/>
      <c r="BQ26" s="45"/>
      <c r="BR26" s="8"/>
      <c r="BS26" s="45"/>
      <c r="BT26" s="8"/>
      <c r="BU26" s="45"/>
      <c r="BV26" s="8"/>
      <c r="BW26" s="45"/>
      <c r="BX26" s="8"/>
      <c r="BY26" s="45"/>
      <c r="BZ26" s="8"/>
      <c r="CA26" s="45"/>
      <c r="CB26" s="8"/>
      <c r="CC26" s="45"/>
      <c r="CD26" s="8"/>
      <c r="CE26" s="45"/>
      <c r="CF26" s="8"/>
      <c r="CG26" s="45"/>
      <c r="CH26" s="8"/>
      <c r="CI26" s="45"/>
      <c r="CJ26" s="8"/>
      <c r="CK26" s="45"/>
      <c r="CL26" s="8"/>
      <c r="CM26" s="45"/>
      <c r="CN26" s="8"/>
      <c r="CO26" s="45"/>
      <c r="CP26" s="8"/>
      <c r="CQ26" s="45"/>
      <c r="CR26" s="8"/>
      <c r="CS26" s="45"/>
      <c r="CT26" s="8"/>
      <c r="CU26" s="45"/>
      <c r="CV26" s="8"/>
      <c r="CW26" s="45"/>
      <c r="CX26" s="8"/>
      <c r="CY26" s="45"/>
      <c r="CZ26" s="8"/>
      <c r="DA26" s="45"/>
      <c r="DB26" s="8"/>
      <c r="DC26" s="45"/>
      <c r="DD26" s="8"/>
      <c r="DE26" s="45"/>
      <c r="DF26" s="8"/>
      <c r="DG26" s="45"/>
      <c r="DH26" s="8"/>
      <c r="DI26" s="45"/>
      <c r="DJ26" s="8"/>
      <c r="DK26" s="45"/>
      <c r="DL26" s="8"/>
      <c r="DM26" s="45"/>
      <c r="DN26" s="8"/>
      <c r="DO26" s="45"/>
      <c r="DP26" s="8"/>
      <c r="DQ26" s="45"/>
      <c r="DR26" s="8"/>
    </row>
    <row r="27" spans="1:122" s="38" customFormat="1" x14ac:dyDescent="0.3">
      <c r="A27" s="21" t="s">
        <v>111</v>
      </c>
      <c r="B27" s="8">
        <v>2301901</v>
      </c>
      <c r="C27" s="61">
        <v>883</v>
      </c>
      <c r="D27" s="14">
        <v>1452.7566180220792</v>
      </c>
      <c r="E27" s="18">
        <v>34</v>
      </c>
      <c r="F27" s="18">
        <v>55.938533423273725</v>
      </c>
      <c r="G27" s="7">
        <v>3.8505096262740658E-2</v>
      </c>
      <c r="H27" s="63">
        <v>60781</v>
      </c>
      <c r="I27" s="19">
        <v>33178717.214261036</v>
      </c>
      <c r="J27" s="6">
        <v>95408104.506342441</v>
      </c>
      <c r="K27" s="5">
        <v>608.15800000000002</v>
      </c>
      <c r="L27" s="4">
        <v>99.942778028078223</v>
      </c>
      <c r="M27" s="6">
        <v>14320.84</v>
      </c>
      <c r="N27" s="8">
        <v>0.68300000000000005</v>
      </c>
      <c r="O27" s="15">
        <v>47.52</v>
      </c>
      <c r="P27" s="90">
        <v>198486365.3115283</v>
      </c>
      <c r="Q27" s="91">
        <v>104968560.05988714</v>
      </c>
      <c r="R27" s="15">
        <v>6.2</v>
      </c>
      <c r="S27" s="8">
        <v>5.5</v>
      </c>
      <c r="T27" s="8">
        <v>4.0999999999999996</v>
      </c>
      <c r="U27" s="14">
        <v>97.691151467363198</v>
      </c>
      <c r="V27" s="20">
        <v>153842.9</v>
      </c>
      <c r="W27" s="48">
        <v>14.81</v>
      </c>
      <c r="X27" s="8">
        <v>32.31</v>
      </c>
      <c r="Y27" s="16">
        <v>37.363624485529499</v>
      </c>
      <c r="Z27" s="8">
        <v>1.1000000000000001</v>
      </c>
      <c r="AA27" s="17">
        <v>6.1106274693999998</v>
      </c>
      <c r="AB27" s="34">
        <v>20.558494609299999</v>
      </c>
      <c r="AC27" s="34">
        <v>0</v>
      </c>
      <c r="AD27" s="42">
        <v>1</v>
      </c>
      <c r="AE27" s="43">
        <v>0.31272707553820289</v>
      </c>
      <c r="AF27" s="34">
        <v>1</v>
      </c>
      <c r="AG27" s="44">
        <v>0.34499999999999997</v>
      </c>
      <c r="AH27" s="8">
        <v>0.17699999999999999</v>
      </c>
      <c r="AI27" s="17">
        <v>0.40200000000000002</v>
      </c>
      <c r="AJ27" s="8">
        <v>0.45700000000000002</v>
      </c>
      <c r="AK27" s="45">
        <v>0.52500000000000002</v>
      </c>
      <c r="AL27" s="85">
        <v>0.1728500682779158</v>
      </c>
      <c r="AM27" s="44">
        <v>15.091342335186701</v>
      </c>
      <c r="AN27" s="8">
        <v>0.87001696352841373</v>
      </c>
      <c r="AO27" s="44">
        <v>0.87001696352841373</v>
      </c>
      <c r="AP27" s="85">
        <v>0.12173212023494184</v>
      </c>
      <c r="AQ27" s="45">
        <v>1018.4103585001892</v>
      </c>
      <c r="AR27" s="8">
        <v>1182.9354568039353</v>
      </c>
      <c r="AS27" s="45">
        <v>103.65081193136014</v>
      </c>
      <c r="AT27" s="8">
        <v>148.07258847337161</v>
      </c>
      <c r="AU27" s="45"/>
      <c r="AV27" s="45"/>
      <c r="AW27" s="8"/>
      <c r="AX27" s="45"/>
      <c r="AY27" s="8"/>
      <c r="AZ27" s="45"/>
      <c r="BA27" s="8"/>
      <c r="BB27" s="45"/>
      <c r="BC27" s="8"/>
      <c r="BD27" s="45"/>
      <c r="BE27" s="8"/>
      <c r="BF27" s="45"/>
      <c r="BG27" s="8"/>
      <c r="BH27" s="45"/>
      <c r="BI27" s="8"/>
      <c r="BJ27" s="45"/>
      <c r="BK27" s="8"/>
      <c r="BL27" s="45"/>
      <c r="BM27" s="8"/>
      <c r="BN27" s="8"/>
      <c r="BO27" s="45"/>
      <c r="BP27" s="8"/>
      <c r="BQ27" s="45"/>
      <c r="BR27" s="8"/>
      <c r="BS27" s="45"/>
      <c r="BT27" s="8"/>
      <c r="BU27" s="45"/>
      <c r="BV27" s="8"/>
      <c r="BW27" s="45"/>
      <c r="BX27" s="8"/>
      <c r="BY27" s="45"/>
      <c r="BZ27" s="8"/>
      <c r="CA27" s="45"/>
      <c r="CB27" s="8"/>
      <c r="CC27" s="45"/>
      <c r="CD27" s="8"/>
      <c r="CE27" s="45"/>
      <c r="CF27" s="8"/>
      <c r="CG27" s="45"/>
      <c r="CH27" s="8"/>
      <c r="CI27" s="45"/>
      <c r="CJ27" s="8"/>
      <c r="CK27" s="45"/>
      <c r="CL27" s="8"/>
      <c r="CM27" s="45"/>
      <c r="CN27" s="8"/>
      <c r="CO27" s="45"/>
      <c r="CP27" s="8"/>
      <c r="CQ27" s="45"/>
      <c r="CR27" s="8"/>
      <c r="CS27" s="45"/>
      <c r="CT27" s="8"/>
      <c r="CU27" s="45"/>
      <c r="CV27" s="8"/>
      <c r="CW27" s="45"/>
      <c r="CX27" s="8"/>
      <c r="CY27" s="45"/>
      <c r="CZ27" s="8"/>
      <c r="DA27" s="45"/>
      <c r="DB27" s="8"/>
      <c r="DC27" s="45"/>
      <c r="DD27" s="8"/>
      <c r="DE27" s="45"/>
      <c r="DF27" s="8"/>
      <c r="DG27" s="45"/>
      <c r="DH27" s="8"/>
      <c r="DI27" s="45"/>
      <c r="DJ27" s="8"/>
      <c r="DK27" s="45"/>
      <c r="DL27" s="8"/>
      <c r="DM27" s="45"/>
      <c r="DN27" s="8"/>
      <c r="DO27" s="45"/>
      <c r="DP27" s="8"/>
      <c r="DQ27" s="45"/>
      <c r="DR27" s="8"/>
    </row>
    <row r="28" spans="1:122" s="38" customFormat="1" x14ac:dyDescent="0.3">
      <c r="A28" s="21" t="s">
        <v>112</v>
      </c>
      <c r="B28" s="8">
        <v>2301950</v>
      </c>
      <c r="C28" s="61">
        <v>302</v>
      </c>
      <c r="D28" s="14">
        <v>1346.711259754738</v>
      </c>
      <c r="E28" s="18">
        <v>19</v>
      </c>
      <c r="F28" s="18">
        <v>84.726867335562986</v>
      </c>
      <c r="G28" s="7">
        <v>6.2913907284768214E-2</v>
      </c>
      <c r="H28" s="63">
        <v>22425</v>
      </c>
      <c r="I28" s="19">
        <v>8685485.3957636561</v>
      </c>
      <c r="J28" s="6">
        <v>114838795.98662207</v>
      </c>
      <c r="K28" s="5">
        <v>260.00299999999999</v>
      </c>
      <c r="L28" s="4">
        <v>86.24900481917517</v>
      </c>
      <c r="M28" s="6">
        <v>6958.94</v>
      </c>
      <c r="N28" s="8">
        <v>0.61599999999999999</v>
      </c>
      <c r="O28" s="15">
        <v>26.1</v>
      </c>
      <c r="P28" s="90">
        <v>61586067.424749158</v>
      </c>
      <c r="Q28" s="91">
        <v>96313559.910813823</v>
      </c>
      <c r="R28" s="15">
        <v>6</v>
      </c>
      <c r="S28" s="8">
        <v>4.8</v>
      </c>
      <c r="T28" s="8">
        <v>3.6</v>
      </c>
      <c r="U28" s="14">
        <v>98.454661558109805</v>
      </c>
      <c r="V28" s="20">
        <v>18711.03</v>
      </c>
      <c r="W28" s="48">
        <v>31.22</v>
      </c>
      <c r="X28" s="8">
        <v>28.99</v>
      </c>
      <c r="Y28" s="16">
        <v>53.134275461834903</v>
      </c>
      <c r="Z28" s="8">
        <v>0.71</v>
      </c>
      <c r="AA28" s="17">
        <v>1.1148272018000001</v>
      </c>
      <c r="AB28" s="34">
        <v>8.4726867335999998</v>
      </c>
      <c r="AC28" s="34">
        <v>0</v>
      </c>
      <c r="AD28" s="42">
        <v>1</v>
      </c>
      <c r="AE28" s="43">
        <v>0.58478516323506868</v>
      </c>
      <c r="AF28" s="34">
        <v>0</v>
      </c>
      <c r="AG28" s="44">
        <v>0.50700000000000001</v>
      </c>
      <c r="AH28" s="8">
        <v>0.46300000000000002</v>
      </c>
      <c r="AI28" s="17">
        <v>0.53300000000000003</v>
      </c>
      <c r="AJ28" s="8">
        <v>0.52500000000000002</v>
      </c>
      <c r="AK28" s="45">
        <v>0.52700000000000002</v>
      </c>
      <c r="AL28" s="85">
        <v>4.8695652173913043E-2</v>
      </c>
      <c r="AM28" s="44">
        <v>17.3913043478261</v>
      </c>
      <c r="AN28" s="8">
        <v>0.67113564668769699</v>
      </c>
      <c r="AO28" s="44">
        <v>0.67113564668769699</v>
      </c>
      <c r="AP28" s="85">
        <v>0.12120401337792643</v>
      </c>
      <c r="AQ28" s="45">
        <v>392.41917502787066</v>
      </c>
      <c r="AR28" s="8">
        <v>294.31438127090297</v>
      </c>
      <c r="AS28" s="45">
        <v>84.726867335562986</v>
      </c>
      <c r="AT28" s="8">
        <v>8.9186176142697882</v>
      </c>
      <c r="AU28" s="45"/>
      <c r="AV28" s="45"/>
      <c r="AW28" s="8"/>
      <c r="AX28" s="45"/>
      <c r="AY28" s="8"/>
      <c r="AZ28" s="45"/>
      <c r="BA28" s="8"/>
      <c r="BB28" s="45"/>
      <c r="BC28" s="8"/>
      <c r="BD28" s="45"/>
      <c r="BE28" s="8"/>
      <c r="BF28" s="45"/>
      <c r="BG28" s="8"/>
      <c r="BH28" s="45"/>
      <c r="BI28" s="8"/>
      <c r="BJ28" s="45"/>
      <c r="BK28" s="8"/>
      <c r="BL28" s="45"/>
      <c r="BM28" s="8"/>
      <c r="BN28" s="8"/>
      <c r="BO28" s="45"/>
      <c r="BP28" s="8"/>
      <c r="BQ28" s="45"/>
      <c r="BR28" s="8"/>
      <c r="BS28" s="45"/>
      <c r="BT28" s="8"/>
      <c r="BU28" s="45"/>
      <c r="BV28" s="8"/>
      <c r="BW28" s="45"/>
      <c r="BX28" s="8"/>
      <c r="BY28" s="45"/>
      <c r="BZ28" s="8"/>
      <c r="CA28" s="45"/>
      <c r="CB28" s="8"/>
      <c r="CC28" s="45"/>
      <c r="CD28" s="8"/>
      <c r="CE28" s="45"/>
      <c r="CF28" s="8"/>
      <c r="CG28" s="45"/>
      <c r="CH28" s="8"/>
      <c r="CI28" s="45"/>
      <c r="CJ28" s="8"/>
      <c r="CK28" s="45"/>
      <c r="CL28" s="8"/>
      <c r="CM28" s="45"/>
      <c r="CN28" s="8"/>
      <c r="CO28" s="45"/>
      <c r="CP28" s="8"/>
      <c r="CQ28" s="45"/>
      <c r="CR28" s="8"/>
      <c r="CS28" s="45"/>
      <c r="CT28" s="8"/>
      <c r="CU28" s="45"/>
      <c r="CV28" s="8"/>
      <c r="CW28" s="45"/>
      <c r="CX28" s="8"/>
      <c r="CY28" s="45"/>
      <c r="CZ28" s="8"/>
      <c r="DA28" s="45"/>
      <c r="DB28" s="8"/>
      <c r="DC28" s="45"/>
      <c r="DD28" s="8"/>
      <c r="DE28" s="45"/>
      <c r="DF28" s="8"/>
      <c r="DG28" s="45"/>
      <c r="DH28" s="8"/>
      <c r="DI28" s="45"/>
      <c r="DJ28" s="8"/>
      <c r="DK28" s="45"/>
      <c r="DL28" s="8"/>
      <c r="DM28" s="45"/>
      <c r="DN28" s="8"/>
      <c r="DO28" s="45"/>
      <c r="DP28" s="8"/>
      <c r="DQ28" s="45"/>
      <c r="DR28" s="8"/>
    </row>
    <row r="29" spans="1:122" s="38" customFormat="1" x14ac:dyDescent="0.3">
      <c r="A29" s="21" t="s">
        <v>113</v>
      </c>
      <c r="B29" s="8">
        <v>2302008</v>
      </c>
      <c r="C29" s="61">
        <v>69</v>
      </c>
      <c r="D29" s="14">
        <v>304.23280423280426</v>
      </c>
      <c r="E29" s="18">
        <v>7</v>
      </c>
      <c r="F29" s="18">
        <v>30.864197530864196</v>
      </c>
      <c r="G29" s="7">
        <v>0.10144927536231885</v>
      </c>
      <c r="H29" s="63">
        <v>22680</v>
      </c>
      <c r="I29" s="19">
        <v>3072146.2962962962</v>
      </c>
      <c r="J29" s="6">
        <v>92507936.507936507</v>
      </c>
      <c r="K29" s="5">
        <v>711.346</v>
      </c>
      <c r="L29" s="4">
        <v>31.883218574364655</v>
      </c>
      <c r="M29" s="6">
        <v>7674.21</v>
      </c>
      <c r="N29" s="8">
        <v>0.59899999999999998</v>
      </c>
      <c r="O29" s="15">
        <v>18.3</v>
      </c>
      <c r="P29" s="90">
        <v>55245202.954144619</v>
      </c>
      <c r="Q29" s="91">
        <v>73304027.072310403</v>
      </c>
      <c r="R29" s="15">
        <v>5.6</v>
      </c>
      <c r="S29" s="8">
        <v>5.4</v>
      </c>
      <c r="T29" s="8">
        <v>4.9000000000000004</v>
      </c>
      <c r="U29" s="14">
        <v>99.227490676611595</v>
      </c>
      <c r="V29" s="20">
        <v>16837.43</v>
      </c>
      <c r="W29" s="48">
        <v>8.82</v>
      </c>
      <c r="X29" s="8">
        <v>28.07</v>
      </c>
      <c r="Y29" s="16">
        <v>41.097635996133199</v>
      </c>
      <c r="Z29" s="8">
        <v>0.75</v>
      </c>
      <c r="AA29" s="17">
        <v>1.3227513228000001</v>
      </c>
      <c r="AB29" s="34">
        <v>7.6719576719999996</v>
      </c>
      <c r="AC29" s="34">
        <v>0</v>
      </c>
      <c r="AD29" s="42">
        <v>1</v>
      </c>
      <c r="AE29" s="43">
        <v>0.38830528957887889</v>
      </c>
      <c r="AF29" s="34">
        <v>1</v>
      </c>
      <c r="AG29" s="44">
        <v>0.38900000000000001</v>
      </c>
      <c r="AH29" s="8">
        <v>0.16200000000000001</v>
      </c>
      <c r="AI29" s="17">
        <v>0.47699999999999998</v>
      </c>
      <c r="AJ29" s="8">
        <v>0.52700000000000002</v>
      </c>
      <c r="AK29" s="45">
        <v>0.52700000000000002</v>
      </c>
      <c r="AL29" s="85">
        <v>5.9656084656084657E-2</v>
      </c>
      <c r="AM29" s="44">
        <v>21.4592274678112</v>
      </c>
      <c r="AN29" s="8">
        <v>0.56492248062015493</v>
      </c>
      <c r="AO29" s="44">
        <v>0.56492248062015504</v>
      </c>
      <c r="AP29" s="85">
        <v>0.16181657848324515</v>
      </c>
      <c r="AQ29" s="45">
        <v>480.59964726631392</v>
      </c>
      <c r="AR29" s="8">
        <v>648.14814814814815</v>
      </c>
      <c r="AS29" s="45">
        <v>79.365079365079367</v>
      </c>
      <c r="AT29" s="8">
        <v>17.636684303350972</v>
      </c>
      <c r="AU29" s="45"/>
      <c r="AV29" s="45"/>
      <c r="AW29" s="8"/>
      <c r="AX29" s="45"/>
      <c r="AY29" s="8"/>
      <c r="AZ29" s="45"/>
      <c r="BA29" s="8"/>
      <c r="BB29" s="45"/>
      <c r="BC29" s="8"/>
      <c r="BD29" s="45"/>
      <c r="BE29" s="8"/>
      <c r="BF29" s="45"/>
      <c r="BG29" s="8"/>
      <c r="BH29" s="45"/>
      <c r="BI29" s="8"/>
      <c r="BJ29" s="45"/>
      <c r="BK29" s="8"/>
      <c r="BL29" s="45"/>
      <c r="BM29" s="8"/>
      <c r="BN29" s="8"/>
      <c r="BO29" s="45"/>
      <c r="BP29" s="8"/>
      <c r="BQ29" s="45"/>
      <c r="BR29" s="8"/>
      <c r="BS29" s="45"/>
      <c r="BT29" s="8"/>
      <c r="BU29" s="45"/>
      <c r="BV29" s="8"/>
      <c r="BW29" s="45"/>
      <c r="BX29" s="8"/>
      <c r="BY29" s="45"/>
      <c r="BZ29" s="8"/>
      <c r="CA29" s="45"/>
      <c r="CB29" s="8"/>
      <c r="CC29" s="45"/>
      <c r="CD29" s="8"/>
      <c r="CE29" s="45"/>
      <c r="CF29" s="8"/>
      <c r="CG29" s="45"/>
      <c r="CH29" s="8"/>
      <c r="CI29" s="45"/>
      <c r="CJ29" s="8"/>
      <c r="CK29" s="45"/>
      <c r="CL29" s="8"/>
      <c r="CM29" s="45"/>
      <c r="CN29" s="8"/>
      <c r="CO29" s="45"/>
      <c r="CP29" s="8"/>
      <c r="CQ29" s="45"/>
      <c r="CR29" s="8"/>
      <c r="CS29" s="45"/>
      <c r="CT29" s="8"/>
      <c r="CU29" s="45"/>
      <c r="CV29" s="8"/>
      <c r="CW29" s="45"/>
      <c r="CX29" s="8"/>
      <c r="CY29" s="45"/>
      <c r="CZ29" s="8"/>
      <c r="DA29" s="45"/>
      <c r="DB29" s="8"/>
      <c r="DC29" s="45"/>
      <c r="DD29" s="8"/>
      <c r="DE29" s="45"/>
      <c r="DF29" s="8"/>
      <c r="DG29" s="45"/>
      <c r="DH29" s="8"/>
      <c r="DI29" s="45"/>
      <c r="DJ29" s="8"/>
      <c r="DK29" s="45"/>
      <c r="DL29" s="8"/>
      <c r="DM29" s="45"/>
      <c r="DN29" s="8"/>
      <c r="DO29" s="45"/>
      <c r="DP29" s="8"/>
      <c r="DQ29" s="45"/>
      <c r="DR29" s="8"/>
    </row>
    <row r="30" spans="1:122" s="38" customFormat="1" x14ac:dyDescent="0.3">
      <c r="A30" s="21" t="s">
        <v>114</v>
      </c>
      <c r="B30" s="8">
        <v>2302057</v>
      </c>
      <c r="C30" s="61">
        <v>690</v>
      </c>
      <c r="D30" s="14">
        <v>4594.7925684224547</v>
      </c>
      <c r="E30" s="18">
        <v>16</v>
      </c>
      <c r="F30" s="18">
        <v>106.54591463008589</v>
      </c>
      <c r="G30" s="7">
        <v>2.318840579710145E-2</v>
      </c>
      <c r="H30" s="63">
        <v>15017</v>
      </c>
      <c r="I30" s="19">
        <v>2074440.8337217823</v>
      </c>
      <c r="J30" s="6">
        <v>114214556.83558634</v>
      </c>
      <c r="K30" s="5">
        <v>385.58300000000003</v>
      </c>
      <c r="L30" s="4">
        <v>38.946219101983225</v>
      </c>
      <c r="M30" s="6">
        <v>6662.58</v>
      </c>
      <c r="N30" s="8">
        <v>0.57099999999999995</v>
      </c>
      <c r="O30" s="15">
        <v>20.51</v>
      </c>
      <c r="P30" s="90">
        <v>67208681.627488852</v>
      </c>
      <c r="Q30" s="91">
        <v>104072103.08317243</v>
      </c>
      <c r="R30" s="15">
        <v>7.4</v>
      </c>
      <c r="S30" s="8">
        <v>5.9</v>
      </c>
      <c r="T30" s="8">
        <v>4.2</v>
      </c>
      <c r="U30" s="14">
        <v>98.704336872413194</v>
      </c>
      <c r="V30" s="20">
        <v>12050.3</v>
      </c>
      <c r="W30" s="48">
        <v>13.32</v>
      </c>
      <c r="X30" s="8">
        <v>29.63</v>
      </c>
      <c r="Y30" s="16">
        <v>58.854028183993599</v>
      </c>
      <c r="Z30" s="8">
        <v>0.8</v>
      </c>
      <c r="AA30" s="17">
        <v>0.59932076980000004</v>
      </c>
      <c r="AB30" s="34">
        <v>8.8566291536000001</v>
      </c>
      <c r="AC30" s="34">
        <v>0</v>
      </c>
      <c r="AD30" s="42">
        <v>0</v>
      </c>
      <c r="AE30" s="43">
        <v>0.32508980381320807</v>
      </c>
      <c r="AF30" s="34">
        <v>1</v>
      </c>
      <c r="AG30" s="44">
        <v>0.52700000000000002</v>
      </c>
      <c r="AH30" s="8">
        <v>0.47099999999999997</v>
      </c>
      <c r="AI30" s="17">
        <v>0.58399999999999996</v>
      </c>
      <c r="AJ30" s="8">
        <v>0.52700000000000002</v>
      </c>
      <c r="AK30" s="45">
        <v>0.48599999999999999</v>
      </c>
      <c r="AL30" s="85">
        <v>6.8255976559898776E-2</v>
      </c>
      <c r="AM30" s="44">
        <v>15.0753768844221</v>
      </c>
      <c r="AN30" s="8">
        <v>0.87666666666666682</v>
      </c>
      <c r="AO30" s="44">
        <v>0.87666666666666671</v>
      </c>
      <c r="AP30" s="85">
        <v>0.13045215422521142</v>
      </c>
      <c r="AQ30" s="45">
        <v>259.7056669108344</v>
      </c>
      <c r="AR30" s="8">
        <v>372.91070120530065</v>
      </c>
      <c r="AS30" s="45">
        <v>46.613837650662582</v>
      </c>
      <c r="AT30" s="8">
        <v>19.97735899314111</v>
      </c>
      <c r="AU30" s="45"/>
      <c r="AV30" s="45"/>
      <c r="AW30" s="8"/>
      <c r="AX30" s="45"/>
      <c r="AY30" s="8"/>
      <c r="AZ30" s="45"/>
      <c r="BA30" s="8"/>
      <c r="BB30" s="45"/>
      <c r="BC30" s="8"/>
      <c r="BD30" s="45"/>
      <c r="BE30" s="8"/>
      <c r="BF30" s="45"/>
      <c r="BG30" s="8"/>
      <c r="BH30" s="45"/>
      <c r="BI30" s="8"/>
      <c r="BJ30" s="45"/>
      <c r="BK30" s="8"/>
      <c r="BL30" s="45"/>
      <c r="BM30" s="8"/>
      <c r="BN30" s="8"/>
      <c r="BO30" s="45"/>
      <c r="BP30" s="8"/>
      <c r="BQ30" s="45"/>
      <c r="BR30" s="8"/>
      <c r="BS30" s="45"/>
      <c r="BT30" s="8"/>
      <c r="BU30" s="45"/>
      <c r="BV30" s="8"/>
      <c r="BW30" s="45"/>
      <c r="BX30" s="8"/>
      <c r="BY30" s="45"/>
      <c r="BZ30" s="8"/>
      <c r="CA30" s="45"/>
      <c r="CB30" s="8"/>
      <c r="CC30" s="45"/>
      <c r="CD30" s="8"/>
      <c r="CE30" s="45"/>
      <c r="CF30" s="8"/>
      <c r="CG30" s="45"/>
      <c r="CH30" s="8"/>
      <c r="CI30" s="45"/>
      <c r="CJ30" s="8"/>
      <c r="CK30" s="45"/>
      <c r="CL30" s="8"/>
      <c r="CM30" s="45"/>
      <c r="CN30" s="8"/>
      <c r="CO30" s="45"/>
      <c r="CP30" s="8"/>
      <c r="CQ30" s="45"/>
      <c r="CR30" s="8"/>
      <c r="CS30" s="45"/>
      <c r="CT30" s="8"/>
      <c r="CU30" s="45"/>
      <c r="CV30" s="8"/>
      <c r="CW30" s="45"/>
      <c r="CX30" s="8"/>
      <c r="CY30" s="45"/>
      <c r="CZ30" s="8"/>
      <c r="DA30" s="45"/>
      <c r="DB30" s="8"/>
      <c r="DC30" s="45"/>
      <c r="DD30" s="8"/>
      <c r="DE30" s="45"/>
      <c r="DF30" s="8"/>
      <c r="DG30" s="45"/>
      <c r="DH30" s="8"/>
      <c r="DI30" s="45"/>
      <c r="DJ30" s="8"/>
      <c r="DK30" s="45"/>
      <c r="DL30" s="8"/>
      <c r="DM30" s="45"/>
      <c r="DN30" s="8"/>
      <c r="DO30" s="45"/>
      <c r="DP30" s="8"/>
      <c r="DQ30" s="45"/>
      <c r="DR30" s="8"/>
    </row>
    <row r="31" spans="1:122" s="38" customFormat="1" x14ac:dyDescent="0.3">
      <c r="A31" s="21" t="s">
        <v>115</v>
      </c>
      <c r="B31" s="8">
        <v>2302107</v>
      </c>
      <c r="C31" s="61">
        <v>501</v>
      </c>
      <c r="D31" s="14">
        <v>1401.3986013986014</v>
      </c>
      <c r="E31" s="18">
        <v>28</v>
      </c>
      <c r="F31" s="18">
        <v>78.32167832167832</v>
      </c>
      <c r="G31" s="7">
        <v>5.588822355289421E-2</v>
      </c>
      <c r="H31" s="63">
        <v>35750</v>
      </c>
      <c r="I31" s="19">
        <v>12669628.587412586</v>
      </c>
      <c r="J31" s="6">
        <v>108058741.25874127</v>
      </c>
      <c r="K31" s="5">
        <v>314.07499999999999</v>
      </c>
      <c r="L31" s="4">
        <v>113.82631537053253</v>
      </c>
      <c r="M31" s="6">
        <v>9114.77</v>
      </c>
      <c r="N31" s="8">
        <v>0.61899999999999999</v>
      </c>
      <c r="O31" s="15">
        <v>32.619999999999997</v>
      </c>
      <c r="P31" s="90">
        <v>75774836.36363636</v>
      </c>
      <c r="Q31" s="91">
        <v>64675866.461538464</v>
      </c>
      <c r="R31" s="15">
        <v>5.5</v>
      </c>
      <c r="S31" s="8">
        <v>4.5</v>
      </c>
      <c r="T31" s="8">
        <v>4.3</v>
      </c>
      <c r="U31" s="14">
        <v>99.039186882121697</v>
      </c>
      <c r="V31" s="20">
        <v>36429.49</v>
      </c>
      <c r="W31" s="48">
        <v>13.99</v>
      </c>
      <c r="X31" s="8">
        <v>30.63</v>
      </c>
      <c r="Y31" s="16">
        <v>47.733785926935802</v>
      </c>
      <c r="Z31" s="8">
        <v>0.64</v>
      </c>
      <c r="AA31" s="17">
        <v>1.5384615385</v>
      </c>
      <c r="AB31" s="34">
        <v>13.6223776224</v>
      </c>
      <c r="AC31" s="34">
        <v>0</v>
      </c>
      <c r="AD31" s="42">
        <v>0</v>
      </c>
      <c r="AE31" s="43">
        <v>0.26661864890009301</v>
      </c>
      <c r="AF31" s="34">
        <v>0</v>
      </c>
      <c r="AG31" s="44">
        <v>0.42099999999999999</v>
      </c>
      <c r="AH31" s="8">
        <v>0.28100000000000003</v>
      </c>
      <c r="AI31" s="17">
        <v>0.496</v>
      </c>
      <c r="AJ31" s="8">
        <v>0.48599999999999999</v>
      </c>
      <c r="AK31" s="45">
        <v>0.48199999999999998</v>
      </c>
      <c r="AL31" s="85">
        <v>8.9258741258741253E-2</v>
      </c>
      <c r="AM31" s="44">
        <v>12.915129151291501</v>
      </c>
      <c r="AN31" s="8">
        <v>0.95876288659793829</v>
      </c>
      <c r="AO31" s="44">
        <v>0.95876288659793818</v>
      </c>
      <c r="AP31" s="85">
        <v>0.12195804195804195</v>
      </c>
      <c r="AQ31" s="45">
        <v>413.98601398601397</v>
      </c>
      <c r="AR31" s="8">
        <v>786.01398601398603</v>
      </c>
      <c r="AS31" s="45">
        <v>148.25174825174827</v>
      </c>
      <c r="AT31" s="8">
        <v>41.95804195804196</v>
      </c>
      <c r="AU31" s="45"/>
      <c r="AV31" s="45"/>
      <c r="AW31" s="8"/>
      <c r="AX31" s="45"/>
      <c r="AY31" s="8"/>
      <c r="AZ31" s="45"/>
      <c r="BA31" s="8"/>
      <c r="BB31" s="45"/>
      <c r="BC31" s="8"/>
      <c r="BD31" s="45"/>
      <c r="BE31" s="8"/>
      <c r="BF31" s="45"/>
      <c r="BG31" s="8"/>
      <c r="BH31" s="45"/>
      <c r="BI31" s="8"/>
      <c r="BJ31" s="45"/>
      <c r="BK31" s="8"/>
      <c r="BL31" s="45"/>
      <c r="BM31" s="8"/>
      <c r="BN31" s="8"/>
      <c r="BO31" s="45"/>
      <c r="BP31" s="8"/>
      <c r="BQ31" s="45"/>
      <c r="BR31" s="8"/>
      <c r="BS31" s="45"/>
      <c r="BT31" s="8"/>
      <c r="BU31" s="45"/>
      <c r="BV31" s="8"/>
      <c r="BW31" s="45"/>
      <c r="BX31" s="8"/>
      <c r="BY31" s="45"/>
      <c r="BZ31" s="8"/>
      <c r="CA31" s="45"/>
      <c r="CB31" s="8"/>
      <c r="CC31" s="45"/>
      <c r="CD31" s="8"/>
      <c r="CE31" s="45"/>
      <c r="CF31" s="8"/>
      <c r="CG31" s="45"/>
      <c r="CH31" s="8"/>
      <c r="CI31" s="45"/>
      <c r="CJ31" s="8"/>
      <c r="CK31" s="45"/>
      <c r="CL31" s="8"/>
      <c r="CM31" s="45"/>
      <c r="CN31" s="8"/>
      <c r="CO31" s="45"/>
      <c r="CP31" s="8"/>
      <c r="CQ31" s="45"/>
      <c r="CR31" s="8"/>
      <c r="CS31" s="45"/>
      <c r="CT31" s="8"/>
      <c r="CU31" s="45"/>
      <c r="CV31" s="8"/>
      <c r="CW31" s="45"/>
      <c r="CX31" s="8"/>
      <c r="CY31" s="45"/>
      <c r="CZ31" s="8"/>
      <c r="DA31" s="45"/>
      <c r="DB31" s="8"/>
      <c r="DC31" s="45"/>
      <c r="DD31" s="8"/>
      <c r="DE31" s="45"/>
      <c r="DF31" s="8"/>
      <c r="DG31" s="45"/>
      <c r="DH31" s="8"/>
      <c r="DI31" s="45"/>
      <c r="DJ31" s="8"/>
      <c r="DK31" s="45"/>
      <c r="DL31" s="8"/>
      <c r="DM31" s="45"/>
      <c r="DN31" s="8"/>
      <c r="DO31" s="45"/>
      <c r="DP31" s="8"/>
      <c r="DQ31" s="45"/>
      <c r="DR31" s="8"/>
    </row>
    <row r="32" spans="1:122" s="38" customFormat="1" x14ac:dyDescent="0.3">
      <c r="A32" s="21" t="s">
        <v>116</v>
      </c>
      <c r="B32" s="8">
        <v>2302206</v>
      </c>
      <c r="C32" s="61">
        <v>648</v>
      </c>
      <c r="D32" s="14">
        <v>1209.5645194407632</v>
      </c>
      <c r="E32" s="18">
        <v>28</v>
      </c>
      <c r="F32" s="18">
        <v>52.265133556082354</v>
      </c>
      <c r="G32" s="7">
        <v>4.3209876543209874E-2</v>
      </c>
      <c r="H32" s="63">
        <v>53573</v>
      </c>
      <c r="I32" s="19">
        <v>1600658.4286860917</v>
      </c>
      <c r="J32" s="6">
        <v>111207137.92395422</v>
      </c>
      <c r="K32" s="5">
        <v>1596.751</v>
      </c>
      <c r="L32" s="4">
        <v>33.55125501721934</v>
      </c>
      <c r="M32" s="6">
        <v>13744.68</v>
      </c>
      <c r="N32" s="8">
        <v>0.63800000000000001</v>
      </c>
      <c r="O32" s="15">
        <v>35.049999999999997</v>
      </c>
      <c r="P32" s="90">
        <v>44357974.166091129</v>
      </c>
      <c r="Q32" s="91">
        <v>80313119.052507803</v>
      </c>
      <c r="R32" s="15">
        <v>6</v>
      </c>
      <c r="S32" s="8">
        <v>5.4</v>
      </c>
      <c r="T32" s="8">
        <v>5.0999999999999996</v>
      </c>
      <c r="U32" s="14">
        <v>91.911550771021197</v>
      </c>
      <c r="V32" s="20">
        <v>89023.76</v>
      </c>
      <c r="W32" s="48">
        <v>18.670000000000002</v>
      </c>
      <c r="X32" s="8">
        <v>33.04</v>
      </c>
      <c r="Y32" s="16">
        <v>46.2826002335539</v>
      </c>
      <c r="Z32" s="8">
        <v>0.37</v>
      </c>
      <c r="AA32" s="17">
        <v>0.46665297820000001</v>
      </c>
      <c r="AB32" s="34">
        <v>7.3357848170000004</v>
      </c>
      <c r="AC32" s="34">
        <v>0</v>
      </c>
      <c r="AD32" s="42">
        <v>0</v>
      </c>
      <c r="AE32" s="43">
        <v>0.56174078805945937</v>
      </c>
      <c r="AF32" s="34">
        <v>1</v>
      </c>
      <c r="AG32" s="44">
        <v>0.45600000000000002</v>
      </c>
      <c r="AH32" s="8">
        <v>0.38900000000000001</v>
      </c>
      <c r="AI32" s="17">
        <v>0.498</v>
      </c>
      <c r="AJ32" s="8">
        <v>0.48199999999999998</v>
      </c>
      <c r="AK32" s="45">
        <v>0.55700000000000005</v>
      </c>
      <c r="AL32" s="85">
        <v>9.312526832546246E-2</v>
      </c>
      <c r="AM32" s="44">
        <v>11.396011396011399</v>
      </c>
      <c r="AN32" s="8">
        <v>0.8238731218697829</v>
      </c>
      <c r="AO32" s="44">
        <v>0.82387312186978301</v>
      </c>
      <c r="AP32" s="85">
        <v>0.13749463349075094</v>
      </c>
      <c r="AQ32" s="45">
        <v>337.85675620181809</v>
      </c>
      <c r="AR32" s="8">
        <v>362.12271106714201</v>
      </c>
      <c r="AS32" s="45">
        <v>98.930431374013025</v>
      </c>
      <c r="AT32" s="8">
        <v>16.799507214455041</v>
      </c>
      <c r="AU32" s="45"/>
      <c r="AV32" s="45"/>
      <c r="AW32" s="8"/>
      <c r="AX32" s="45"/>
      <c r="AY32" s="8"/>
      <c r="AZ32" s="45"/>
      <c r="BA32" s="8"/>
      <c r="BB32" s="45"/>
      <c r="BC32" s="8"/>
      <c r="BD32" s="45"/>
      <c r="BE32" s="8"/>
      <c r="BF32" s="45"/>
      <c r="BG32" s="8"/>
      <c r="BH32" s="45"/>
      <c r="BI32" s="8"/>
      <c r="BJ32" s="45"/>
      <c r="BK32" s="8"/>
      <c r="BL32" s="45"/>
      <c r="BM32" s="8"/>
      <c r="BN32" s="8"/>
      <c r="BO32" s="45"/>
      <c r="BP32" s="8"/>
      <c r="BQ32" s="45"/>
      <c r="BR32" s="8"/>
      <c r="BS32" s="45"/>
      <c r="BT32" s="8"/>
      <c r="BU32" s="45"/>
      <c r="BV32" s="8"/>
      <c r="BW32" s="45"/>
      <c r="BX32" s="8"/>
      <c r="BY32" s="45"/>
      <c r="BZ32" s="8"/>
      <c r="CA32" s="45"/>
      <c r="CB32" s="8"/>
      <c r="CC32" s="45"/>
      <c r="CD32" s="8"/>
      <c r="CE32" s="45"/>
      <c r="CF32" s="8"/>
      <c r="CG32" s="45"/>
      <c r="CH32" s="8"/>
      <c r="CI32" s="45"/>
      <c r="CJ32" s="8"/>
      <c r="CK32" s="45"/>
      <c r="CL32" s="8"/>
      <c r="CM32" s="45"/>
      <c r="CN32" s="8"/>
      <c r="CO32" s="45"/>
      <c r="CP32" s="8"/>
      <c r="CQ32" s="45"/>
      <c r="CR32" s="8"/>
      <c r="CS32" s="45"/>
      <c r="CT32" s="8"/>
      <c r="CU32" s="45"/>
      <c r="CV32" s="8"/>
      <c r="CW32" s="45"/>
      <c r="CX32" s="8"/>
      <c r="CY32" s="45"/>
      <c r="CZ32" s="8"/>
      <c r="DA32" s="45"/>
      <c r="DB32" s="8"/>
      <c r="DC32" s="45"/>
      <c r="DD32" s="8"/>
      <c r="DE32" s="45"/>
      <c r="DF32" s="8"/>
      <c r="DG32" s="45"/>
      <c r="DH32" s="8"/>
      <c r="DI32" s="45"/>
      <c r="DJ32" s="8"/>
      <c r="DK32" s="45"/>
      <c r="DL32" s="8"/>
      <c r="DM32" s="45"/>
      <c r="DN32" s="8"/>
      <c r="DO32" s="45"/>
      <c r="DP32" s="8"/>
      <c r="DQ32" s="45"/>
      <c r="DR32" s="8"/>
    </row>
    <row r="33" spans="1:122" s="38" customFormat="1" x14ac:dyDescent="0.3">
      <c r="A33" s="21" t="s">
        <v>117</v>
      </c>
      <c r="B33" s="8">
        <v>2302305</v>
      </c>
      <c r="C33" s="61">
        <v>1100</v>
      </c>
      <c r="D33" s="14">
        <v>3375.1649228314564</v>
      </c>
      <c r="E33" s="18">
        <v>17</v>
      </c>
      <c r="F33" s="18">
        <v>52.16163971648615</v>
      </c>
      <c r="G33" s="7">
        <v>1.5454545454545455E-2</v>
      </c>
      <c r="H33" s="63">
        <v>32591</v>
      </c>
      <c r="I33" s="19">
        <v>1263994.7224693934</v>
      </c>
      <c r="J33" s="6">
        <v>93509864.686569914</v>
      </c>
      <c r="K33" s="5">
        <v>842.10599999999999</v>
      </c>
      <c r="L33" s="4">
        <v>38.701778635943697</v>
      </c>
      <c r="M33" s="6">
        <v>7322.64</v>
      </c>
      <c r="N33" s="8">
        <v>0.623</v>
      </c>
      <c r="O33" s="15">
        <v>22.7</v>
      </c>
      <c r="P33" s="90">
        <v>46037641.864318371</v>
      </c>
      <c r="Q33" s="91">
        <v>89611509.465803444</v>
      </c>
      <c r="R33" s="15">
        <v>6.5</v>
      </c>
      <c r="S33" s="8">
        <v>5.7</v>
      </c>
      <c r="T33" s="8">
        <v>5</v>
      </c>
      <c r="U33" s="14">
        <v>98.133771275007504</v>
      </c>
      <c r="V33" s="20">
        <v>26074.57</v>
      </c>
      <c r="W33" s="48">
        <v>15.34</v>
      </c>
      <c r="X33" s="8">
        <v>28.85</v>
      </c>
      <c r="Y33" s="16">
        <v>46.112707047246502</v>
      </c>
      <c r="Z33" s="8">
        <v>0.61</v>
      </c>
      <c r="AA33" s="17">
        <v>0.92049952440000005</v>
      </c>
      <c r="AB33" s="34">
        <v>7.0264797029999997</v>
      </c>
      <c r="AC33" s="34">
        <v>0</v>
      </c>
      <c r="AD33" s="42">
        <v>0</v>
      </c>
      <c r="AE33" s="43">
        <v>0.57908543299436488</v>
      </c>
      <c r="AF33" s="34">
        <v>1</v>
      </c>
      <c r="AG33" s="44">
        <v>0.52</v>
      </c>
      <c r="AH33" s="8">
        <v>0.50700000000000001</v>
      </c>
      <c r="AI33" s="17">
        <v>0.495</v>
      </c>
      <c r="AJ33" s="8">
        <v>0.55700000000000005</v>
      </c>
      <c r="AK33" s="45">
        <v>0.60899999999999999</v>
      </c>
      <c r="AL33" s="85">
        <v>5.1916173176643855E-2</v>
      </c>
      <c r="AM33" s="44">
        <v>16.393442622950801</v>
      </c>
      <c r="AN33" s="8">
        <v>1</v>
      </c>
      <c r="AO33" s="44">
        <v>1</v>
      </c>
      <c r="AP33" s="85">
        <v>0.12791875057531221</v>
      </c>
      <c r="AQ33" s="45">
        <v>177.96324138565862</v>
      </c>
      <c r="AR33" s="8">
        <v>463.31809395231812</v>
      </c>
      <c r="AS33" s="45">
        <v>24.546653984228776</v>
      </c>
      <c r="AT33" s="8">
        <v>3.068331748028597</v>
      </c>
      <c r="AU33" s="45"/>
      <c r="AV33" s="45"/>
      <c r="AW33" s="8"/>
      <c r="AX33" s="45"/>
      <c r="AY33" s="8"/>
      <c r="AZ33" s="45"/>
      <c r="BA33" s="8"/>
      <c r="BB33" s="45"/>
      <c r="BC33" s="8"/>
      <c r="BD33" s="45"/>
      <c r="BE33" s="8"/>
      <c r="BF33" s="45"/>
      <c r="BG33" s="8"/>
      <c r="BH33" s="45"/>
      <c r="BI33" s="8"/>
      <c r="BJ33" s="45"/>
      <c r="BK33" s="8"/>
      <c r="BL33" s="45"/>
      <c r="BM33" s="8"/>
      <c r="BN33" s="8"/>
      <c r="BO33" s="45"/>
      <c r="BP33" s="8"/>
      <c r="BQ33" s="45"/>
      <c r="BR33" s="8"/>
      <c r="BS33" s="45"/>
      <c r="BT33" s="8"/>
      <c r="BU33" s="45"/>
      <c r="BV33" s="8"/>
      <c r="BW33" s="45"/>
      <c r="BX33" s="8"/>
      <c r="BY33" s="45"/>
      <c r="BZ33" s="8"/>
      <c r="CA33" s="45"/>
      <c r="CB33" s="8"/>
      <c r="CC33" s="45"/>
      <c r="CD33" s="8"/>
      <c r="CE33" s="45"/>
      <c r="CF33" s="8"/>
      <c r="CG33" s="45"/>
      <c r="CH33" s="8"/>
      <c r="CI33" s="45"/>
      <c r="CJ33" s="8"/>
      <c r="CK33" s="45"/>
      <c r="CL33" s="8"/>
      <c r="CM33" s="45"/>
      <c r="CN33" s="8"/>
      <c r="CO33" s="45"/>
      <c r="CP33" s="8"/>
      <c r="CQ33" s="45"/>
      <c r="CR33" s="8"/>
      <c r="CS33" s="45"/>
      <c r="CT33" s="8"/>
      <c r="CU33" s="45"/>
      <c r="CV33" s="8"/>
      <c r="CW33" s="45"/>
      <c r="CX33" s="8"/>
      <c r="CY33" s="45"/>
      <c r="CZ33" s="8"/>
      <c r="DA33" s="45"/>
      <c r="DB33" s="8"/>
      <c r="DC33" s="45"/>
      <c r="DD33" s="8"/>
      <c r="DE33" s="45"/>
      <c r="DF33" s="8"/>
      <c r="DG33" s="45"/>
      <c r="DH33" s="8"/>
      <c r="DI33" s="45"/>
      <c r="DJ33" s="8"/>
      <c r="DK33" s="45"/>
      <c r="DL33" s="8"/>
      <c r="DM33" s="45"/>
      <c r="DN33" s="8"/>
      <c r="DO33" s="45"/>
      <c r="DP33" s="8"/>
      <c r="DQ33" s="45"/>
      <c r="DR33" s="8"/>
    </row>
    <row r="34" spans="1:122" s="38" customFormat="1" x14ac:dyDescent="0.3">
      <c r="A34" s="21" t="s">
        <v>118</v>
      </c>
      <c r="B34" s="8">
        <v>2302404</v>
      </c>
      <c r="C34" s="61">
        <v>237</v>
      </c>
      <c r="D34" s="14">
        <v>435.10189094914631</v>
      </c>
      <c r="E34" s="18">
        <v>17</v>
      </c>
      <c r="F34" s="18">
        <v>31.209840279052692</v>
      </c>
      <c r="G34" s="7">
        <v>7.1729957805907171E-2</v>
      </c>
      <c r="H34" s="63">
        <v>54470</v>
      </c>
      <c r="I34" s="19">
        <v>5357054.1215347899</v>
      </c>
      <c r="J34" s="6">
        <v>94516247.475674689</v>
      </c>
      <c r="K34" s="5">
        <v>2835.0369999999998</v>
      </c>
      <c r="L34" s="4">
        <v>19.213153126396588</v>
      </c>
      <c r="M34" s="6">
        <v>7031.15</v>
      </c>
      <c r="N34" s="8">
        <v>0.59799999999999998</v>
      </c>
      <c r="O34" s="15">
        <v>22.43</v>
      </c>
      <c r="P34" s="90">
        <v>43531219.992656507</v>
      </c>
      <c r="Q34" s="91">
        <v>74256034.514411598</v>
      </c>
      <c r="R34" s="15">
        <v>5.3</v>
      </c>
      <c r="S34" s="8">
        <v>4.8</v>
      </c>
      <c r="T34" s="8">
        <v>4.4000000000000004</v>
      </c>
      <c r="U34" s="14">
        <v>98.837648441106097</v>
      </c>
      <c r="V34" s="20">
        <v>43072.3</v>
      </c>
      <c r="W34" s="48">
        <v>12.85</v>
      </c>
      <c r="X34" s="8">
        <v>29.69</v>
      </c>
      <c r="Y34" s="16">
        <v>48.108177437381997</v>
      </c>
      <c r="Z34" s="8">
        <v>0.39</v>
      </c>
      <c r="AA34" s="17">
        <v>1.2116761519999999</v>
      </c>
      <c r="AB34" s="34">
        <v>5.8564347346999996</v>
      </c>
      <c r="AC34" s="34">
        <v>0</v>
      </c>
      <c r="AD34" s="42">
        <v>1</v>
      </c>
      <c r="AE34" s="43">
        <v>0.49323783763190981</v>
      </c>
      <c r="AF34" s="34">
        <v>1</v>
      </c>
      <c r="AG34" s="44">
        <v>0.496</v>
      </c>
      <c r="AH34" s="8">
        <v>0.29299999999999998</v>
      </c>
      <c r="AI34" s="17">
        <v>0.58599999999999997</v>
      </c>
      <c r="AJ34" s="8">
        <v>0.60899999999999999</v>
      </c>
      <c r="AK34" s="45">
        <v>0.48499999999999999</v>
      </c>
      <c r="AL34" s="85">
        <v>6.4237194786120805E-2</v>
      </c>
      <c r="AM34" s="44">
        <v>17.828200972447299</v>
      </c>
      <c r="AN34" s="8">
        <v>0.95141065830721006</v>
      </c>
      <c r="AO34" s="44">
        <v>0.95141065830720994</v>
      </c>
      <c r="AP34" s="85">
        <v>0.15740774738388102</v>
      </c>
      <c r="AQ34" s="45">
        <v>332.29300532403158</v>
      </c>
      <c r="AR34" s="8">
        <v>598.49458417477501</v>
      </c>
      <c r="AS34" s="45">
        <v>77.106664218836059</v>
      </c>
      <c r="AT34" s="8">
        <v>20.194602533504682</v>
      </c>
      <c r="AU34" s="45"/>
      <c r="AV34" s="45"/>
      <c r="AW34" s="8"/>
      <c r="AX34" s="45"/>
      <c r="AY34" s="8"/>
      <c r="AZ34" s="45"/>
      <c r="BA34" s="8"/>
      <c r="BB34" s="45"/>
      <c r="BC34" s="8"/>
      <c r="BD34" s="45"/>
      <c r="BE34" s="8"/>
      <c r="BF34" s="45"/>
      <c r="BG34" s="8"/>
      <c r="BH34" s="45"/>
      <c r="BI34" s="8"/>
      <c r="BJ34" s="45"/>
      <c r="BK34" s="8"/>
      <c r="BL34" s="45"/>
      <c r="BM34" s="8"/>
      <c r="BN34" s="8"/>
      <c r="BO34" s="45"/>
      <c r="BP34" s="8"/>
      <c r="BQ34" s="45"/>
      <c r="BR34" s="8"/>
      <c r="BS34" s="45"/>
      <c r="BT34" s="8"/>
      <c r="BU34" s="45"/>
      <c r="BV34" s="8"/>
      <c r="BW34" s="45"/>
      <c r="BX34" s="8"/>
      <c r="BY34" s="45"/>
      <c r="BZ34" s="8"/>
      <c r="CA34" s="45"/>
      <c r="CB34" s="8"/>
      <c r="CC34" s="45"/>
      <c r="CD34" s="8"/>
      <c r="CE34" s="45"/>
      <c r="CF34" s="8"/>
      <c r="CG34" s="45"/>
      <c r="CH34" s="8"/>
      <c r="CI34" s="45"/>
      <c r="CJ34" s="8"/>
      <c r="CK34" s="45"/>
      <c r="CL34" s="8"/>
      <c r="CM34" s="45"/>
      <c r="CN34" s="8"/>
      <c r="CO34" s="45"/>
      <c r="CP34" s="8"/>
      <c r="CQ34" s="45"/>
      <c r="CR34" s="8"/>
      <c r="CS34" s="45"/>
      <c r="CT34" s="8"/>
      <c r="CU34" s="45"/>
      <c r="CV34" s="8"/>
      <c r="CW34" s="45"/>
      <c r="CX34" s="8"/>
      <c r="CY34" s="45"/>
      <c r="CZ34" s="8"/>
      <c r="DA34" s="45"/>
      <c r="DB34" s="8"/>
      <c r="DC34" s="45"/>
      <c r="DD34" s="8"/>
      <c r="DE34" s="45"/>
      <c r="DF34" s="8"/>
      <c r="DG34" s="45"/>
      <c r="DH34" s="8"/>
      <c r="DI34" s="45"/>
      <c r="DJ34" s="8"/>
      <c r="DK34" s="45"/>
      <c r="DL34" s="8"/>
      <c r="DM34" s="45"/>
      <c r="DN34" s="8"/>
      <c r="DO34" s="45"/>
      <c r="DP34" s="8"/>
      <c r="DQ34" s="45"/>
      <c r="DR34" s="8"/>
    </row>
    <row r="35" spans="1:122" s="38" customFormat="1" x14ac:dyDescent="0.3">
      <c r="A35" s="21" t="s">
        <v>119</v>
      </c>
      <c r="B35" s="8">
        <v>2302503</v>
      </c>
      <c r="C35" s="61">
        <v>591</v>
      </c>
      <c r="D35" s="14">
        <v>1194.4944115447581</v>
      </c>
      <c r="E35" s="18">
        <v>13</v>
      </c>
      <c r="F35" s="18">
        <v>26.274834771712108</v>
      </c>
      <c r="G35" s="7">
        <v>2.1996615905245348E-2</v>
      </c>
      <c r="H35" s="63">
        <v>49477</v>
      </c>
      <c r="I35" s="19">
        <v>17689817.693069506</v>
      </c>
      <c r="J35" s="6">
        <v>89137174.848919705</v>
      </c>
      <c r="K35" s="5">
        <v>654.65800000000002</v>
      </c>
      <c r="L35" s="4">
        <v>75.576866088858608</v>
      </c>
      <c r="M35" s="6">
        <v>10248.61</v>
      </c>
      <c r="N35" s="8">
        <v>0.64700000000000002</v>
      </c>
      <c r="O35" s="15">
        <v>28.55</v>
      </c>
      <c r="P35" s="90">
        <v>84120558.522141606</v>
      </c>
      <c r="Q35" s="91">
        <v>85212278.311134458</v>
      </c>
      <c r="R35" s="15">
        <v>6.1</v>
      </c>
      <c r="S35" s="8">
        <v>5.8</v>
      </c>
      <c r="T35" s="8">
        <v>4.0999999999999996</v>
      </c>
      <c r="U35" s="14">
        <v>89.953920062747201</v>
      </c>
      <c r="V35" s="20">
        <v>58162</v>
      </c>
      <c r="W35" s="48">
        <v>8.08</v>
      </c>
      <c r="X35" s="8">
        <v>30.23</v>
      </c>
      <c r="Y35" s="16">
        <v>37.951928092773201</v>
      </c>
      <c r="Z35" s="8">
        <v>0.83</v>
      </c>
      <c r="AA35" s="17">
        <v>4.4465104997999996</v>
      </c>
      <c r="AB35" s="34">
        <v>13.117205974499999</v>
      </c>
      <c r="AC35" s="34">
        <v>0</v>
      </c>
      <c r="AD35" s="42">
        <v>1</v>
      </c>
      <c r="AE35" s="43">
        <v>0.37921802048989889</v>
      </c>
      <c r="AF35" s="34">
        <v>0</v>
      </c>
      <c r="AG35" s="44">
        <v>0.38300000000000001</v>
      </c>
      <c r="AH35" s="8">
        <v>0.184</v>
      </c>
      <c r="AI35" s="17">
        <v>0.48099999999999998</v>
      </c>
      <c r="AJ35" s="8">
        <v>0.48499999999999999</v>
      </c>
      <c r="AK35" s="45">
        <v>0.55300000000000005</v>
      </c>
      <c r="AL35" s="85">
        <v>0.13264749277442045</v>
      </c>
      <c r="AM35" s="44">
        <v>15.113350125944599</v>
      </c>
      <c r="AN35" s="8">
        <v>1</v>
      </c>
      <c r="AO35" s="44">
        <v>1</v>
      </c>
      <c r="AP35" s="85">
        <v>0.12597772702467813</v>
      </c>
      <c r="AQ35" s="45">
        <v>1071.2048022313397</v>
      </c>
      <c r="AR35" s="8">
        <v>2384.9465408169453</v>
      </c>
      <c r="AS35" s="45">
        <v>242.53693635426561</v>
      </c>
      <c r="AT35" s="8">
        <v>240.51579521798004</v>
      </c>
      <c r="AU35" s="45"/>
      <c r="AV35" s="45"/>
      <c r="AW35" s="8"/>
      <c r="AX35" s="45"/>
      <c r="AY35" s="8"/>
      <c r="AZ35" s="45"/>
      <c r="BA35" s="8"/>
      <c r="BB35" s="45"/>
      <c r="BC35" s="8"/>
      <c r="BD35" s="45"/>
      <c r="BE35" s="8"/>
      <c r="BF35" s="45"/>
      <c r="BG35" s="8"/>
      <c r="BH35" s="45"/>
      <c r="BI35" s="8"/>
      <c r="BJ35" s="45"/>
      <c r="BK35" s="8"/>
      <c r="BL35" s="45"/>
      <c r="BM35" s="8"/>
      <c r="BN35" s="8"/>
      <c r="BO35" s="45"/>
      <c r="BP35" s="8"/>
      <c r="BQ35" s="45"/>
      <c r="BR35" s="8"/>
      <c r="BS35" s="45"/>
      <c r="BT35" s="8"/>
      <c r="BU35" s="45"/>
      <c r="BV35" s="8"/>
      <c r="BW35" s="45"/>
      <c r="BX35" s="8"/>
      <c r="BY35" s="45"/>
      <c r="BZ35" s="8"/>
      <c r="CA35" s="45"/>
      <c r="CB35" s="8"/>
      <c r="CC35" s="45"/>
      <c r="CD35" s="8"/>
      <c r="CE35" s="45"/>
      <c r="CF35" s="8"/>
      <c r="CG35" s="45"/>
      <c r="CH35" s="8"/>
      <c r="CI35" s="45"/>
      <c r="CJ35" s="8"/>
      <c r="CK35" s="45"/>
      <c r="CL35" s="8"/>
      <c r="CM35" s="45"/>
      <c r="CN35" s="8"/>
      <c r="CO35" s="45"/>
      <c r="CP35" s="8"/>
      <c r="CQ35" s="45"/>
      <c r="CR35" s="8"/>
      <c r="CS35" s="45"/>
      <c r="CT35" s="8"/>
      <c r="CU35" s="45"/>
      <c r="CV35" s="8"/>
      <c r="CW35" s="45"/>
      <c r="CX35" s="8"/>
      <c r="CY35" s="45"/>
      <c r="CZ35" s="8"/>
      <c r="DA35" s="45"/>
      <c r="DB35" s="8"/>
      <c r="DC35" s="45"/>
      <c r="DD35" s="8"/>
      <c r="DE35" s="45"/>
      <c r="DF35" s="8"/>
      <c r="DG35" s="45"/>
      <c r="DH35" s="8"/>
      <c r="DI35" s="45"/>
      <c r="DJ35" s="8"/>
      <c r="DK35" s="45"/>
      <c r="DL35" s="8"/>
      <c r="DM35" s="45"/>
      <c r="DN35" s="8"/>
      <c r="DO35" s="45"/>
      <c r="DP35" s="8"/>
      <c r="DQ35" s="45"/>
      <c r="DR35" s="8"/>
    </row>
    <row r="36" spans="1:122" s="38" customFormat="1" x14ac:dyDescent="0.3">
      <c r="A36" s="21" t="s">
        <v>120</v>
      </c>
      <c r="B36" s="8">
        <v>2302602</v>
      </c>
      <c r="C36" s="61">
        <v>2177</v>
      </c>
      <c r="D36" s="14">
        <v>3419.676096825372</v>
      </c>
      <c r="E36" s="18">
        <v>78</v>
      </c>
      <c r="F36" s="18">
        <v>122.52399428221361</v>
      </c>
      <c r="G36" s="7">
        <v>3.5829122645842905E-2</v>
      </c>
      <c r="H36" s="63">
        <v>63661</v>
      </c>
      <c r="I36" s="19">
        <v>8353238.1677950397</v>
      </c>
      <c r="J36" s="6">
        <v>102779723.84976675</v>
      </c>
      <c r="K36" s="5">
        <v>1120.452</v>
      </c>
      <c r="L36" s="4">
        <v>56.817248753181751</v>
      </c>
      <c r="M36" s="6">
        <v>9005.0400000000009</v>
      </c>
      <c r="N36" s="8">
        <v>0.62</v>
      </c>
      <c r="O36" s="15">
        <v>30.86</v>
      </c>
      <c r="P36" s="90">
        <v>116289106.42308478</v>
      </c>
      <c r="Q36" s="91">
        <v>90450471.073341608</v>
      </c>
      <c r="R36" s="15">
        <v>6.7</v>
      </c>
      <c r="S36" s="8">
        <v>5.2</v>
      </c>
      <c r="T36" s="8">
        <v>4.5</v>
      </c>
      <c r="U36" s="14">
        <v>97.822149481723997</v>
      </c>
      <c r="V36" s="20">
        <v>92249.8</v>
      </c>
      <c r="W36" s="48">
        <v>4.71</v>
      </c>
      <c r="X36" s="8">
        <v>31.61</v>
      </c>
      <c r="Y36" s="16">
        <v>42.697983006556399</v>
      </c>
      <c r="Z36" s="8">
        <v>0.57999999999999996</v>
      </c>
      <c r="AA36" s="17">
        <v>1.6493614615000001</v>
      </c>
      <c r="AB36" s="34">
        <v>7.5713545184999997</v>
      </c>
      <c r="AC36" s="34">
        <v>0</v>
      </c>
      <c r="AD36" s="42">
        <v>0</v>
      </c>
      <c r="AE36" s="43">
        <v>0.25767146514179329</v>
      </c>
      <c r="AF36" s="34">
        <v>0</v>
      </c>
      <c r="AG36" s="44">
        <v>0.438</v>
      </c>
      <c r="AH36" s="8">
        <v>0.184</v>
      </c>
      <c r="AI36" s="17">
        <v>0.57599999999999996</v>
      </c>
      <c r="AJ36" s="8">
        <v>0.55300000000000005</v>
      </c>
      <c r="AK36" s="45">
        <v>0.57399999999999995</v>
      </c>
      <c r="AL36" s="85">
        <v>8.7039160553557121E-2</v>
      </c>
      <c r="AM36" s="44">
        <v>15.794669299111501</v>
      </c>
      <c r="AN36" s="8">
        <v>0.8391933815925543</v>
      </c>
      <c r="AO36" s="44">
        <v>0.8391933815925543</v>
      </c>
      <c r="AP36" s="85">
        <v>0.10852798416612996</v>
      </c>
      <c r="AQ36" s="45">
        <v>419.40905735065428</v>
      </c>
      <c r="AR36" s="8">
        <v>929.9257001932109</v>
      </c>
      <c r="AS36" s="45">
        <v>36.128870108857853</v>
      </c>
      <c r="AT36" s="8">
        <v>25.133127032248943</v>
      </c>
      <c r="AU36" s="45"/>
      <c r="AV36" s="45"/>
      <c r="AW36" s="8"/>
      <c r="AX36" s="45"/>
      <c r="AY36" s="8"/>
      <c r="AZ36" s="45"/>
      <c r="BA36" s="8"/>
      <c r="BB36" s="45"/>
      <c r="BC36" s="8"/>
      <c r="BD36" s="45"/>
      <c r="BE36" s="8"/>
      <c r="BF36" s="45"/>
      <c r="BG36" s="8"/>
      <c r="BH36" s="45"/>
      <c r="BI36" s="8"/>
      <c r="BJ36" s="45"/>
      <c r="BK36" s="8"/>
      <c r="BL36" s="45"/>
      <c r="BM36" s="8"/>
      <c r="BN36" s="8"/>
      <c r="BO36" s="45"/>
      <c r="BP36" s="8"/>
      <c r="BQ36" s="45"/>
      <c r="BR36" s="8"/>
      <c r="BS36" s="45"/>
      <c r="BT36" s="8"/>
      <c r="BU36" s="45"/>
      <c r="BV36" s="8"/>
      <c r="BW36" s="45"/>
      <c r="BX36" s="8"/>
      <c r="BY36" s="45"/>
      <c r="BZ36" s="8"/>
      <c r="CA36" s="45"/>
      <c r="CB36" s="8"/>
      <c r="CC36" s="45"/>
      <c r="CD36" s="8"/>
      <c r="CE36" s="45"/>
      <c r="CF36" s="8"/>
      <c r="CG36" s="45"/>
      <c r="CH36" s="8"/>
      <c r="CI36" s="45"/>
      <c r="CJ36" s="8"/>
      <c r="CK36" s="45"/>
      <c r="CL36" s="8"/>
      <c r="CM36" s="45"/>
      <c r="CN36" s="8"/>
      <c r="CO36" s="45"/>
      <c r="CP36" s="8"/>
      <c r="CQ36" s="45"/>
      <c r="CR36" s="8"/>
      <c r="CS36" s="45"/>
      <c r="CT36" s="8"/>
      <c r="CU36" s="45"/>
      <c r="CV36" s="8"/>
      <c r="CW36" s="45"/>
      <c r="CX36" s="8"/>
      <c r="CY36" s="45"/>
      <c r="CZ36" s="8"/>
      <c r="DA36" s="45"/>
      <c r="DB36" s="8"/>
      <c r="DC36" s="45"/>
      <c r="DD36" s="8"/>
      <c r="DE36" s="45"/>
      <c r="DF36" s="8"/>
      <c r="DG36" s="45"/>
      <c r="DH36" s="8"/>
      <c r="DI36" s="45"/>
      <c r="DJ36" s="8"/>
      <c r="DK36" s="45"/>
      <c r="DL36" s="8"/>
      <c r="DM36" s="45"/>
      <c r="DN36" s="8"/>
      <c r="DO36" s="45"/>
      <c r="DP36" s="8"/>
      <c r="DQ36" s="45"/>
      <c r="DR36" s="8"/>
    </row>
    <row r="37" spans="1:122" s="38" customFormat="1" x14ac:dyDescent="0.3">
      <c r="A37" s="21" t="s">
        <v>121</v>
      </c>
      <c r="B37" s="8">
        <v>2302701</v>
      </c>
      <c r="C37" s="61">
        <v>237</v>
      </c>
      <c r="D37" s="14">
        <v>864.14351345438638</v>
      </c>
      <c r="E37" s="18">
        <v>4</v>
      </c>
      <c r="F37" s="18">
        <v>14.58470064901918</v>
      </c>
      <c r="G37" s="7">
        <v>1.6877637130801686E-2</v>
      </c>
      <c r="H37" s="63">
        <v>27426</v>
      </c>
      <c r="I37" s="19">
        <v>10379957.850215124</v>
      </c>
      <c r="J37" s="6">
        <v>97538831.765478015</v>
      </c>
      <c r="K37" s="5">
        <v>1082.5820000000001</v>
      </c>
      <c r="L37" s="4">
        <v>25.333877710880095</v>
      </c>
      <c r="M37" s="6">
        <v>6896.85</v>
      </c>
      <c r="N37" s="8">
        <v>0.63</v>
      </c>
      <c r="O37" s="15">
        <v>19.2</v>
      </c>
      <c r="P37" s="90">
        <v>54100673.667322971</v>
      </c>
      <c r="Q37" s="91">
        <v>80749287.464449793</v>
      </c>
      <c r="R37" s="15">
        <v>6.6</v>
      </c>
      <c r="S37" s="8">
        <v>5.8</v>
      </c>
      <c r="T37" s="8">
        <v>4.5</v>
      </c>
      <c r="U37" s="14">
        <v>95.900167930974604</v>
      </c>
      <c r="V37" s="20">
        <v>24040.48</v>
      </c>
      <c r="W37" s="48">
        <v>29.17</v>
      </c>
      <c r="X37" s="8">
        <v>32.729999999999997</v>
      </c>
      <c r="Y37" s="16">
        <v>44.270112850382198</v>
      </c>
      <c r="Z37" s="8">
        <v>0.73</v>
      </c>
      <c r="AA37" s="17">
        <v>3.1357106395000001</v>
      </c>
      <c r="AB37" s="34">
        <v>7.6934295924000002</v>
      </c>
      <c r="AC37" s="34">
        <v>0</v>
      </c>
      <c r="AD37" s="42">
        <v>1</v>
      </c>
      <c r="AE37" s="43">
        <v>0.28012525465932242</v>
      </c>
      <c r="AF37" s="34">
        <v>0</v>
      </c>
      <c r="AG37" s="44">
        <v>0.42199999999999999</v>
      </c>
      <c r="AH37" s="8">
        <v>0.22600000000000001</v>
      </c>
      <c r="AI37" s="17">
        <v>0.46500000000000002</v>
      </c>
      <c r="AJ37" s="8">
        <v>0.57399999999999995</v>
      </c>
      <c r="AK37" s="45">
        <v>0.55600000000000005</v>
      </c>
      <c r="AL37" s="85">
        <v>7.2923503245095889E-2</v>
      </c>
      <c r="AM37" s="44">
        <v>19.047619047619101</v>
      </c>
      <c r="AN37" s="8">
        <v>0.92286501377410479</v>
      </c>
      <c r="AO37" s="44">
        <v>0.92286501377410479</v>
      </c>
      <c r="AP37" s="85">
        <v>0.14993072267191715</v>
      </c>
      <c r="AQ37" s="45">
        <v>765.69678407350693</v>
      </c>
      <c r="AR37" s="8">
        <v>678.18858017939181</v>
      </c>
      <c r="AS37" s="45">
        <v>47.400277109312334</v>
      </c>
      <c r="AT37" s="8">
        <v>21.877050973528767</v>
      </c>
      <c r="AU37" s="45"/>
      <c r="AV37" s="45"/>
      <c r="AW37" s="8"/>
      <c r="AX37" s="45"/>
      <c r="AY37" s="8"/>
      <c r="AZ37" s="45"/>
      <c r="BA37" s="8"/>
      <c r="BB37" s="45"/>
      <c r="BC37" s="8"/>
      <c r="BD37" s="45"/>
      <c r="BE37" s="8"/>
      <c r="BF37" s="45"/>
      <c r="BG37" s="8"/>
      <c r="BH37" s="45"/>
      <c r="BI37" s="8"/>
      <c r="BJ37" s="45"/>
      <c r="BK37" s="8"/>
      <c r="BL37" s="45"/>
      <c r="BM37" s="8"/>
      <c r="BN37" s="8"/>
      <c r="BO37" s="45"/>
      <c r="BP37" s="8"/>
      <c r="BQ37" s="45"/>
      <c r="BR37" s="8"/>
      <c r="BS37" s="45"/>
      <c r="BT37" s="8"/>
      <c r="BU37" s="45"/>
      <c r="BV37" s="8"/>
      <c r="BW37" s="45"/>
      <c r="BX37" s="8"/>
      <c r="BY37" s="45"/>
      <c r="BZ37" s="8"/>
      <c r="CA37" s="45"/>
      <c r="CB37" s="8"/>
      <c r="CC37" s="45"/>
      <c r="CD37" s="8"/>
      <c r="CE37" s="45"/>
      <c r="CF37" s="8"/>
      <c r="CG37" s="45"/>
      <c r="CH37" s="8"/>
      <c r="CI37" s="45"/>
      <c r="CJ37" s="8"/>
      <c r="CK37" s="45"/>
      <c r="CL37" s="8"/>
      <c r="CM37" s="45"/>
      <c r="CN37" s="8"/>
      <c r="CO37" s="45"/>
      <c r="CP37" s="8"/>
      <c r="CQ37" s="45"/>
      <c r="CR37" s="8"/>
      <c r="CS37" s="45"/>
      <c r="CT37" s="8"/>
      <c r="CU37" s="45"/>
      <c r="CV37" s="8"/>
      <c r="CW37" s="45"/>
      <c r="CX37" s="8"/>
      <c r="CY37" s="45"/>
      <c r="CZ37" s="8"/>
      <c r="DA37" s="45"/>
      <c r="DB37" s="8"/>
      <c r="DC37" s="45"/>
      <c r="DD37" s="8"/>
      <c r="DE37" s="45"/>
      <c r="DF37" s="8"/>
      <c r="DG37" s="45"/>
      <c r="DH37" s="8"/>
      <c r="DI37" s="45"/>
      <c r="DJ37" s="8"/>
      <c r="DK37" s="45"/>
      <c r="DL37" s="8"/>
      <c r="DM37" s="45"/>
      <c r="DN37" s="8"/>
      <c r="DO37" s="45"/>
      <c r="DP37" s="8"/>
      <c r="DQ37" s="45"/>
      <c r="DR37" s="8"/>
    </row>
    <row r="38" spans="1:122" s="38" customFormat="1" x14ac:dyDescent="0.3">
      <c r="A38" s="21" t="s">
        <v>122</v>
      </c>
      <c r="B38" s="8">
        <v>2302800</v>
      </c>
      <c r="C38" s="61">
        <v>1733</v>
      </c>
      <c r="D38" s="14">
        <v>2250.7370417029238</v>
      </c>
      <c r="E38" s="18">
        <v>58</v>
      </c>
      <c r="F38" s="18">
        <v>75.327610166629867</v>
      </c>
      <c r="G38" s="7">
        <v>3.3467974610502021E-2</v>
      </c>
      <c r="H38" s="63">
        <v>76997</v>
      </c>
      <c r="I38" s="19">
        <v>10130165.396054391</v>
      </c>
      <c r="J38" s="6">
        <v>102542436.71831371</v>
      </c>
      <c r="K38" s="5">
        <v>3032.39</v>
      </c>
      <c r="L38" s="4">
        <v>25.391522858207555</v>
      </c>
      <c r="M38" s="6">
        <v>8106.88</v>
      </c>
      <c r="N38" s="8">
        <v>0.61199999999999999</v>
      </c>
      <c r="O38" s="15">
        <v>24.82</v>
      </c>
      <c r="P38" s="90">
        <v>61358980.375858799</v>
      </c>
      <c r="Q38" s="91">
        <v>81095069.002688423</v>
      </c>
      <c r="R38" s="15">
        <v>6.4</v>
      </c>
      <c r="S38" s="8">
        <v>5.7</v>
      </c>
      <c r="T38" s="8">
        <v>4.8</v>
      </c>
      <c r="U38" s="14">
        <v>100</v>
      </c>
      <c r="V38" s="20">
        <v>129980.56</v>
      </c>
      <c r="W38" s="48">
        <v>22.08</v>
      </c>
      <c r="X38" s="8">
        <v>31.47</v>
      </c>
      <c r="Y38" s="16">
        <v>49.183108073118902</v>
      </c>
      <c r="Z38" s="8">
        <v>0.38</v>
      </c>
      <c r="AA38" s="17">
        <v>1.5714897983</v>
      </c>
      <c r="AB38" s="34">
        <v>8.0003117004999993</v>
      </c>
      <c r="AC38" s="34">
        <v>0</v>
      </c>
      <c r="AD38" s="42">
        <v>1</v>
      </c>
      <c r="AE38" s="43">
        <v>0.37057725618680598</v>
      </c>
      <c r="AF38" s="34">
        <v>1</v>
      </c>
      <c r="AG38" s="44">
        <v>0.45800000000000002</v>
      </c>
      <c r="AH38" s="8">
        <v>0.28399999999999997</v>
      </c>
      <c r="AI38" s="17">
        <v>0.53400000000000003</v>
      </c>
      <c r="AJ38" s="8">
        <v>0.55600000000000005</v>
      </c>
      <c r="AK38" s="45">
        <v>0.57399999999999995</v>
      </c>
      <c r="AL38" s="85">
        <v>9.248412275802953E-2</v>
      </c>
      <c r="AM38" s="44">
        <v>11.473962930273601</v>
      </c>
      <c r="AN38" s="8">
        <v>1</v>
      </c>
      <c r="AO38" s="44">
        <v>1</v>
      </c>
      <c r="AP38" s="85">
        <v>0.13499227242619843</v>
      </c>
      <c r="AQ38" s="45">
        <v>416.89935971531361</v>
      </c>
      <c r="AR38" s="8">
        <v>607.81588893073751</v>
      </c>
      <c r="AS38" s="45">
        <v>62.340091172383346</v>
      </c>
      <c r="AT38" s="8">
        <v>24.676286089068409</v>
      </c>
      <c r="AU38" s="45"/>
      <c r="AV38" s="45"/>
      <c r="AW38" s="8"/>
      <c r="AX38" s="45"/>
      <c r="AY38" s="8"/>
      <c r="AZ38" s="45"/>
      <c r="BA38" s="8"/>
      <c r="BB38" s="45"/>
      <c r="BC38" s="8"/>
      <c r="BD38" s="45"/>
      <c r="BE38" s="8"/>
      <c r="BF38" s="45"/>
      <c r="BG38" s="8"/>
      <c r="BH38" s="45"/>
      <c r="BI38" s="8"/>
      <c r="BJ38" s="45"/>
      <c r="BK38" s="8"/>
      <c r="BL38" s="45"/>
      <c r="BM38" s="8"/>
      <c r="BN38" s="8"/>
      <c r="BO38" s="45"/>
      <c r="BP38" s="8"/>
      <c r="BQ38" s="45"/>
      <c r="BR38" s="8"/>
      <c r="BS38" s="45"/>
      <c r="BT38" s="8"/>
      <c r="BU38" s="45"/>
      <c r="BV38" s="8"/>
      <c r="BW38" s="45"/>
      <c r="BX38" s="8"/>
      <c r="BY38" s="45"/>
      <c r="BZ38" s="8"/>
      <c r="CA38" s="45"/>
      <c r="CB38" s="8"/>
      <c r="CC38" s="45"/>
      <c r="CD38" s="8"/>
      <c r="CE38" s="45"/>
      <c r="CF38" s="8"/>
      <c r="CG38" s="45"/>
      <c r="CH38" s="8"/>
      <c r="CI38" s="45"/>
      <c r="CJ38" s="8"/>
      <c r="CK38" s="45"/>
      <c r="CL38" s="8"/>
      <c r="CM38" s="45"/>
      <c r="CN38" s="8"/>
      <c r="CO38" s="45"/>
      <c r="CP38" s="8"/>
      <c r="CQ38" s="45"/>
      <c r="CR38" s="8"/>
      <c r="CS38" s="45"/>
      <c r="CT38" s="8"/>
      <c r="CU38" s="45"/>
      <c r="CV38" s="8"/>
      <c r="CW38" s="45"/>
      <c r="CX38" s="8"/>
      <c r="CY38" s="45"/>
      <c r="CZ38" s="8"/>
      <c r="DA38" s="45"/>
      <c r="DB38" s="8"/>
      <c r="DC38" s="45"/>
      <c r="DD38" s="8"/>
      <c r="DE38" s="45"/>
      <c r="DF38" s="8"/>
      <c r="DG38" s="45"/>
      <c r="DH38" s="8"/>
      <c r="DI38" s="45"/>
      <c r="DJ38" s="8"/>
      <c r="DK38" s="45"/>
      <c r="DL38" s="8"/>
      <c r="DM38" s="45"/>
      <c r="DN38" s="8"/>
      <c r="DO38" s="45"/>
      <c r="DP38" s="8"/>
      <c r="DQ38" s="45"/>
      <c r="DR38" s="8"/>
    </row>
    <row r="39" spans="1:122" s="38" customFormat="1" x14ac:dyDescent="0.3">
      <c r="A39" s="21" t="s">
        <v>123</v>
      </c>
      <c r="B39" s="8">
        <v>2302909</v>
      </c>
      <c r="C39" s="61">
        <v>543</v>
      </c>
      <c r="D39" s="14">
        <v>3061.2244897959181</v>
      </c>
      <c r="E39" s="18">
        <v>10</v>
      </c>
      <c r="F39" s="18">
        <v>56.376141616867741</v>
      </c>
      <c r="G39" s="7">
        <v>1.841620626151013E-2</v>
      </c>
      <c r="H39" s="63">
        <v>17738</v>
      </c>
      <c r="I39" s="19">
        <v>2043198.7258991995</v>
      </c>
      <c r="J39" s="6">
        <v>108776637.72691396</v>
      </c>
      <c r="K39" s="5">
        <v>226.54900000000001</v>
      </c>
      <c r="L39" s="4">
        <v>78.29652746205015</v>
      </c>
      <c r="M39" s="6">
        <v>9827.07</v>
      </c>
      <c r="N39" s="8">
        <v>0.61099999999999999</v>
      </c>
      <c r="O39" s="15">
        <v>18.989999999999998</v>
      </c>
      <c r="P39" s="90">
        <v>67559874.112075776</v>
      </c>
      <c r="Q39" s="91">
        <v>90910183.053331837</v>
      </c>
      <c r="R39" s="15">
        <v>5.4</v>
      </c>
      <c r="S39" s="8">
        <v>4.7</v>
      </c>
      <c r="T39" s="8">
        <v>3.7</v>
      </c>
      <c r="U39" s="14">
        <v>94.533911427686604</v>
      </c>
      <c r="V39" s="20">
        <v>11394.97</v>
      </c>
      <c r="W39" s="48">
        <v>45.1</v>
      </c>
      <c r="X39" s="8">
        <v>33.33</v>
      </c>
      <c r="Y39" s="16">
        <v>52.934892612166898</v>
      </c>
      <c r="Z39" s="8">
        <v>0.9</v>
      </c>
      <c r="AA39" s="17">
        <v>0.78926598260000003</v>
      </c>
      <c r="AB39" s="34">
        <v>10.655090765600001</v>
      </c>
      <c r="AC39" s="34">
        <v>0</v>
      </c>
      <c r="AD39" s="42">
        <v>1</v>
      </c>
      <c r="AE39" s="43">
        <v>0.63591607080060952</v>
      </c>
      <c r="AF39" s="34">
        <v>1</v>
      </c>
      <c r="AG39" s="44">
        <v>0.55100000000000005</v>
      </c>
      <c r="AH39" s="8">
        <v>0.55900000000000005</v>
      </c>
      <c r="AI39" s="17">
        <v>0.52100000000000002</v>
      </c>
      <c r="AJ39" s="8">
        <v>0.57399999999999995</v>
      </c>
      <c r="AK39" s="45">
        <v>0.55900000000000005</v>
      </c>
      <c r="AL39" s="85">
        <v>5.6545270041718346E-2</v>
      </c>
      <c r="AM39" s="44">
        <v>20</v>
      </c>
      <c r="AN39" s="8">
        <v>0.9604166666666667</v>
      </c>
      <c r="AO39" s="44">
        <v>0.9604166666666667</v>
      </c>
      <c r="AP39" s="85">
        <v>0.12927049272747773</v>
      </c>
      <c r="AQ39" s="45">
        <v>343.89446386289319</v>
      </c>
      <c r="AR39" s="8">
        <v>445.3715187732551</v>
      </c>
      <c r="AS39" s="45">
        <v>107.11466907204871</v>
      </c>
      <c r="AT39" s="8">
        <v>39.463299131807418</v>
      </c>
      <c r="AU39" s="45"/>
      <c r="AV39" s="45"/>
      <c r="AW39" s="8"/>
      <c r="AX39" s="45"/>
      <c r="AY39" s="8"/>
      <c r="AZ39" s="45"/>
      <c r="BA39" s="8"/>
      <c r="BB39" s="45"/>
      <c r="BC39" s="8"/>
      <c r="BD39" s="45"/>
      <c r="BE39" s="8"/>
      <c r="BF39" s="45"/>
      <c r="BG39" s="8"/>
      <c r="BH39" s="45"/>
      <c r="BI39" s="8"/>
      <c r="BJ39" s="45"/>
      <c r="BK39" s="8"/>
      <c r="BL39" s="45"/>
      <c r="BM39" s="8"/>
      <c r="BN39" s="8"/>
      <c r="BO39" s="45"/>
      <c r="BP39" s="8"/>
      <c r="BQ39" s="45"/>
      <c r="BR39" s="8"/>
      <c r="BS39" s="45"/>
      <c r="BT39" s="8"/>
      <c r="BU39" s="45"/>
      <c r="BV39" s="8"/>
      <c r="BW39" s="45"/>
      <c r="BX39" s="8"/>
      <c r="BY39" s="45"/>
      <c r="BZ39" s="8"/>
      <c r="CA39" s="45"/>
      <c r="CB39" s="8"/>
      <c r="CC39" s="45"/>
      <c r="CD39" s="8"/>
      <c r="CE39" s="45"/>
      <c r="CF39" s="8"/>
      <c r="CG39" s="45"/>
      <c r="CH39" s="8"/>
      <c r="CI39" s="45"/>
      <c r="CJ39" s="8"/>
      <c r="CK39" s="45"/>
      <c r="CL39" s="8"/>
      <c r="CM39" s="45"/>
      <c r="CN39" s="8"/>
      <c r="CO39" s="45"/>
      <c r="CP39" s="8"/>
      <c r="CQ39" s="45"/>
      <c r="CR39" s="8"/>
      <c r="CS39" s="45"/>
      <c r="CT39" s="8"/>
      <c r="CU39" s="45"/>
      <c r="CV39" s="8"/>
      <c r="CW39" s="45"/>
      <c r="CX39" s="8"/>
      <c r="CY39" s="45"/>
      <c r="CZ39" s="8"/>
      <c r="DA39" s="45"/>
      <c r="DB39" s="8"/>
      <c r="DC39" s="45"/>
      <c r="DD39" s="8"/>
      <c r="DE39" s="45"/>
      <c r="DF39" s="8"/>
      <c r="DG39" s="45"/>
      <c r="DH39" s="8"/>
      <c r="DI39" s="45"/>
      <c r="DJ39" s="8"/>
      <c r="DK39" s="45"/>
      <c r="DL39" s="8"/>
      <c r="DM39" s="45"/>
      <c r="DN39" s="8"/>
      <c r="DO39" s="45"/>
      <c r="DP39" s="8"/>
      <c r="DQ39" s="45"/>
      <c r="DR39" s="8"/>
    </row>
    <row r="40" spans="1:122" s="38" customFormat="1" x14ac:dyDescent="0.3">
      <c r="A40" s="21" t="s">
        <v>124</v>
      </c>
      <c r="B40" s="8">
        <v>2303006</v>
      </c>
      <c r="C40" s="61">
        <v>293</v>
      </c>
      <c r="D40" s="14">
        <v>1299.5076950370337</v>
      </c>
      <c r="E40" s="18">
        <v>14</v>
      </c>
      <c r="F40" s="18">
        <v>62.092517851598878</v>
      </c>
      <c r="G40" s="7">
        <v>4.778156996587031E-2</v>
      </c>
      <c r="H40" s="63">
        <v>22547</v>
      </c>
      <c r="I40" s="19">
        <v>3681519.7587262164</v>
      </c>
      <c r="J40" s="6">
        <v>91603317.51452522</v>
      </c>
      <c r="K40" s="5">
        <v>926.27099999999996</v>
      </c>
      <c r="L40" s="4">
        <v>24.341688339589602</v>
      </c>
      <c r="M40" s="6">
        <v>5631.24</v>
      </c>
      <c r="N40" s="8">
        <v>0.59199999999999997</v>
      </c>
      <c r="O40" s="15">
        <v>16.079999999999998</v>
      </c>
      <c r="P40" s="90">
        <v>48664207.965583004</v>
      </c>
      <c r="Q40" s="91">
        <v>85737732.248192668</v>
      </c>
      <c r="R40" s="15">
        <v>5.5</v>
      </c>
      <c r="S40" s="8">
        <v>4.9000000000000004</v>
      </c>
      <c r="T40" s="8">
        <v>5.0999999999999996</v>
      </c>
      <c r="U40" s="14">
        <v>97.604687230742698</v>
      </c>
      <c r="V40" s="20">
        <v>16418.22</v>
      </c>
      <c r="W40" s="48">
        <v>39.92</v>
      </c>
      <c r="X40" s="8">
        <v>37.04</v>
      </c>
      <c r="Y40" s="16">
        <v>46.506013519445197</v>
      </c>
      <c r="Z40" s="8">
        <v>0.44</v>
      </c>
      <c r="AA40" s="17">
        <v>0.93138776779999999</v>
      </c>
      <c r="AB40" s="34">
        <v>7.0075841575000002</v>
      </c>
      <c r="AC40" s="34">
        <v>0</v>
      </c>
      <c r="AD40" s="42">
        <v>1</v>
      </c>
      <c r="AE40" s="43">
        <v>0.42442557442557444</v>
      </c>
      <c r="AF40" s="34">
        <v>0</v>
      </c>
      <c r="AG40" s="44">
        <v>0.54200000000000004</v>
      </c>
      <c r="AH40" s="8">
        <v>0.48</v>
      </c>
      <c r="AI40" s="17">
        <v>0.58699999999999997</v>
      </c>
      <c r="AJ40" s="8">
        <v>0.55900000000000005</v>
      </c>
      <c r="AK40" s="45">
        <v>0.58299999999999996</v>
      </c>
      <c r="AL40" s="85">
        <v>4.4484853860824056E-2</v>
      </c>
      <c r="AM40" s="44">
        <v>10.830324909747301</v>
      </c>
      <c r="AN40" s="8">
        <v>0.61562499999999998</v>
      </c>
      <c r="AO40" s="44">
        <v>0.61562499999999998</v>
      </c>
      <c r="AP40" s="85">
        <v>0.11158912493901628</v>
      </c>
      <c r="AQ40" s="45">
        <v>235.0645318667672</v>
      </c>
      <c r="AR40" s="8">
        <v>328.20330864416553</v>
      </c>
      <c r="AS40" s="45">
        <v>22.175899232713888</v>
      </c>
      <c r="AT40" s="8">
        <v>8.8703596930855539</v>
      </c>
      <c r="AU40" s="45"/>
      <c r="AV40" s="45"/>
      <c r="AW40" s="8"/>
      <c r="AX40" s="45"/>
      <c r="AY40" s="8"/>
      <c r="AZ40" s="45"/>
      <c r="BA40" s="8"/>
      <c r="BB40" s="45"/>
      <c r="BC40" s="8"/>
      <c r="BD40" s="45"/>
      <c r="BE40" s="8"/>
      <c r="BF40" s="45"/>
      <c r="BG40" s="8"/>
      <c r="BH40" s="45"/>
      <c r="BI40" s="8"/>
      <c r="BJ40" s="45"/>
      <c r="BK40" s="8"/>
      <c r="BL40" s="45"/>
      <c r="BM40" s="8"/>
      <c r="BN40" s="8"/>
      <c r="BO40" s="45"/>
      <c r="BP40" s="8"/>
      <c r="BQ40" s="45"/>
      <c r="BR40" s="8"/>
      <c r="BS40" s="45"/>
      <c r="BT40" s="8"/>
      <c r="BU40" s="45"/>
      <c r="BV40" s="8"/>
      <c r="BW40" s="45"/>
      <c r="BX40" s="8"/>
      <c r="BY40" s="45"/>
      <c r="BZ40" s="8"/>
      <c r="CA40" s="45"/>
      <c r="CB40" s="8"/>
      <c r="CC40" s="45"/>
      <c r="CD40" s="8"/>
      <c r="CE40" s="45"/>
      <c r="CF40" s="8"/>
      <c r="CG40" s="45"/>
      <c r="CH40" s="8"/>
      <c r="CI40" s="45"/>
      <c r="CJ40" s="8"/>
      <c r="CK40" s="45"/>
      <c r="CL40" s="8"/>
      <c r="CM40" s="45"/>
      <c r="CN40" s="8"/>
      <c r="CO40" s="45"/>
      <c r="CP40" s="8"/>
      <c r="CQ40" s="45"/>
      <c r="CR40" s="8"/>
      <c r="CS40" s="45"/>
      <c r="CT40" s="8"/>
      <c r="CU40" s="45"/>
      <c r="CV40" s="8"/>
      <c r="CW40" s="45"/>
      <c r="CX40" s="8"/>
      <c r="CY40" s="45"/>
      <c r="CZ40" s="8"/>
      <c r="DA40" s="45"/>
      <c r="DB40" s="8"/>
      <c r="DC40" s="45"/>
      <c r="DD40" s="8"/>
      <c r="DE40" s="45"/>
      <c r="DF40" s="8"/>
      <c r="DG40" s="45"/>
      <c r="DH40" s="8"/>
      <c r="DI40" s="45"/>
      <c r="DJ40" s="8"/>
      <c r="DK40" s="45"/>
      <c r="DL40" s="8"/>
      <c r="DM40" s="45"/>
      <c r="DN40" s="8"/>
      <c r="DO40" s="45"/>
      <c r="DP40" s="8"/>
      <c r="DQ40" s="45"/>
      <c r="DR40" s="8"/>
    </row>
    <row r="41" spans="1:122" s="38" customFormat="1" x14ac:dyDescent="0.3">
      <c r="A41" s="21" t="s">
        <v>125</v>
      </c>
      <c r="B41" s="8">
        <v>2303105</v>
      </c>
      <c r="C41" s="61">
        <v>571</v>
      </c>
      <c r="D41" s="14">
        <v>3095.186470078057</v>
      </c>
      <c r="E41" s="18">
        <v>14</v>
      </c>
      <c r="F41" s="18">
        <v>75.888985255854294</v>
      </c>
      <c r="G41" s="7">
        <v>2.4518388791593695E-2</v>
      </c>
      <c r="H41" s="63">
        <v>18448</v>
      </c>
      <c r="I41" s="19">
        <v>11978554.206418041</v>
      </c>
      <c r="J41" s="6">
        <v>159448178.66435385</v>
      </c>
      <c r="K41" s="5">
        <v>755.59699999999998</v>
      </c>
      <c r="L41" s="4">
        <v>24.415131346471732</v>
      </c>
      <c r="M41" s="6">
        <v>8062.68</v>
      </c>
      <c r="N41" s="8">
        <v>0.59599999999999997</v>
      </c>
      <c r="O41" s="15">
        <v>22.64</v>
      </c>
      <c r="P41" s="90">
        <v>76027410.234171718</v>
      </c>
      <c r="Q41" s="91">
        <v>94059319.438421503</v>
      </c>
      <c r="R41" s="15">
        <v>6.8</v>
      </c>
      <c r="S41" s="8">
        <v>5.8</v>
      </c>
      <c r="T41" s="8">
        <v>4.5</v>
      </c>
      <c r="U41" s="14">
        <v>99.771428571428601</v>
      </c>
      <c r="V41" s="20">
        <v>17326.009999999998</v>
      </c>
      <c r="W41" s="48">
        <v>10.84</v>
      </c>
      <c r="X41" s="8">
        <v>30.77</v>
      </c>
      <c r="Y41" s="16">
        <v>46.6926702421583</v>
      </c>
      <c r="Z41" s="8">
        <v>1.03</v>
      </c>
      <c r="AA41" s="17">
        <v>0.9757155247</v>
      </c>
      <c r="AB41" s="34">
        <v>8.7814397225</v>
      </c>
      <c r="AC41" s="34">
        <v>0</v>
      </c>
      <c r="AD41" s="42">
        <v>1</v>
      </c>
      <c r="AE41" s="43">
        <v>0.54755545865809119</v>
      </c>
      <c r="AF41" s="34">
        <v>0</v>
      </c>
      <c r="AG41" s="44">
        <v>0.434</v>
      </c>
      <c r="AH41" s="8">
        <v>0.22700000000000001</v>
      </c>
      <c r="AI41" s="17">
        <v>0.55300000000000005</v>
      </c>
      <c r="AJ41" s="8">
        <v>0.52300000000000002</v>
      </c>
      <c r="AK41" s="45">
        <v>0.52300000000000002</v>
      </c>
      <c r="AL41" s="85">
        <v>8.2664787510841289E-2</v>
      </c>
      <c r="AM41" s="44">
        <v>4.0816326530612201</v>
      </c>
      <c r="AN41" s="8">
        <v>0.96184210526315794</v>
      </c>
      <c r="AO41" s="44">
        <v>0.86956521739130443</v>
      </c>
      <c r="AP41" s="85">
        <v>0.16072202948829142</v>
      </c>
      <c r="AQ41" s="45">
        <v>325.23850823937556</v>
      </c>
      <c r="AR41" s="8">
        <v>1089.5490026019079</v>
      </c>
      <c r="AS41" s="45">
        <v>86.730268863833473</v>
      </c>
      <c r="AT41" s="8">
        <v>0</v>
      </c>
      <c r="AU41" s="45"/>
      <c r="AV41" s="45"/>
      <c r="AW41" s="8"/>
      <c r="AX41" s="45"/>
      <c r="AY41" s="8"/>
      <c r="AZ41" s="45"/>
      <c r="BA41" s="8"/>
      <c r="BB41" s="45"/>
      <c r="BC41" s="8"/>
      <c r="BD41" s="45"/>
      <c r="BE41" s="8"/>
      <c r="BF41" s="45"/>
      <c r="BG41" s="8"/>
      <c r="BH41" s="45"/>
      <c r="BI41" s="8"/>
      <c r="BJ41" s="45"/>
      <c r="BK41" s="8"/>
      <c r="BL41" s="45"/>
      <c r="BM41" s="8"/>
      <c r="BN41" s="8"/>
      <c r="BO41" s="45"/>
      <c r="BP41" s="8"/>
      <c r="BQ41" s="45"/>
      <c r="BR41" s="8"/>
      <c r="BS41" s="45"/>
      <c r="BT41" s="8"/>
      <c r="BU41" s="45"/>
      <c r="BV41" s="8"/>
      <c r="BW41" s="45"/>
      <c r="BX41" s="8"/>
      <c r="BY41" s="45"/>
      <c r="BZ41" s="8"/>
      <c r="CA41" s="45"/>
      <c r="CB41" s="8"/>
      <c r="CC41" s="45"/>
      <c r="CD41" s="8"/>
      <c r="CE41" s="45"/>
      <c r="CF41" s="8"/>
      <c r="CG41" s="45"/>
      <c r="CH41" s="8"/>
      <c r="CI41" s="45"/>
      <c r="CJ41" s="8"/>
      <c r="CK41" s="45"/>
      <c r="CL41" s="8"/>
      <c r="CM41" s="45"/>
      <c r="CN41" s="8"/>
      <c r="CO41" s="45"/>
      <c r="CP41" s="8"/>
      <c r="CQ41" s="45"/>
      <c r="CR41" s="8"/>
      <c r="CS41" s="45"/>
      <c r="CT41" s="8"/>
      <c r="CU41" s="45"/>
      <c r="CV41" s="8"/>
      <c r="CW41" s="45"/>
      <c r="CX41" s="8"/>
      <c r="CY41" s="45"/>
      <c r="CZ41" s="8"/>
      <c r="DA41" s="45"/>
      <c r="DB41" s="8"/>
      <c r="DC41" s="45"/>
      <c r="DD41" s="8"/>
      <c r="DE41" s="45"/>
      <c r="DF41" s="8"/>
      <c r="DG41" s="45"/>
      <c r="DH41" s="8"/>
      <c r="DI41" s="45"/>
      <c r="DJ41" s="8"/>
      <c r="DK41" s="45"/>
      <c r="DL41" s="8"/>
      <c r="DM41" s="45"/>
      <c r="DN41" s="8"/>
      <c r="DO41" s="45"/>
      <c r="DP41" s="8"/>
      <c r="DQ41" s="45"/>
      <c r="DR41" s="8"/>
    </row>
    <row r="42" spans="1:122" s="38" customFormat="1" x14ac:dyDescent="0.3">
      <c r="A42" s="21" t="s">
        <v>126</v>
      </c>
      <c r="B42" s="8">
        <v>2303204</v>
      </c>
      <c r="C42" s="61">
        <v>437</v>
      </c>
      <c r="D42" s="14">
        <v>1620.619321342481</v>
      </c>
      <c r="E42" s="18">
        <v>5</v>
      </c>
      <c r="F42" s="18">
        <v>18.542555164101614</v>
      </c>
      <c r="G42" s="7">
        <v>1.1441647597254004E-2</v>
      </c>
      <c r="H42" s="63">
        <v>26965</v>
      </c>
      <c r="I42" s="19">
        <v>1771650.5470053775</v>
      </c>
      <c r="J42" s="6">
        <v>66528462.822176889</v>
      </c>
      <c r="K42" s="5">
        <v>634.17899999999997</v>
      </c>
      <c r="L42" s="4">
        <v>42.519541012868608</v>
      </c>
      <c r="M42" s="6">
        <v>7476.01</v>
      </c>
      <c r="N42" s="8">
        <v>0.57799999999999996</v>
      </c>
      <c r="O42" s="15">
        <v>20.56</v>
      </c>
      <c r="P42" s="90">
        <v>66283013.684405714</v>
      </c>
      <c r="Q42" s="91">
        <v>88229753.791952536</v>
      </c>
      <c r="R42" s="15">
        <v>6</v>
      </c>
      <c r="S42" s="8">
        <v>4.8</v>
      </c>
      <c r="T42" s="8">
        <v>4.8</v>
      </c>
      <c r="U42" s="14">
        <v>99.606330842773403</v>
      </c>
      <c r="V42" s="20">
        <v>17685.29</v>
      </c>
      <c r="W42" s="48">
        <v>14.83</v>
      </c>
      <c r="X42" s="8">
        <v>31.17</v>
      </c>
      <c r="Y42" s="16">
        <v>56.160373513172999</v>
      </c>
      <c r="Z42" s="8">
        <v>0.74</v>
      </c>
      <c r="AA42" s="17">
        <v>1.2238086408</v>
      </c>
      <c r="AB42" s="34">
        <v>8.9375115890999997</v>
      </c>
      <c r="AC42" s="34">
        <v>0</v>
      </c>
      <c r="AD42" s="42">
        <v>1</v>
      </c>
      <c r="AE42" s="43">
        <v>0.46838176789300195</v>
      </c>
      <c r="AF42" s="34">
        <v>0</v>
      </c>
      <c r="AG42" s="44">
        <v>0.48399999999999999</v>
      </c>
      <c r="AH42" s="8">
        <v>0.28399999999999997</v>
      </c>
      <c r="AI42" s="17">
        <v>0.58399999999999996</v>
      </c>
      <c r="AJ42" s="8">
        <v>0.58299999999999996</v>
      </c>
      <c r="AK42" s="45">
        <v>0.51500000000000001</v>
      </c>
      <c r="AL42" s="85">
        <v>6.6604858149452995E-2</v>
      </c>
      <c r="AM42" s="44">
        <v>15.283842794759799</v>
      </c>
      <c r="AN42" s="8">
        <v>0.86956521739130432</v>
      </c>
      <c r="AO42" s="44">
        <v>0.96184210526315794</v>
      </c>
      <c r="AP42" s="85">
        <v>0.15034303727053588</v>
      </c>
      <c r="AQ42" s="45">
        <v>630.44687557945485</v>
      </c>
      <c r="AR42" s="8">
        <v>752.82773966252546</v>
      </c>
      <c r="AS42" s="45">
        <v>70.461709623586131</v>
      </c>
      <c r="AT42" s="8">
        <v>33.376599295382903</v>
      </c>
      <c r="AU42" s="45"/>
      <c r="AV42" s="45"/>
      <c r="AW42" s="8"/>
      <c r="AX42" s="45"/>
      <c r="AY42" s="8"/>
      <c r="AZ42" s="45"/>
      <c r="BA42" s="8"/>
      <c r="BB42" s="45"/>
      <c r="BC42" s="8"/>
      <c r="BD42" s="45"/>
      <c r="BE42" s="8"/>
      <c r="BF42" s="45"/>
      <c r="BG42" s="8"/>
      <c r="BH42" s="45"/>
      <c r="BI42" s="8"/>
      <c r="BJ42" s="45"/>
      <c r="BK42" s="8"/>
      <c r="BL42" s="45"/>
      <c r="BM42" s="8"/>
      <c r="BN42" s="8"/>
      <c r="BO42" s="45"/>
      <c r="BP42" s="8"/>
      <c r="BQ42" s="45"/>
      <c r="BR42" s="8"/>
      <c r="BS42" s="45"/>
      <c r="BT42" s="8"/>
      <c r="BU42" s="45"/>
      <c r="BV42" s="8"/>
      <c r="BW42" s="45"/>
      <c r="BX42" s="8"/>
      <c r="BY42" s="45"/>
      <c r="BZ42" s="8"/>
      <c r="CA42" s="45"/>
      <c r="CB42" s="8"/>
      <c r="CC42" s="45"/>
      <c r="CD42" s="8"/>
      <c r="CE42" s="45"/>
      <c r="CF42" s="8"/>
      <c r="CG42" s="45"/>
      <c r="CH42" s="8"/>
      <c r="CI42" s="45"/>
      <c r="CJ42" s="8"/>
      <c r="CK42" s="45"/>
      <c r="CL42" s="8"/>
      <c r="CM42" s="45"/>
      <c r="CN42" s="8"/>
      <c r="CO42" s="45"/>
      <c r="CP42" s="8"/>
      <c r="CQ42" s="45"/>
      <c r="CR42" s="8"/>
      <c r="CS42" s="45"/>
      <c r="CT42" s="8"/>
      <c r="CU42" s="45"/>
      <c r="CV42" s="8"/>
      <c r="CW42" s="45"/>
      <c r="CX42" s="8"/>
      <c r="CY42" s="45"/>
      <c r="CZ42" s="8"/>
      <c r="DA42" s="45"/>
      <c r="DB42" s="8"/>
      <c r="DC42" s="45"/>
      <c r="DD42" s="8"/>
      <c r="DE42" s="45"/>
      <c r="DF42" s="8"/>
      <c r="DG42" s="45"/>
      <c r="DH42" s="8"/>
      <c r="DI42" s="45"/>
      <c r="DJ42" s="8"/>
      <c r="DK42" s="45"/>
      <c r="DL42" s="8"/>
      <c r="DM42" s="45"/>
      <c r="DN42" s="8"/>
      <c r="DO42" s="45"/>
      <c r="DP42" s="8"/>
      <c r="DQ42" s="45"/>
      <c r="DR42" s="8"/>
    </row>
    <row r="43" spans="1:122" s="38" customFormat="1" x14ac:dyDescent="0.3">
      <c r="A43" s="21" t="s">
        <v>127</v>
      </c>
      <c r="B43" s="8">
        <v>2303303</v>
      </c>
      <c r="C43" s="61">
        <v>246</v>
      </c>
      <c r="D43" s="14">
        <v>1315.5783731750362</v>
      </c>
      <c r="E43" s="18">
        <v>4</v>
      </c>
      <c r="F43" s="18">
        <v>21.391518263008717</v>
      </c>
      <c r="G43" s="7">
        <v>1.6260162601626018E-2</v>
      </c>
      <c r="H43" s="63">
        <v>18699</v>
      </c>
      <c r="I43" s="19">
        <v>5843223.7552810302</v>
      </c>
      <c r="J43" s="6">
        <v>91192042.355206162</v>
      </c>
      <c r="K43" s="5">
        <v>1036.4169999999999</v>
      </c>
      <c r="L43" s="4">
        <v>18.04196573386967</v>
      </c>
      <c r="M43" s="6">
        <v>7267.16</v>
      </c>
      <c r="N43" s="8">
        <v>0.59699999999999998</v>
      </c>
      <c r="O43" s="15">
        <v>14.36</v>
      </c>
      <c r="P43" s="90">
        <v>84859417.99026686</v>
      </c>
      <c r="Q43" s="91">
        <v>67539458.259799987</v>
      </c>
      <c r="R43" s="15">
        <v>5.5</v>
      </c>
      <c r="S43" s="8">
        <v>5</v>
      </c>
      <c r="T43" s="8">
        <v>5</v>
      </c>
      <c r="U43" s="14">
        <v>91.588609966279506</v>
      </c>
      <c r="V43" s="20">
        <v>14315.95</v>
      </c>
      <c r="W43" s="48">
        <v>16.04</v>
      </c>
      <c r="X43" s="8">
        <v>31.15</v>
      </c>
      <c r="Y43" s="16">
        <v>43.959570030482901</v>
      </c>
      <c r="Z43" s="8">
        <v>0.86</v>
      </c>
      <c r="AA43" s="17">
        <v>1.0160971175</v>
      </c>
      <c r="AB43" s="34">
        <v>7.8613829617000004</v>
      </c>
      <c r="AC43" s="34">
        <v>0</v>
      </c>
      <c r="AD43" s="42">
        <v>1</v>
      </c>
      <c r="AE43" s="43">
        <v>0.55243173372111809</v>
      </c>
      <c r="AF43" s="34">
        <v>1</v>
      </c>
      <c r="AG43" s="44">
        <v>0.373</v>
      </c>
      <c r="AH43" s="8">
        <v>9.6000000000000002E-2</v>
      </c>
      <c r="AI43" s="17">
        <v>0.50800000000000001</v>
      </c>
      <c r="AJ43" s="8">
        <v>0.51500000000000001</v>
      </c>
      <c r="AK43" s="45">
        <v>0.51900000000000002</v>
      </c>
      <c r="AL43" s="85">
        <v>4.1766939408524523E-2</v>
      </c>
      <c r="AM43" s="44">
        <v>9.8522167487684698</v>
      </c>
      <c r="AN43" s="8">
        <v>0.82159624413145549</v>
      </c>
      <c r="AO43" s="44">
        <v>0.82159624413145549</v>
      </c>
      <c r="AP43" s="85">
        <v>0.17974223220493074</v>
      </c>
      <c r="AQ43" s="45">
        <v>454.56976308893525</v>
      </c>
      <c r="AR43" s="8">
        <v>861.00861008610082</v>
      </c>
      <c r="AS43" s="45">
        <v>53.478795657521793</v>
      </c>
      <c r="AT43" s="8">
        <v>10.695759131504358</v>
      </c>
      <c r="AU43" s="45"/>
      <c r="AV43" s="45"/>
      <c r="AW43" s="8"/>
      <c r="AX43" s="45"/>
      <c r="AY43" s="8"/>
      <c r="AZ43" s="45"/>
      <c r="BA43" s="8"/>
      <c r="BB43" s="45"/>
      <c r="BC43" s="8"/>
      <c r="BD43" s="45"/>
      <c r="BE43" s="8"/>
      <c r="BF43" s="45"/>
      <c r="BG43" s="8"/>
      <c r="BH43" s="45"/>
      <c r="BI43" s="8"/>
      <c r="BJ43" s="45"/>
      <c r="BK43" s="8"/>
      <c r="BL43" s="45"/>
      <c r="BM43" s="8"/>
      <c r="BN43" s="8"/>
      <c r="BO43" s="45"/>
      <c r="BP43" s="8"/>
      <c r="BQ43" s="45"/>
      <c r="BR43" s="8"/>
      <c r="BS43" s="45"/>
      <c r="BT43" s="8"/>
      <c r="BU43" s="45"/>
      <c r="BV43" s="8"/>
      <c r="BW43" s="45"/>
      <c r="BX43" s="8"/>
      <c r="BY43" s="45"/>
      <c r="BZ43" s="8"/>
      <c r="CA43" s="45"/>
      <c r="CB43" s="8"/>
      <c r="CC43" s="45"/>
      <c r="CD43" s="8"/>
      <c r="CE43" s="45"/>
      <c r="CF43" s="8"/>
      <c r="CG43" s="45"/>
      <c r="CH43" s="8"/>
      <c r="CI43" s="45"/>
      <c r="CJ43" s="8"/>
      <c r="CK43" s="45"/>
      <c r="CL43" s="8"/>
      <c r="CM43" s="45"/>
      <c r="CN43" s="8"/>
      <c r="CO43" s="45"/>
      <c r="CP43" s="8"/>
      <c r="CQ43" s="45"/>
      <c r="CR43" s="8"/>
      <c r="CS43" s="45"/>
      <c r="CT43" s="8"/>
      <c r="CU43" s="45"/>
      <c r="CV43" s="8"/>
      <c r="CW43" s="45"/>
      <c r="CX43" s="8"/>
      <c r="CY43" s="45"/>
      <c r="CZ43" s="8"/>
      <c r="DA43" s="45"/>
      <c r="DB43" s="8"/>
      <c r="DC43" s="45"/>
      <c r="DD43" s="8"/>
      <c r="DE43" s="45"/>
      <c r="DF43" s="8"/>
      <c r="DG43" s="45"/>
      <c r="DH43" s="8"/>
      <c r="DI43" s="45"/>
      <c r="DJ43" s="8"/>
      <c r="DK43" s="45"/>
      <c r="DL43" s="8"/>
      <c r="DM43" s="45"/>
      <c r="DN43" s="8"/>
      <c r="DO43" s="45"/>
      <c r="DP43" s="8"/>
      <c r="DQ43" s="45"/>
      <c r="DR43" s="8"/>
    </row>
    <row r="44" spans="1:122" s="38" customFormat="1" x14ac:dyDescent="0.3">
      <c r="A44" s="21" t="s">
        <v>128</v>
      </c>
      <c r="B44" s="8">
        <v>2303402</v>
      </c>
      <c r="C44" s="61">
        <v>349</v>
      </c>
      <c r="D44" s="14">
        <v>1982.2787686016131</v>
      </c>
      <c r="E44" s="18">
        <v>3</v>
      </c>
      <c r="F44" s="18">
        <v>17.039645575372031</v>
      </c>
      <c r="G44" s="7">
        <v>8.5959885386819486E-3</v>
      </c>
      <c r="H44" s="63">
        <v>17606</v>
      </c>
      <c r="I44" s="19">
        <v>8397364.307622401</v>
      </c>
      <c r="J44" s="6">
        <v>89376348.971941382</v>
      </c>
      <c r="K44" s="5">
        <v>363.22</v>
      </c>
      <c r="L44" s="4">
        <v>48.472000440504374</v>
      </c>
      <c r="M44" s="6">
        <v>6609.89</v>
      </c>
      <c r="N44" s="8">
        <v>0.59299999999999997</v>
      </c>
      <c r="O44" s="15">
        <v>19.37</v>
      </c>
      <c r="P44" s="90">
        <v>73509370.328297183</v>
      </c>
      <c r="Q44" s="91">
        <v>95855369.646711349</v>
      </c>
      <c r="R44" s="15">
        <v>6.9</v>
      </c>
      <c r="S44" s="8">
        <v>5.2</v>
      </c>
      <c r="T44" s="8">
        <v>4.5999999999999996</v>
      </c>
      <c r="U44" s="14">
        <v>99.067989007049803</v>
      </c>
      <c r="V44" s="20">
        <v>10849.94</v>
      </c>
      <c r="W44" s="48">
        <v>11.36</v>
      </c>
      <c r="X44" s="8">
        <v>28.13</v>
      </c>
      <c r="Y44" s="16">
        <v>42.114786542267503</v>
      </c>
      <c r="Z44" s="8">
        <v>1.31</v>
      </c>
      <c r="AA44" s="17">
        <v>0.90878109740000002</v>
      </c>
      <c r="AB44" s="34">
        <v>9.9965920709000002</v>
      </c>
      <c r="AC44" s="34">
        <v>0</v>
      </c>
      <c r="AD44" s="42">
        <v>1</v>
      </c>
      <c r="AE44" s="43">
        <v>0.52466260599546155</v>
      </c>
      <c r="AF44" s="34">
        <v>1</v>
      </c>
      <c r="AG44" s="44">
        <v>0.41599999999999998</v>
      </c>
      <c r="AH44" s="8">
        <v>0.20300000000000001</v>
      </c>
      <c r="AI44" s="17">
        <v>0.52500000000000002</v>
      </c>
      <c r="AJ44" s="8">
        <v>0.51900000000000002</v>
      </c>
      <c r="AK44" s="45">
        <v>0.65700000000000003</v>
      </c>
      <c r="AL44" s="85">
        <v>5.6571623310235145E-2</v>
      </c>
      <c r="AM44" s="44">
        <v>11.278195488721799</v>
      </c>
      <c r="AN44" s="8">
        <v>0.85315985130111527</v>
      </c>
      <c r="AO44" s="44">
        <v>0.85315985130111527</v>
      </c>
      <c r="AP44" s="85">
        <v>0.13898670907645122</v>
      </c>
      <c r="AQ44" s="45">
        <v>386.23196637509943</v>
      </c>
      <c r="AR44" s="8">
        <v>869.02192434397364</v>
      </c>
      <c r="AS44" s="45">
        <v>130.6372827445189</v>
      </c>
      <c r="AT44" s="8">
        <v>39.759173009201405</v>
      </c>
      <c r="AU44" s="45"/>
      <c r="AV44" s="45"/>
      <c r="AW44" s="8"/>
      <c r="AX44" s="45"/>
      <c r="AY44" s="8"/>
      <c r="AZ44" s="45"/>
      <c r="BA44" s="8"/>
      <c r="BB44" s="45"/>
      <c r="BC44" s="8"/>
      <c r="BD44" s="45"/>
      <c r="BE44" s="8"/>
      <c r="BF44" s="45"/>
      <c r="BG44" s="8"/>
      <c r="BH44" s="45"/>
      <c r="BI44" s="8"/>
      <c r="BJ44" s="45"/>
      <c r="BK44" s="8"/>
      <c r="BL44" s="45"/>
      <c r="BM44" s="8"/>
      <c r="BN44" s="8"/>
      <c r="BO44" s="45"/>
      <c r="BP44" s="8"/>
      <c r="BQ44" s="45"/>
      <c r="BR44" s="8"/>
      <c r="BS44" s="45"/>
      <c r="BT44" s="8"/>
      <c r="BU44" s="45"/>
      <c r="BV44" s="8"/>
      <c r="BW44" s="45"/>
      <c r="BX44" s="8"/>
      <c r="BY44" s="45"/>
      <c r="BZ44" s="8"/>
      <c r="CA44" s="45"/>
      <c r="CB44" s="8"/>
      <c r="CC44" s="45"/>
      <c r="CD44" s="8"/>
      <c r="CE44" s="45"/>
      <c r="CF44" s="8"/>
      <c r="CG44" s="45"/>
      <c r="CH44" s="8"/>
      <c r="CI44" s="45"/>
      <c r="CJ44" s="8"/>
      <c r="CK44" s="45"/>
      <c r="CL44" s="8"/>
      <c r="CM44" s="45"/>
      <c r="CN44" s="8"/>
      <c r="CO44" s="45"/>
      <c r="CP44" s="8"/>
      <c r="CQ44" s="45"/>
      <c r="CR44" s="8"/>
      <c r="CS44" s="45"/>
      <c r="CT44" s="8"/>
      <c r="CU44" s="45"/>
      <c r="CV44" s="8"/>
      <c r="CW44" s="45"/>
      <c r="CX44" s="8"/>
      <c r="CY44" s="45"/>
      <c r="CZ44" s="8"/>
      <c r="DA44" s="45"/>
      <c r="DB44" s="8"/>
      <c r="DC44" s="45"/>
      <c r="DD44" s="8"/>
      <c r="DE44" s="45"/>
      <c r="DF44" s="8"/>
      <c r="DG44" s="45"/>
      <c r="DH44" s="8"/>
      <c r="DI44" s="45"/>
      <c r="DJ44" s="8"/>
      <c r="DK44" s="45"/>
      <c r="DL44" s="8"/>
      <c r="DM44" s="45"/>
      <c r="DN44" s="8"/>
      <c r="DO44" s="45"/>
      <c r="DP44" s="8"/>
      <c r="DQ44" s="45"/>
      <c r="DR44" s="8"/>
    </row>
    <row r="45" spans="1:122" s="38" customFormat="1" x14ac:dyDescent="0.3">
      <c r="A45" s="21" t="s">
        <v>129</v>
      </c>
      <c r="B45" s="8">
        <v>2303501</v>
      </c>
      <c r="C45" s="61">
        <v>1239</v>
      </c>
      <c r="D45" s="14">
        <v>1726.9977558786225</v>
      </c>
      <c r="E45" s="18">
        <v>83</v>
      </c>
      <c r="F45" s="18">
        <v>115.69072940914096</v>
      </c>
      <c r="G45" s="7">
        <v>6.6989507667473774E-2</v>
      </c>
      <c r="H45" s="63">
        <v>71743</v>
      </c>
      <c r="I45" s="19">
        <v>7417036.7561992109</v>
      </c>
      <c r="J45" s="6">
        <v>103948538.53337608</v>
      </c>
      <c r="K45" s="5">
        <v>838.11500000000001</v>
      </c>
      <c r="L45" s="4">
        <v>85.600424762711555</v>
      </c>
      <c r="M45" s="6">
        <v>10317.32</v>
      </c>
      <c r="N45" s="8">
        <v>0.64600000000000002</v>
      </c>
      <c r="O45" s="15">
        <v>38.21</v>
      </c>
      <c r="P45" s="90">
        <v>59526473.955647245</v>
      </c>
      <c r="Q45" s="91">
        <v>76407181.062960848</v>
      </c>
      <c r="R45" s="15">
        <v>6.7</v>
      </c>
      <c r="S45" s="8">
        <v>5.4</v>
      </c>
      <c r="T45" s="8">
        <v>4.4000000000000004</v>
      </c>
      <c r="U45" s="14">
        <v>97.319123082375597</v>
      </c>
      <c r="V45" s="20">
        <v>129895.73</v>
      </c>
      <c r="W45" s="48">
        <v>33.450000000000003</v>
      </c>
      <c r="X45" s="8">
        <v>27.05</v>
      </c>
      <c r="Y45" s="16">
        <v>44.815317310887103</v>
      </c>
      <c r="Z45" s="8">
        <v>0.35</v>
      </c>
      <c r="AA45" s="17">
        <v>0.90601173629999998</v>
      </c>
      <c r="AB45" s="34">
        <v>8.3910625427000003</v>
      </c>
      <c r="AC45" s="34">
        <v>1</v>
      </c>
      <c r="AD45" s="42">
        <v>0</v>
      </c>
      <c r="AE45" s="43">
        <v>0.15096307943515466</v>
      </c>
      <c r="AF45" s="34">
        <v>0</v>
      </c>
      <c r="AG45" s="44">
        <v>0.48499999999999999</v>
      </c>
      <c r="AH45" s="8">
        <v>0.47099999999999997</v>
      </c>
      <c r="AI45" s="17">
        <v>0.495</v>
      </c>
      <c r="AJ45" s="8">
        <v>0.48899999999999999</v>
      </c>
      <c r="AK45" s="45">
        <v>0.54400000000000004</v>
      </c>
      <c r="AL45" s="85">
        <v>9.9020113460546677E-2</v>
      </c>
      <c r="AM45" s="44">
        <v>11.173184357541899</v>
      </c>
      <c r="AN45" s="8">
        <v>0.67771684945164523</v>
      </c>
      <c r="AO45" s="44">
        <v>0.67771684945164523</v>
      </c>
      <c r="AP45" s="85">
        <v>0.12857003470721881</v>
      </c>
      <c r="AQ45" s="45">
        <v>418.15926292460586</v>
      </c>
      <c r="AR45" s="8">
        <v>671.84254909886681</v>
      </c>
      <c r="AS45" s="45">
        <v>62.723889438690883</v>
      </c>
      <c r="AT45" s="8">
        <v>11.15091367798949</v>
      </c>
      <c r="AU45" s="45"/>
      <c r="AV45" s="45"/>
      <c r="AW45" s="8"/>
      <c r="AX45" s="45"/>
      <c r="AY45" s="8"/>
      <c r="AZ45" s="45"/>
      <c r="BA45" s="8"/>
      <c r="BB45" s="45"/>
      <c r="BC45" s="8"/>
      <c r="BD45" s="45"/>
      <c r="BE45" s="8"/>
      <c r="BF45" s="45"/>
      <c r="BG45" s="8"/>
      <c r="BH45" s="45"/>
      <c r="BI45" s="8"/>
      <c r="BJ45" s="45"/>
      <c r="BK45" s="8"/>
      <c r="BL45" s="45"/>
      <c r="BM45" s="8"/>
      <c r="BN45" s="8"/>
      <c r="BO45" s="45"/>
      <c r="BP45" s="8"/>
      <c r="BQ45" s="45"/>
      <c r="BR45" s="8"/>
      <c r="BS45" s="45"/>
      <c r="BT45" s="8"/>
      <c r="BU45" s="45"/>
      <c r="BV45" s="8"/>
      <c r="BW45" s="45"/>
      <c r="BX45" s="8"/>
      <c r="BY45" s="45"/>
      <c r="BZ45" s="8"/>
      <c r="CA45" s="45"/>
      <c r="CB45" s="8"/>
      <c r="CC45" s="45"/>
      <c r="CD45" s="8"/>
      <c r="CE45" s="45"/>
      <c r="CF45" s="8"/>
      <c r="CG45" s="45"/>
      <c r="CH45" s="8"/>
      <c r="CI45" s="45"/>
      <c r="CJ45" s="8"/>
      <c r="CK45" s="45"/>
      <c r="CL45" s="8"/>
      <c r="CM45" s="45"/>
      <c r="CN45" s="8"/>
      <c r="CO45" s="45"/>
      <c r="CP45" s="8"/>
      <c r="CQ45" s="45"/>
      <c r="CR45" s="8"/>
      <c r="CS45" s="45"/>
      <c r="CT45" s="8"/>
      <c r="CU45" s="45"/>
      <c r="CV45" s="8"/>
      <c r="CW45" s="45"/>
      <c r="CX45" s="8"/>
      <c r="CY45" s="45"/>
      <c r="CZ45" s="8"/>
      <c r="DA45" s="45"/>
      <c r="DB45" s="8"/>
      <c r="DC45" s="45"/>
      <c r="DD45" s="8"/>
      <c r="DE45" s="45"/>
      <c r="DF45" s="8"/>
      <c r="DG45" s="45"/>
      <c r="DH45" s="8"/>
      <c r="DI45" s="45"/>
      <c r="DJ45" s="8"/>
      <c r="DK45" s="45"/>
      <c r="DL45" s="8"/>
      <c r="DM45" s="45"/>
      <c r="DN45" s="8"/>
      <c r="DO45" s="45"/>
      <c r="DP45" s="8"/>
      <c r="DQ45" s="45"/>
      <c r="DR45" s="8"/>
    </row>
    <row r="46" spans="1:122" s="38" customFormat="1" x14ac:dyDescent="0.3">
      <c r="A46" s="21" t="s">
        <v>130</v>
      </c>
      <c r="B46" s="8">
        <v>2303600</v>
      </c>
      <c r="C46" s="61">
        <v>103</v>
      </c>
      <c r="D46" s="14">
        <v>497.63262150932457</v>
      </c>
      <c r="E46" s="18">
        <v>3</v>
      </c>
      <c r="F46" s="18">
        <v>14.494154024543434</v>
      </c>
      <c r="G46" s="7">
        <v>2.9126213592233011E-2</v>
      </c>
      <c r="H46" s="63">
        <v>20698</v>
      </c>
      <c r="I46" s="19">
        <v>1203686.2981930622</v>
      </c>
      <c r="J46" s="6">
        <v>47169774.857474156</v>
      </c>
      <c r="K46" s="5">
        <v>488.15300000000002</v>
      </c>
      <c r="L46" s="4">
        <v>42.400640782705423</v>
      </c>
      <c r="M46" s="6">
        <v>5797.02</v>
      </c>
      <c r="N46" s="8">
        <v>0.61799999999999999</v>
      </c>
      <c r="O46" s="15">
        <v>9.75</v>
      </c>
      <c r="P46" s="90">
        <v>59230999.806744613</v>
      </c>
      <c r="Q46" s="91">
        <v>83433617.257706061</v>
      </c>
      <c r="R46" s="15">
        <v>6</v>
      </c>
      <c r="S46" s="8">
        <v>4.9000000000000004</v>
      </c>
      <c r="T46" s="8">
        <v>4</v>
      </c>
      <c r="U46" s="14">
        <v>98.993462695859705</v>
      </c>
      <c r="V46" s="20">
        <v>8427.56</v>
      </c>
      <c r="W46" s="48">
        <v>9.66</v>
      </c>
      <c r="X46" s="8">
        <v>29.41</v>
      </c>
      <c r="Y46" s="16">
        <v>23.0798715921614</v>
      </c>
      <c r="Z46" s="8">
        <v>0.68</v>
      </c>
      <c r="AA46" s="17">
        <v>0.8696492415</v>
      </c>
      <c r="AB46" s="34">
        <v>8.3099816407000002</v>
      </c>
      <c r="AC46" s="34">
        <v>0</v>
      </c>
      <c r="AD46" s="42">
        <v>1</v>
      </c>
      <c r="AE46" s="43">
        <v>0.5343825020005335</v>
      </c>
      <c r="AF46" s="34">
        <v>1</v>
      </c>
      <c r="AG46" s="44">
        <v>0.47499999999999998</v>
      </c>
      <c r="AH46" s="8">
        <v>0.221</v>
      </c>
      <c r="AI46" s="17">
        <v>0.54800000000000004</v>
      </c>
      <c r="AJ46" s="8">
        <v>0.65700000000000003</v>
      </c>
      <c r="AK46" s="45">
        <v>0.50700000000000001</v>
      </c>
      <c r="AL46" s="85">
        <v>2.5316455696202531E-2</v>
      </c>
      <c r="AM46" s="44">
        <v>22.0588235294118</v>
      </c>
      <c r="AN46" s="8">
        <v>0.83518518518518503</v>
      </c>
      <c r="AO46" s="44">
        <v>0.83518518518518503</v>
      </c>
      <c r="AP46" s="85">
        <v>0.1322349985505846</v>
      </c>
      <c r="AQ46" s="45">
        <v>212.5809256933037</v>
      </c>
      <c r="AR46" s="8">
        <v>410.66769736206402</v>
      </c>
      <c r="AS46" s="45">
        <v>19.325538699391245</v>
      </c>
      <c r="AT46" s="8">
        <v>0</v>
      </c>
      <c r="AU46" s="45"/>
      <c r="AV46" s="45"/>
      <c r="AW46" s="8"/>
      <c r="AX46" s="45"/>
      <c r="AY46" s="8"/>
      <c r="AZ46" s="45"/>
      <c r="BA46" s="8"/>
      <c r="BB46" s="45"/>
      <c r="BC46" s="8"/>
      <c r="BD46" s="45"/>
      <c r="BE46" s="8"/>
      <c r="BF46" s="45"/>
      <c r="BG46" s="8"/>
      <c r="BH46" s="45"/>
      <c r="BI46" s="8"/>
      <c r="BJ46" s="45"/>
      <c r="BK46" s="8"/>
      <c r="BL46" s="45"/>
      <c r="BM46" s="8"/>
      <c r="BN46" s="8"/>
      <c r="BO46" s="45"/>
      <c r="BP46" s="8"/>
      <c r="BQ46" s="45"/>
      <c r="BR46" s="8"/>
      <c r="BS46" s="45"/>
      <c r="BT46" s="8"/>
      <c r="BU46" s="45"/>
      <c r="BV46" s="8"/>
      <c r="BW46" s="45"/>
      <c r="BX46" s="8"/>
      <c r="BY46" s="45"/>
      <c r="BZ46" s="8"/>
      <c r="CA46" s="45"/>
      <c r="CB46" s="8"/>
      <c r="CC46" s="45"/>
      <c r="CD46" s="8"/>
      <c r="CE46" s="45"/>
      <c r="CF46" s="8"/>
      <c r="CG46" s="45"/>
      <c r="CH46" s="8"/>
      <c r="CI46" s="45"/>
      <c r="CJ46" s="8"/>
      <c r="CK46" s="45"/>
      <c r="CL46" s="8"/>
      <c r="CM46" s="45"/>
      <c r="CN46" s="8"/>
      <c r="CO46" s="45"/>
      <c r="CP46" s="8"/>
      <c r="CQ46" s="45"/>
      <c r="CR46" s="8"/>
      <c r="CS46" s="45"/>
      <c r="CT46" s="8"/>
      <c r="CU46" s="45"/>
      <c r="CV46" s="8"/>
      <c r="CW46" s="45"/>
      <c r="CX46" s="8"/>
      <c r="CY46" s="45"/>
      <c r="CZ46" s="8"/>
      <c r="DA46" s="45"/>
      <c r="DB46" s="8"/>
      <c r="DC46" s="45"/>
      <c r="DD46" s="8"/>
      <c r="DE46" s="45"/>
      <c r="DF46" s="8"/>
      <c r="DG46" s="45"/>
      <c r="DH46" s="8"/>
      <c r="DI46" s="45"/>
      <c r="DJ46" s="8"/>
      <c r="DK46" s="45"/>
      <c r="DL46" s="8"/>
      <c r="DM46" s="45"/>
      <c r="DN46" s="8"/>
      <c r="DO46" s="45"/>
      <c r="DP46" s="8"/>
      <c r="DQ46" s="45"/>
      <c r="DR46" s="8"/>
    </row>
    <row r="47" spans="1:122" s="38" customFormat="1" x14ac:dyDescent="0.3">
      <c r="A47" s="21" t="s">
        <v>131</v>
      </c>
      <c r="B47" s="8">
        <v>2303659</v>
      </c>
      <c r="C47" s="61">
        <v>241</v>
      </c>
      <c r="D47" s="14">
        <v>2330.3036163217944</v>
      </c>
      <c r="E47" s="18">
        <v>2</v>
      </c>
      <c r="F47" s="18">
        <v>19.338619222587507</v>
      </c>
      <c r="G47" s="7">
        <v>8.2987551867219917E-3</v>
      </c>
      <c r="H47" s="63">
        <v>10342</v>
      </c>
      <c r="I47" s="19">
        <v>2428442.5643009092</v>
      </c>
      <c r="J47" s="6">
        <v>103123187.00444789</v>
      </c>
      <c r="K47" s="5">
        <v>784.02200000000005</v>
      </c>
      <c r="L47" s="4">
        <v>13.190956376224136</v>
      </c>
      <c r="M47" s="6">
        <v>7723.1</v>
      </c>
      <c r="N47" s="8">
        <v>0.60899999999999999</v>
      </c>
      <c r="O47" s="15">
        <v>21.2</v>
      </c>
      <c r="P47" s="90">
        <v>77258444.304776639</v>
      </c>
      <c r="Q47" s="91">
        <v>139313260.78128022</v>
      </c>
      <c r="R47" s="15">
        <v>8.1999999999999993</v>
      </c>
      <c r="S47" s="8">
        <v>6.9</v>
      </c>
      <c r="T47" s="8">
        <v>3.9</v>
      </c>
      <c r="U47" s="14">
        <v>99.725812769290997</v>
      </c>
      <c r="V47" s="20">
        <v>7551.05</v>
      </c>
      <c r="W47" s="48">
        <v>19.34</v>
      </c>
      <c r="X47" s="8">
        <v>36.590000000000003</v>
      </c>
      <c r="Y47" s="16">
        <v>55.965690053970697</v>
      </c>
      <c r="Z47" s="8">
        <v>0.87</v>
      </c>
      <c r="AA47" s="17">
        <v>2.2239412106000001</v>
      </c>
      <c r="AB47" s="34">
        <v>10.6362405724</v>
      </c>
      <c r="AC47" s="34">
        <v>0</v>
      </c>
      <c r="AD47" s="42">
        <v>1</v>
      </c>
      <c r="AE47" s="43">
        <v>0.45789790996784568</v>
      </c>
      <c r="AF47" s="34">
        <v>0</v>
      </c>
      <c r="AG47" s="44">
        <v>0.435</v>
      </c>
      <c r="AH47" s="8">
        <v>0.23100000000000001</v>
      </c>
      <c r="AI47" s="17">
        <v>0.52900000000000003</v>
      </c>
      <c r="AJ47" s="8">
        <v>0.54400000000000004</v>
      </c>
      <c r="AK47" s="45">
        <v>0.55600000000000005</v>
      </c>
      <c r="AL47" s="85">
        <v>6.3527364146199958E-2</v>
      </c>
      <c r="AM47" s="44">
        <v>9.0090090090090094</v>
      </c>
      <c r="AN47" s="8">
        <v>0.73983739837398399</v>
      </c>
      <c r="AO47" s="44">
        <v>0.7398373983739841</v>
      </c>
      <c r="AP47" s="85">
        <v>0.1586733707213305</v>
      </c>
      <c r="AQ47" s="45">
        <v>396.44169406304388</v>
      </c>
      <c r="AR47" s="8">
        <v>425.44962289692518</v>
      </c>
      <c r="AS47" s="45">
        <v>58.015857667762525</v>
      </c>
      <c r="AT47" s="8">
        <v>38.677238445175014</v>
      </c>
      <c r="AU47" s="45"/>
      <c r="AV47" s="45"/>
      <c r="AW47" s="8"/>
      <c r="AX47" s="45"/>
      <c r="AY47" s="8"/>
      <c r="AZ47" s="45"/>
      <c r="BA47" s="8"/>
      <c r="BB47" s="45"/>
      <c r="BC47" s="8"/>
      <c r="BD47" s="45"/>
      <c r="BE47" s="8"/>
      <c r="BF47" s="45"/>
      <c r="BG47" s="8"/>
      <c r="BH47" s="45"/>
      <c r="BI47" s="8"/>
      <c r="BJ47" s="45"/>
      <c r="BK47" s="8"/>
      <c r="BL47" s="45"/>
      <c r="BM47" s="8"/>
      <c r="BN47" s="8"/>
      <c r="BO47" s="45"/>
      <c r="BP47" s="8"/>
      <c r="BQ47" s="45"/>
      <c r="BR47" s="8"/>
      <c r="BS47" s="45"/>
      <c r="BT47" s="8"/>
      <c r="BU47" s="45"/>
      <c r="BV47" s="8"/>
      <c r="BW47" s="45"/>
      <c r="BX47" s="8"/>
      <c r="BY47" s="45"/>
      <c r="BZ47" s="8"/>
      <c r="CA47" s="45"/>
      <c r="CB47" s="8"/>
      <c r="CC47" s="45"/>
      <c r="CD47" s="8"/>
      <c r="CE47" s="45"/>
      <c r="CF47" s="8"/>
      <c r="CG47" s="45"/>
      <c r="CH47" s="8"/>
      <c r="CI47" s="45"/>
      <c r="CJ47" s="8"/>
      <c r="CK47" s="45"/>
      <c r="CL47" s="8"/>
      <c r="CM47" s="45"/>
      <c r="CN47" s="8"/>
      <c r="CO47" s="45"/>
      <c r="CP47" s="8"/>
      <c r="CQ47" s="45"/>
      <c r="CR47" s="8"/>
      <c r="CS47" s="45"/>
      <c r="CT47" s="8"/>
      <c r="CU47" s="45"/>
      <c r="CV47" s="8"/>
      <c r="CW47" s="45"/>
      <c r="CX47" s="8"/>
      <c r="CY47" s="45"/>
      <c r="CZ47" s="8"/>
      <c r="DA47" s="45"/>
      <c r="DB47" s="8"/>
      <c r="DC47" s="45"/>
      <c r="DD47" s="8"/>
      <c r="DE47" s="45"/>
      <c r="DF47" s="8"/>
      <c r="DG47" s="45"/>
      <c r="DH47" s="8"/>
      <c r="DI47" s="45"/>
      <c r="DJ47" s="8"/>
      <c r="DK47" s="45"/>
      <c r="DL47" s="8"/>
      <c r="DM47" s="45"/>
      <c r="DN47" s="8"/>
      <c r="DO47" s="45"/>
      <c r="DP47" s="8"/>
      <c r="DQ47" s="45"/>
      <c r="DR47" s="8"/>
    </row>
    <row r="48" spans="1:122" s="38" customFormat="1" x14ac:dyDescent="0.3">
      <c r="A48" s="21" t="s">
        <v>132</v>
      </c>
      <c r="B48" s="8">
        <v>2303709</v>
      </c>
      <c r="C48" s="61">
        <v>5063</v>
      </c>
      <c r="D48" s="14">
        <v>1400.9407858328723</v>
      </c>
      <c r="E48" s="18">
        <v>318</v>
      </c>
      <c r="F48" s="18">
        <v>87.991145545102384</v>
      </c>
      <c r="G48" s="7">
        <v>6.2808611495160968E-2</v>
      </c>
      <c r="H48" s="63">
        <v>361400</v>
      </c>
      <c r="I48" s="19">
        <v>4952744.3746541226</v>
      </c>
      <c r="J48" s="6">
        <v>90072883.231876045</v>
      </c>
      <c r="K48" s="5">
        <v>1223.2460000000001</v>
      </c>
      <c r="L48" s="4">
        <v>295.44343492641707</v>
      </c>
      <c r="M48" s="6">
        <v>13944.16</v>
      </c>
      <c r="N48" s="8">
        <v>0.68200000000000005</v>
      </c>
      <c r="O48" s="15">
        <v>36.729999999999997</v>
      </c>
      <c r="P48" s="90">
        <v>49237421.997786388</v>
      </c>
      <c r="Q48" s="91">
        <v>67777689.457664639</v>
      </c>
      <c r="R48" s="15">
        <v>5.2</v>
      </c>
      <c r="S48" s="8">
        <v>4.2</v>
      </c>
      <c r="T48" s="8">
        <v>4</v>
      </c>
      <c r="U48" s="14">
        <v>95.760492136154497</v>
      </c>
      <c r="V48" s="20">
        <v>598953.93999999994</v>
      </c>
      <c r="W48" s="48">
        <v>53.13</v>
      </c>
      <c r="X48" s="8">
        <v>30.87</v>
      </c>
      <c r="Y48" s="16">
        <v>28.672387544768501</v>
      </c>
      <c r="Z48" s="8">
        <v>0.26</v>
      </c>
      <c r="AA48" s="17">
        <v>0.4537908135</v>
      </c>
      <c r="AB48" s="34">
        <v>5.5589374653999997</v>
      </c>
      <c r="AC48" s="34">
        <v>1</v>
      </c>
      <c r="AD48" s="42">
        <v>1</v>
      </c>
      <c r="AE48" s="43">
        <v>0.10822545407616127</v>
      </c>
      <c r="AF48" s="34">
        <v>0</v>
      </c>
      <c r="AG48" s="44">
        <v>0.42299999999999999</v>
      </c>
      <c r="AH48" s="8">
        <v>0.45800000000000002</v>
      </c>
      <c r="AI48" s="17">
        <v>0.42799999999999999</v>
      </c>
      <c r="AJ48" s="8">
        <v>0.38200000000000001</v>
      </c>
      <c r="AK48" s="45">
        <v>0.58799999999999997</v>
      </c>
      <c r="AL48" s="85">
        <v>0.1090453790813503</v>
      </c>
      <c r="AM48" s="44">
        <v>12.916510670160999</v>
      </c>
      <c r="AN48" s="8">
        <v>0.68174281503316125</v>
      </c>
      <c r="AO48" s="44">
        <v>0.68174281503316125</v>
      </c>
      <c r="AP48" s="85">
        <v>0.10141671278361926</v>
      </c>
      <c r="AQ48" s="45">
        <v>310.18262313226342</v>
      </c>
      <c r="AR48" s="8">
        <v>408.13503043718873</v>
      </c>
      <c r="AS48" s="45">
        <v>28.223574986164916</v>
      </c>
      <c r="AT48" s="8">
        <v>40.12174875484228</v>
      </c>
      <c r="AU48" s="45"/>
      <c r="AV48" s="45"/>
      <c r="AW48" s="8"/>
      <c r="AX48" s="45"/>
      <c r="AY48" s="8"/>
      <c r="AZ48" s="45"/>
      <c r="BA48" s="8"/>
      <c r="BB48" s="45"/>
      <c r="BC48" s="8"/>
      <c r="BD48" s="45"/>
      <c r="BE48" s="8"/>
      <c r="BF48" s="45"/>
      <c r="BG48" s="8"/>
      <c r="BH48" s="45"/>
      <c r="BI48" s="8"/>
      <c r="BJ48" s="45"/>
      <c r="BK48" s="8"/>
      <c r="BL48" s="45"/>
      <c r="BM48" s="8"/>
      <c r="BN48" s="8"/>
      <c r="BO48" s="45"/>
      <c r="BP48" s="8"/>
      <c r="BQ48" s="45"/>
      <c r="BR48" s="8"/>
      <c r="BS48" s="45"/>
      <c r="BT48" s="8"/>
      <c r="BU48" s="45"/>
      <c r="BV48" s="8"/>
      <c r="BW48" s="45"/>
      <c r="BX48" s="8"/>
      <c r="BY48" s="45"/>
      <c r="BZ48" s="8"/>
      <c r="CA48" s="45"/>
      <c r="CB48" s="8"/>
      <c r="CC48" s="45"/>
      <c r="CD48" s="8"/>
      <c r="CE48" s="45"/>
      <c r="CF48" s="8"/>
      <c r="CG48" s="45"/>
      <c r="CH48" s="8"/>
      <c r="CI48" s="45"/>
      <c r="CJ48" s="8"/>
      <c r="CK48" s="45"/>
      <c r="CL48" s="8"/>
      <c r="CM48" s="45"/>
      <c r="CN48" s="8"/>
      <c r="CO48" s="45"/>
      <c r="CP48" s="8"/>
      <c r="CQ48" s="45"/>
      <c r="CR48" s="8"/>
      <c r="CS48" s="45"/>
      <c r="CT48" s="8"/>
      <c r="CU48" s="45"/>
      <c r="CV48" s="8"/>
      <c r="CW48" s="45"/>
      <c r="CX48" s="8"/>
      <c r="CY48" s="45"/>
      <c r="CZ48" s="8"/>
      <c r="DA48" s="45"/>
      <c r="DB48" s="8"/>
      <c r="DC48" s="45"/>
      <c r="DD48" s="8"/>
      <c r="DE48" s="45"/>
      <c r="DF48" s="8"/>
      <c r="DG48" s="45"/>
      <c r="DH48" s="8"/>
      <c r="DI48" s="45"/>
      <c r="DJ48" s="8"/>
      <c r="DK48" s="45"/>
      <c r="DL48" s="8"/>
      <c r="DM48" s="45"/>
      <c r="DN48" s="8"/>
      <c r="DO48" s="45"/>
      <c r="DP48" s="8"/>
      <c r="DQ48" s="45"/>
      <c r="DR48" s="8"/>
    </row>
    <row r="49" spans="1:122" s="38" customFormat="1" x14ac:dyDescent="0.3">
      <c r="A49" s="21" t="s">
        <v>133</v>
      </c>
      <c r="B49" s="8">
        <v>2303808</v>
      </c>
      <c r="C49" s="61">
        <v>185</v>
      </c>
      <c r="D49" s="14">
        <v>723.87212896662368</v>
      </c>
      <c r="E49" s="18">
        <v>7</v>
      </c>
      <c r="F49" s="18">
        <v>27.389756231169542</v>
      </c>
      <c r="G49" s="7">
        <v>3.783783783783784E-2</v>
      </c>
      <c r="H49" s="63">
        <v>25557</v>
      </c>
      <c r="I49" s="19">
        <v>14335662.440818563</v>
      </c>
      <c r="J49" s="6">
        <v>90679657.236764878</v>
      </c>
      <c r="K49" s="5">
        <v>729.97</v>
      </c>
      <c r="L49" s="4">
        <v>35.011027850459605</v>
      </c>
      <c r="M49" s="6">
        <v>7130.37</v>
      </c>
      <c r="N49" s="8">
        <v>0.627</v>
      </c>
      <c r="O49" s="15">
        <v>26.12</v>
      </c>
      <c r="P49" s="90">
        <v>58831929.764839381</v>
      </c>
      <c r="Q49" s="91">
        <v>80111180.068083107</v>
      </c>
      <c r="R49" s="15">
        <v>5.7</v>
      </c>
      <c r="S49" s="8">
        <v>4.7</v>
      </c>
      <c r="T49" s="8">
        <v>4.4000000000000004</v>
      </c>
      <c r="U49" s="14">
        <v>99.204068096396199</v>
      </c>
      <c r="V49" s="20">
        <v>22712.720000000001</v>
      </c>
      <c r="W49" s="48">
        <v>3.91</v>
      </c>
      <c r="X49" s="8">
        <v>32.65</v>
      </c>
      <c r="Y49" s="16">
        <v>44.150869650185697</v>
      </c>
      <c r="Z49" s="8">
        <v>0.82</v>
      </c>
      <c r="AA49" s="17">
        <v>1.9564111594</v>
      </c>
      <c r="AB49" s="34">
        <v>8.0212857534000008</v>
      </c>
      <c r="AC49" s="34">
        <v>0</v>
      </c>
      <c r="AD49" s="42">
        <v>1</v>
      </c>
      <c r="AE49" s="43">
        <v>0.38194642638724668</v>
      </c>
      <c r="AF49" s="34">
        <v>0</v>
      </c>
      <c r="AG49" s="44">
        <v>0.39500000000000002</v>
      </c>
      <c r="AH49" s="8">
        <v>0.23899999999999999</v>
      </c>
      <c r="AI49" s="17">
        <v>0.44</v>
      </c>
      <c r="AJ49" s="8">
        <v>0.50700000000000001</v>
      </c>
      <c r="AK49" s="45">
        <v>0.54</v>
      </c>
      <c r="AL49" s="85">
        <v>5.251007551747075E-2</v>
      </c>
      <c r="AM49" s="44">
        <v>12.539184952978101</v>
      </c>
      <c r="AN49" s="8">
        <v>0.91695804195804198</v>
      </c>
      <c r="AO49" s="44">
        <v>0.91695804195804198</v>
      </c>
      <c r="AP49" s="85">
        <v>0.17584223500410848</v>
      </c>
      <c r="AQ49" s="45">
        <v>790.39010838517822</v>
      </c>
      <c r="AR49" s="8">
        <v>1314.708299096138</v>
      </c>
      <c r="AS49" s="45">
        <v>168.25135970575576</v>
      </c>
      <c r="AT49" s="8">
        <v>3.9128223187385061</v>
      </c>
      <c r="AU49" s="45"/>
      <c r="AV49" s="45"/>
      <c r="AW49" s="8"/>
      <c r="AX49" s="45"/>
      <c r="AY49" s="8"/>
      <c r="AZ49" s="45"/>
      <c r="BA49" s="8"/>
      <c r="BB49" s="45"/>
      <c r="BC49" s="8"/>
      <c r="BD49" s="45"/>
      <c r="BE49" s="8"/>
      <c r="BF49" s="45"/>
      <c r="BG49" s="8"/>
      <c r="BH49" s="45"/>
      <c r="BI49" s="8"/>
      <c r="BJ49" s="45"/>
      <c r="BK49" s="8"/>
      <c r="BL49" s="45"/>
      <c r="BM49" s="8"/>
      <c r="BN49" s="8"/>
      <c r="BO49" s="45"/>
      <c r="BP49" s="8"/>
      <c r="BQ49" s="45"/>
      <c r="BR49" s="8"/>
      <c r="BS49" s="45"/>
      <c r="BT49" s="8"/>
      <c r="BU49" s="45"/>
      <c r="BV49" s="8"/>
      <c r="BW49" s="45"/>
      <c r="BX49" s="8"/>
      <c r="BY49" s="45"/>
      <c r="BZ49" s="8"/>
      <c r="CA49" s="45"/>
      <c r="CB49" s="8"/>
      <c r="CC49" s="45"/>
      <c r="CD49" s="8"/>
      <c r="CE49" s="45"/>
      <c r="CF49" s="8"/>
      <c r="CG49" s="45"/>
      <c r="CH49" s="8"/>
      <c r="CI49" s="45"/>
      <c r="CJ49" s="8"/>
      <c r="CK49" s="45"/>
      <c r="CL49" s="8"/>
      <c r="CM49" s="45"/>
      <c r="CN49" s="8"/>
      <c r="CO49" s="45"/>
      <c r="CP49" s="8"/>
      <c r="CQ49" s="45"/>
      <c r="CR49" s="8"/>
      <c r="CS49" s="45"/>
      <c r="CT49" s="8"/>
      <c r="CU49" s="45"/>
      <c r="CV49" s="8"/>
      <c r="CW49" s="45"/>
      <c r="CX49" s="8"/>
      <c r="CY49" s="45"/>
      <c r="CZ49" s="8"/>
      <c r="DA49" s="45"/>
      <c r="DB49" s="8"/>
      <c r="DC49" s="45"/>
      <c r="DD49" s="8"/>
      <c r="DE49" s="45"/>
      <c r="DF49" s="8"/>
      <c r="DG49" s="45"/>
      <c r="DH49" s="8"/>
      <c r="DI49" s="45"/>
      <c r="DJ49" s="8"/>
      <c r="DK49" s="45"/>
      <c r="DL49" s="8"/>
      <c r="DM49" s="45"/>
      <c r="DN49" s="8"/>
      <c r="DO49" s="45"/>
      <c r="DP49" s="8"/>
      <c r="DQ49" s="45"/>
      <c r="DR49" s="8"/>
    </row>
    <row r="50" spans="1:122" s="38" customFormat="1" x14ac:dyDescent="0.3">
      <c r="A50" s="21" t="s">
        <v>134</v>
      </c>
      <c r="B50" s="8">
        <v>2303907</v>
      </c>
      <c r="C50" s="61">
        <v>716</v>
      </c>
      <c r="D50" s="14">
        <v>5478.6135128931064</v>
      </c>
      <c r="E50" s="18">
        <v>12</v>
      </c>
      <c r="F50" s="18">
        <v>91.820338204912389</v>
      </c>
      <c r="G50" s="7">
        <v>1.6759776536312849E-2</v>
      </c>
      <c r="H50" s="63">
        <v>13069</v>
      </c>
      <c r="I50" s="19">
        <v>4728303.9253194584</v>
      </c>
      <c r="J50" s="6">
        <v>106897237.73815899</v>
      </c>
      <c r="K50" s="5">
        <v>237.24799999999999</v>
      </c>
      <c r="L50" s="4">
        <v>55.085817372538443</v>
      </c>
      <c r="M50" s="6">
        <v>6202.22</v>
      </c>
      <c r="N50" s="8">
        <v>0.58599999999999997</v>
      </c>
      <c r="O50" s="15">
        <v>24.01</v>
      </c>
      <c r="P50" s="90">
        <v>56047493.304767013</v>
      </c>
      <c r="Q50" s="91">
        <v>95317694.391307682</v>
      </c>
      <c r="R50" s="15">
        <v>6.3</v>
      </c>
      <c r="S50" s="8">
        <v>5</v>
      </c>
      <c r="T50" s="8">
        <v>3.9</v>
      </c>
      <c r="U50" s="14">
        <v>94.558119286025303</v>
      </c>
      <c r="V50" s="20">
        <v>8648.36</v>
      </c>
      <c r="W50" s="48">
        <v>0</v>
      </c>
      <c r="X50" s="8">
        <v>38.89</v>
      </c>
      <c r="Y50" s="16">
        <v>55.526697731265699</v>
      </c>
      <c r="Z50" s="8">
        <v>0.77</v>
      </c>
      <c r="AA50" s="17">
        <v>2.0659576095999999</v>
      </c>
      <c r="AB50" s="34">
        <v>10.406304996599999</v>
      </c>
      <c r="AC50" s="34">
        <v>0</v>
      </c>
      <c r="AD50" s="42">
        <v>0</v>
      </c>
      <c r="AE50" s="43">
        <v>0.27324613555291322</v>
      </c>
      <c r="AF50" s="34">
        <v>0</v>
      </c>
      <c r="AG50" s="44">
        <v>0.505</v>
      </c>
      <c r="AH50" s="8">
        <v>0.38100000000000001</v>
      </c>
      <c r="AI50" s="17">
        <v>0.57899999999999996</v>
      </c>
      <c r="AJ50" s="8">
        <v>0.55600000000000005</v>
      </c>
      <c r="AK50" s="45">
        <v>0.53700000000000003</v>
      </c>
      <c r="AL50" s="85">
        <v>0.14094421914454053</v>
      </c>
      <c r="AM50" s="44">
        <v>5.6497175141242897</v>
      </c>
      <c r="AN50" s="8">
        <v>0.87623762376237624</v>
      </c>
      <c r="AO50" s="44">
        <v>0.87623762376237635</v>
      </c>
      <c r="AP50" s="85">
        <v>0.12204453286402939</v>
      </c>
      <c r="AQ50" s="45">
        <v>267.80931976432777</v>
      </c>
      <c r="AR50" s="8">
        <v>497.36016527660877</v>
      </c>
      <c r="AS50" s="45">
        <v>61.213558803274921</v>
      </c>
      <c r="AT50" s="8">
        <v>7.6516948504093651</v>
      </c>
      <c r="AU50" s="45"/>
      <c r="AV50" s="45"/>
      <c r="AW50" s="8"/>
      <c r="AX50" s="45"/>
      <c r="AY50" s="8"/>
      <c r="AZ50" s="45"/>
      <c r="BA50" s="8"/>
      <c r="BB50" s="45"/>
      <c r="BC50" s="8"/>
      <c r="BD50" s="45"/>
      <c r="BE50" s="8"/>
      <c r="BF50" s="45"/>
      <c r="BG50" s="8"/>
      <c r="BH50" s="45"/>
      <c r="BI50" s="8"/>
      <c r="BJ50" s="45"/>
      <c r="BK50" s="8"/>
      <c r="BL50" s="45"/>
      <c r="BM50" s="8"/>
      <c r="BN50" s="8"/>
      <c r="BO50" s="45"/>
      <c r="BP50" s="8"/>
      <c r="BQ50" s="45"/>
      <c r="BR50" s="8"/>
      <c r="BS50" s="45"/>
      <c r="BT50" s="8"/>
      <c r="BU50" s="45"/>
      <c r="BV50" s="8"/>
      <c r="BW50" s="45"/>
      <c r="BX50" s="8"/>
      <c r="BY50" s="45"/>
      <c r="BZ50" s="8"/>
      <c r="CA50" s="45"/>
      <c r="CB50" s="8"/>
      <c r="CC50" s="45"/>
      <c r="CD50" s="8"/>
      <c r="CE50" s="45"/>
      <c r="CF50" s="8"/>
      <c r="CG50" s="45"/>
      <c r="CH50" s="8"/>
      <c r="CI50" s="45"/>
      <c r="CJ50" s="8"/>
      <c r="CK50" s="45"/>
      <c r="CL50" s="8"/>
      <c r="CM50" s="45"/>
      <c r="CN50" s="8"/>
      <c r="CO50" s="45"/>
      <c r="CP50" s="8"/>
      <c r="CQ50" s="45"/>
      <c r="CR50" s="8"/>
      <c r="CS50" s="45"/>
      <c r="CT50" s="8"/>
      <c r="CU50" s="45"/>
      <c r="CV50" s="8"/>
      <c r="CW50" s="45"/>
      <c r="CX50" s="8"/>
      <c r="CY50" s="45"/>
      <c r="CZ50" s="8"/>
      <c r="DA50" s="45"/>
      <c r="DB50" s="8"/>
      <c r="DC50" s="45"/>
      <c r="DD50" s="8"/>
      <c r="DE50" s="45"/>
      <c r="DF50" s="8"/>
      <c r="DG50" s="45"/>
      <c r="DH50" s="8"/>
      <c r="DI50" s="45"/>
      <c r="DJ50" s="8"/>
      <c r="DK50" s="45"/>
      <c r="DL50" s="8"/>
      <c r="DM50" s="45"/>
      <c r="DN50" s="8"/>
      <c r="DO50" s="45"/>
      <c r="DP50" s="8"/>
      <c r="DQ50" s="45"/>
      <c r="DR50" s="8"/>
    </row>
    <row r="51" spans="1:122" s="38" customFormat="1" x14ac:dyDescent="0.3">
      <c r="A51" s="21" t="s">
        <v>135</v>
      </c>
      <c r="B51" s="8">
        <v>2303931</v>
      </c>
      <c r="C51" s="61">
        <v>283</v>
      </c>
      <c r="D51" s="14">
        <v>2093.0404555876048</v>
      </c>
      <c r="E51" s="18">
        <v>4</v>
      </c>
      <c r="F51" s="18">
        <v>29.583610679683456</v>
      </c>
      <c r="G51" s="7">
        <v>1.4134275618374558E-2</v>
      </c>
      <c r="H51" s="63">
        <v>13521</v>
      </c>
      <c r="I51" s="19">
        <v>9031086.4581022114</v>
      </c>
      <c r="J51" s="6">
        <v>169372087.86332372</v>
      </c>
      <c r="K51" s="5">
        <v>815.26800000000003</v>
      </c>
      <c r="L51" s="4">
        <v>16.584730419935529</v>
      </c>
      <c r="M51" s="6">
        <v>5914.35</v>
      </c>
      <c r="N51" s="8">
        <v>0.58499999999999996</v>
      </c>
      <c r="O51" s="15">
        <v>15.14</v>
      </c>
      <c r="P51" s="90">
        <v>58550219.140596107</v>
      </c>
      <c r="Q51" s="91">
        <v>92262048.14732638</v>
      </c>
      <c r="R51" s="15">
        <v>5.7</v>
      </c>
      <c r="S51" s="8">
        <v>4.9000000000000004</v>
      </c>
      <c r="T51" s="8">
        <v>4.5999999999999996</v>
      </c>
      <c r="U51" s="14">
        <v>98.465055519268503</v>
      </c>
      <c r="V51" s="20">
        <v>29933.200000000001</v>
      </c>
      <c r="W51" s="48">
        <v>22.19</v>
      </c>
      <c r="X51" s="8">
        <v>33.82</v>
      </c>
      <c r="Y51" s="16">
        <v>47.497235532620699</v>
      </c>
      <c r="Z51" s="8">
        <v>1.04</v>
      </c>
      <c r="AA51" s="17">
        <v>1.1833444272</v>
      </c>
      <c r="AB51" s="34">
        <v>11.3896901117</v>
      </c>
      <c r="AC51" s="34">
        <v>0</v>
      </c>
      <c r="AD51" s="42">
        <v>1</v>
      </c>
      <c r="AE51" s="43">
        <v>0.70481599626546332</v>
      </c>
      <c r="AF51" s="34">
        <v>1</v>
      </c>
      <c r="AG51" s="44">
        <v>0.58099999999999996</v>
      </c>
      <c r="AH51" s="8">
        <v>0.57899999999999996</v>
      </c>
      <c r="AI51" s="17">
        <v>0.57699999999999996</v>
      </c>
      <c r="AJ51" s="8">
        <v>0.58799999999999997</v>
      </c>
      <c r="AK51" s="45">
        <v>0.39800000000000002</v>
      </c>
      <c r="AL51" s="85">
        <v>4.9848383995266622E-2</v>
      </c>
      <c r="AM51" s="44">
        <v>11.9047619047619</v>
      </c>
      <c r="AN51" s="8">
        <v>0.87784090909090906</v>
      </c>
      <c r="AO51" s="44">
        <v>1</v>
      </c>
      <c r="AP51" s="85">
        <v>0.13379187929886843</v>
      </c>
      <c r="AQ51" s="45">
        <v>303.23200946675541</v>
      </c>
      <c r="AR51" s="8">
        <v>406.77464684564745</v>
      </c>
      <c r="AS51" s="45">
        <v>44.375416019525183</v>
      </c>
      <c r="AT51" s="8">
        <v>0</v>
      </c>
      <c r="AU51" s="45"/>
      <c r="AV51" s="45"/>
      <c r="AW51" s="8"/>
      <c r="AX51" s="45"/>
      <c r="AY51" s="8"/>
      <c r="AZ51" s="45"/>
      <c r="BA51" s="8"/>
      <c r="BB51" s="45"/>
      <c r="BC51" s="8"/>
      <c r="BD51" s="45"/>
      <c r="BE51" s="8"/>
      <c r="BF51" s="45"/>
      <c r="BG51" s="8"/>
      <c r="BH51" s="45"/>
      <c r="BI51" s="8"/>
      <c r="BJ51" s="45"/>
      <c r="BK51" s="8"/>
      <c r="BL51" s="45"/>
      <c r="BM51" s="8"/>
      <c r="BN51" s="8"/>
      <c r="BO51" s="45"/>
      <c r="BP51" s="8"/>
      <c r="BQ51" s="45"/>
      <c r="BR51" s="8"/>
      <c r="BS51" s="45"/>
      <c r="BT51" s="8"/>
      <c r="BU51" s="45"/>
      <c r="BV51" s="8"/>
      <c r="BW51" s="45"/>
      <c r="BX51" s="8"/>
      <c r="BY51" s="45"/>
      <c r="BZ51" s="8"/>
      <c r="CA51" s="45"/>
      <c r="CB51" s="8"/>
      <c r="CC51" s="45"/>
      <c r="CD51" s="8"/>
      <c r="CE51" s="45"/>
      <c r="CF51" s="8"/>
      <c r="CG51" s="45"/>
      <c r="CH51" s="8"/>
      <c r="CI51" s="45"/>
      <c r="CJ51" s="8"/>
      <c r="CK51" s="45"/>
      <c r="CL51" s="8"/>
      <c r="CM51" s="45"/>
      <c r="CN51" s="8"/>
      <c r="CO51" s="45"/>
      <c r="CP51" s="8"/>
      <c r="CQ51" s="45"/>
      <c r="CR51" s="8"/>
      <c r="CS51" s="45"/>
      <c r="CT51" s="8"/>
      <c r="CU51" s="45"/>
      <c r="CV51" s="8"/>
      <c r="CW51" s="45"/>
      <c r="CX51" s="8"/>
      <c r="CY51" s="45"/>
      <c r="CZ51" s="8"/>
      <c r="DA51" s="45"/>
      <c r="DB51" s="8"/>
      <c r="DC51" s="45"/>
      <c r="DD51" s="8"/>
      <c r="DE51" s="45"/>
      <c r="DF51" s="8"/>
      <c r="DG51" s="45"/>
      <c r="DH51" s="8"/>
      <c r="DI51" s="45"/>
      <c r="DJ51" s="8"/>
      <c r="DK51" s="45"/>
      <c r="DL51" s="8"/>
      <c r="DM51" s="45"/>
      <c r="DN51" s="8"/>
      <c r="DO51" s="45"/>
      <c r="DP51" s="8"/>
      <c r="DQ51" s="45"/>
      <c r="DR51" s="8"/>
    </row>
    <row r="52" spans="1:122" s="38" customFormat="1" x14ac:dyDescent="0.3">
      <c r="A52" s="21" t="s">
        <v>136</v>
      </c>
      <c r="B52" s="8">
        <v>2303956</v>
      </c>
      <c r="C52" s="61">
        <v>452</v>
      </c>
      <c r="D52" s="14">
        <v>2230.5566521910778</v>
      </c>
      <c r="E52" s="18">
        <v>16</v>
      </c>
      <c r="F52" s="18">
        <v>78.957757599684172</v>
      </c>
      <c r="G52" s="7">
        <v>3.5398230088495575E-2</v>
      </c>
      <c r="H52" s="63">
        <v>20264</v>
      </c>
      <c r="I52" s="19">
        <v>1633963.6300829055</v>
      </c>
      <c r="J52" s="6">
        <v>56760757.994472951</v>
      </c>
      <c r="K52" s="5">
        <v>296.43099999999998</v>
      </c>
      <c r="L52" s="4">
        <v>68.359921870519614</v>
      </c>
      <c r="M52" s="6">
        <v>18237.689999999999</v>
      </c>
      <c r="N52" s="8">
        <v>0.60399999999999998</v>
      </c>
      <c r="O52" s="15">
        <v>27.47</v>
      </c>
      <c r="P52" s="90">
        <v>53734012.090406634</v>
      </c>
      <c r="Q52" s="91">
        <v>113254538.88669562</v>
      </c>
      <c r="R52" s="15">
        <v>6.4</v>
      </c>
      <c r="S52" s="8">
        <v>5.4</v>
      </c>
      <c r="T52" s="8">
        <v>4</v>
      </c>
      <c r="U52" s="14">
        <v>98.672388359930295</v>
      </c>
      <c r="V52" s="20">
        <v>19736.21</v>
      </c>
      <c r="W52" s="48">
        <v>108.57</v>
      </c>
      <c r="X52" s="8">
        <v>31.52</v>
      </c>
      <c r="Y52" s="16">
        <v>51.948308177961898</v>
      </c>
      <c r="Z52" s="8">
        <v>0.94</v>
      </c>
      <c r="AA52" s="17">
        <v>0.394788788</v>
      </c>
      <c r="AB52" s="34">
        <v>7.0075009870000002</v>
      </c>
      <c r="AC52" s="34">
        <v>1</v>
      </c>
      <c r="AD52" s="42">
        <v>1</v>
      </c>
      <c r="AE52" s="43">
        <v>0.395929156753899</v>
      </c>
      <c r="AF52" s="34">
        <v>1</v>
      </c>
      <c r="AG52" s="44">
        <v>0.51</v>
      </c>
      <c r="AH52" s="8">
        <v>0.54300000000000004</v>
      </c>
      <c r="AI52" s="17">
        <v>0.52400000000000002</v>
      </c>
      <c r="AJ52" s="8">
        <v>0.46400000000000002</v>
      </c>
      <c r="AK52" s="45">
        <v>0.58499999999999996</v>
      </c>
      <c r="AL52" s="85">
        <v>7.5256612712198967E-2</v>
      </c>
      <c r="AM52" s="44">
        <v>9.6153846153846203</v>
      </c>
      <c r="AN52" s="8">
        <v>1</v>
      </c>
      <c r="AO52" s="44">
        <v>0.87784090909090895</v>
      </c>
      <c r="AP52" s="85">
        <v>0.11113304382155546</v>
      </c>
      <c r="AQ52" s="45">
        <v>330.63560994867748</v>
      </c>
      <c r="AR52" s="8">
        <v>301.02645084879589</v>
      </c>
      <c r="AS52" s="45">
        <v>59.218318199763132</v>
      </c>
      <c r="AT52" s="8">
        <v>9.8697196999605215</v>
      </c>
      <c r="AU52" s="45"/>
      <c r="AV52" s="45"/>
      <c r="AW52" s="8"/>
      <c r="AX52" s="45"/>
      <c r="AY52" s="8"/>
      <c r="AZ52" s="45"/>
      <c r="BA52" s="8"/>
      <c r="BB52" s="45"/>
      <c r="BC52" s="8"/>
      <c r="BD52" s="45"/>
      <c r="BE52" s="8"/>
      <c r="BF52" s="45"/>
      <c r="BG52" s="8"/>
      <c r="BH52" s="45"/>
      <c r="BI52" s="8"/>
      <c r="BJ52" s="45"/>
      <c r="BK52" s="8"/>
      <c r="BL52" s="45"/>
      <c r="BM52" s="8"/>
      <c r="BN52" s="8"/>
      <c r="BO52" s="45"/>
      <c r="BP52" s="8"/>
      <c r="BQ52" s="45"/>
      <c r="BR52" s="8"/>
      <c r="BS52" s="45"/>
      <c r="BT52" s="8"/>
      <c r="BU52" s="45"/>
      <c r="BV52" s="8"/>
      <c r="BW52" s="45"/>
      <c r="BX52" s="8"/>
      <c r="BY52" s="45"/>
      <c r="BZ52" s="8"/>
      <c r="CA52" s="45"/>
      <c r="CB52" s="8"/>
      <c r="CC52" s="45"/>
      <c r="CD52" s="8"/>
      <c r="CE52" s="45"/>
      <c r="CF52" s="8"/>
      <c r="CG52" s="45"/>
      <c r="CH52" s="8"/>
      <c r="CI52" s="45"/>
      <c r="CJ52" s="8"/>
      <c r="CK52" s="45"/>
      <c r="CL52" s="8"/>
      <c r="CM52" s="45"/>
      <c r="CN52" s="8"/>
      <c r="CO52" s="45"/>
      <c r="CP52" s="8"/>
      <c r="CQ52" s="45"/>
      <c r="CR52" s="8"/>
      <c r="CS52" s="45"/>
      <c r="CT52" s="8"/>
      <c r="CU52" s="45"/>
      <c r="CV52" s="8"/>
      <c r="CW52" s="45"/>
      <c r="CX52" s="8"/>
      <c r="CY52" s="45"/>
      <c r="CZ52" s="8"/>
      <c r="DA52" s="45"/>
      <c r="DB52" s="8"/>
      <c r="DC52" s="45"/>
      <c r="DD52" s="8"/>
      <c r="DE52" s="45"/>
      <c r="DF52" s="8"/>
      <c r="DG52" s="45"/>
      <c r="DH52" s="8"/>
      <c r="DI52" s="45"/>
      <c r="DJ52" s="8"/>
      <c r="DK52" s="45"/>
      <c r="DL52" s="8"/>
      <c r="DM52" s="45"/>
      <c r="DN52" s="8"/>
      <c r="DO52" s="45"/>
      <c r="DP52" s="8"/>
      <c r="DQ52" s="45"/>
      <c r="DR52" s="8"/>
    </row>
    <row r="53" spans="1:122" s="38" customFormat="1" x14ac:dyDescent="0.3">
      <c r="A53" s="21" t="s">
        <v>137</v>
      </c>
      <c r="B53" s="8">
        <v>2304004</v>
      </c>
      <c r="C53" s="61">
        <v>943</v>
      </c>
      <c r="D53" s="14">
        <v>4075.8990318118949</v>
      </c>
      <c r="E53" s="18">
        <v>11</v>
      </c>
      <c r="F53" s="18">
        <v>47.544951590594742</v>
      </c>
      <c r="G53" s="7">
        <v>1.166489925768823E-2</v>
      </c>
      <c r="H53" s="63">
        <v>23136</v>
      </c>
      <c r="I53" s="19">
        <v>13305523.124135546</v>
      </c>
      <c r="J53" s="6">
        <v>97676348.547717839</v>
      </c>
      <c r="K53" s="5">
        <v>750.33199999999999</v>
      </c>
      <c r="L53" s="4">
        <v>30.834350660774163</v>
      </c>
      <c r="M53" s="6">
        <v>6233.8</v>
      </c>
      <c r="N53" s="8">
        <v>0.61</v>
      </c>
      <c r="O53" s="15">
        <v>24.47</v>
      </c>
      <c r="P53" s="90">
        <v>56265921.118603043</v>
      </c>
      <c r="Q53" s="91">
        <v>91458778.829529747</v>
      </c>
      <c r="R53" s="15">
        <v>6.6</v>
      </c>
      <c r="S53" s="8">
        <v>5.7</v>
      </c>
      <c r="T53" s="8">
        <v>4.3</v>
      </c>
      <c r="U53" s="14">
        <v>98.803742745469606</v>
      </c>
      <c r="V53" s="20">
        <v>17818.71</v>
      </c>
      <c r="W53" s="48">
        <v>38.9</v>
      </c>
      <c r="X53" s="8">
        <v>36.36</v>
      </c>
      <c r="Y53" s="16">
        <v>48.311028873875799</v>
      </c>
      <c r="Z53" s="8">
        <v>0.69</v>
      </c>
      <c r="AA53" s="17">
        <v>0.60511756569999997</v>
      </c>
      <c r="AB53" s="34">
        <v>8.6877593360999992</v>
      </c>
      <c r="AC53" s="34">
        <v>0</v>
      </c>
      <c r="AD53" s="42">
        <v>1</v>
      </c>
      <c r="AE53" s="43">
        <v>0.35214539491664387</v>
      </c>
      <c r="AF53" s="34">
        <v>1</v>
      </c>
      <c r="AG53" s="44">
        <v>0.505</v>
      </c>
      <c r="AH53" s="8">
        <v>0.439</v>
      </c>
      <c r="AI53" s="17">
        <v>0.53500000000000003</v>
      </c>
      <c r="AJ53" s="8">
        <v>0.54</v>
      </c>
      <c r="AK53" s="45">
        <v>0.52500000000000002</v>
      </c>
      <c r="AL53" s="85">
        <v>5.2169778699861689E-2</v>
      </c>
      <c r="AM53" s="44">
        <v>9.9009900990098991</v>
      </c>
      <c r="AN53" s="8">
        <v>0.96082089552238803</v>
      </c>
      <c r="AO53" s="44">
        <v>0.96082089552238803</v>
      </c>
      <c r="AP53" s="85">
        <v>0.12357365145228216</v>
      </c>
      <c r="AQ53" s="45">
        <v>345.78146611341629</v>
      </c>
      <c r="AR53" s="8">
        <v>380.35961272475794</v>
      </c>
      <c r="AS53" s="45">
        <v>38.900414937759336</v>
      </c>
      <c r="AT53" s="8">
        <v>8.6445366528354093</v>
      </c>
      <c r="AU53" s="45"/>
      <c r="AV53" s="45"/>
      <c r="AW53" s="8"/>
      <c r="AX53" s="45"/>
      <c r="AY53" s="8"/>
      <c r="AZ53" s="45"/>
      <c r="BA53" s="8"/>
      <c r="BB53" s="45"/>
      <c r="BC53" s="8"/>
      <c r="BD53" s="45"/>
      <c r="BE53" s="8"/>
      <c r="BF53" s="45"/>
      <c r="BG53" s="8"/>
      <c r="BH53" s="45"/>
      <c r="BI53" s="8"/>
      <c r="BJ53" s="45"/>
      <c r="BK53" s="8"/>
      <c r="BL53" s="45"/>
      <c r="BM53" s="8"/>
      <c r="BN53" s="8"/>
      <c r="BO53" s="45"/>
      <c r="BP53" s="8"/>
      <c r="BQ53" s="45"/>
      <c r="BR53" s="8"/>
      <c r="BS53" s="45"/>
      <c r="BT53" s="8"/>
      <c r="BU53" s="45"/>
      <c r="BV53" s="8"/>
      <c r="BW53" s="45"/>
      <c r="BX53" s="8"/>
      <c r="BY53" s="45"/>
      <c r="BZ53" s="8"/>
      <c r="CA53" s="45"/>
      <c r="CB53" s="8"/>
      <c r="CC53" s="45"/>
      <c r="CD53" s="8"/>
      <c r="CE53" s="45"/>
      <c r="CF53" s="8"/>
      <c r="CG53" s="45"/>
      <c r="CH53" s="8"/>
      <c r="CI53" s="45"/>
      <c r="CJ53" s="8"/>
      <c r="CK53" s="45"/>
      <c r="CL53" s="8"/>
      <c r="CM53" s="45"/>
      <c r="CN53" s="8"/>
      <c r="CO53" s="45"/>
      <c r="CP53" s="8"/>
      <c r="CQ53" s="45"/>
      <c r="CR53" s="8"/>
      <c r="CS53" s="45"/>
      <c r="CT53" s="8"/>
      <c r="CU53" s="45"/>
      <c r="CV53" s="8"/>
      <c r="CW53" s="45"/>
      <c r="CX53" s="8"/>
      <c r="CY53" s="45"/>
      <c r="CZ53" s="8"/>
      <c r="DA53" s="45"/>
      <c r="DB53" s="8"/>
      <c r="DC53" s="45"/>
      <c r="DD53" s="8"/>
      <c r="DE53" s="45"/>
      <c r="DF53" s="8"/>
      <c r="DG53" s="45"/>
      <c r="DH53" s="8"/>
      <c r="DI53" s="45"/>
      <c r="DJ53" s="8"/>
      <c r="DK53" s="45"/>
      <c r="DL53" s="8"/>
      <c r="DM53" s="45"/>
      <c r="DN53" s="8"/>
      <c r="DO53" s="45"/>
      <c r="DP53" s="8"/>
      <c r="DQ53" s="45"/>
      <c r="DR53" s="8"/>
    </row>
    <row r="54" spans="1:122" s="38" customFormat="1" x14ac:dyDescent="0.3">
      <c r="A54" s="21" t="s">
        <v>138</v>
      </c>
      <c r="B54" s="8">
        <v>2304103</v>
      </c>
      <c r="C54" s="61">
        <v>1846</v>
      </c>
      <c r="D54" s="14">
        <v>2458.9072115512695</v>
      </c>
      <c r="E54" s="18">
        <v>31</v>
      </c>
      <c r="F54" s="18">
        <v>41.292591309907557</v>
      </c>
      <c r="G54" s="7">
        <v>1.6793066088840736E-2</v>
      </c>
      <c r="H54" s="63">
        <v>75074</v>
      </c>
      <c r="I54" s="19">
        <v>18434227.588779073</v>
      </c>
      <c r="J54" s="6">
        <v>91188427.418280631</v>
      </c>
      <c r="K54" s="5">
        <v>2981.4589999999998</v>
      </c>
      <c r="L54" s="4">
        <v>25.180289247646876</v>
      </c>
      <c r="M54" s="6">
        <v>9105.67</v>
      </c>
      <c r="N54" s="8">
        <v>0.64400000000000002</v>
      </c>
      <c r="O54" s="15">
        <v>28.77</v>
      </c>
      <c r="P54" s="90">
        <v>75539741.361856312</v>
      </c>
      <c r="Q54" s="91">
        <v>73688721.52809228</v>
      </c>
      <c r="R54" s="15">
        <v>6.7</v>
      </c>
      <c r="S54" s="8">
        <v>5.0999999999999996</v>
      </c>
      <c r="T54" s="8">
        <v>4.7</v>
      </c>
      <c r="U54" s="14">
        <v>99.961404035422504</v>
      </c>
      <c r="V54" s="20">
        <v>74733.7</v>
      </c>
      <c r="W54" s="48">
        <v>10.66</v>
      </c>
      <c r="X54" s="8">
        <v>31.03</v>
      </c>
      <c r="Y54" s="16">
        <v>36.044918106946596</v>
      </c>
      <c r="Z54" s="8">
        <v>0.51</v>
      </c>
      <c r="AA54" s="17">
        <v>2.0646295655000002</v>
      </c>
      <c r="AB54" s="34">
        <v>10.7493939313</v>
      </c>
      <c r="AC54" s="34">
        <v>0</v>
      </c>
      <c r="AD54" s="42">
        <v>1</v>
      </c>
      <c r="AE54" s="43">
        <v>0.27698730978410152</v>
      </c>
      <c r="AF54" s="34">
        <v>0</v>
      </c>
      <c r="AG54" s="44">
        <v>0.44</v>
      </c>
      <c r="AH54" s="8">
        <v>0.28799999999999998</v>
      </c>
      <c r="AI54" s="17">
        <v>0.49399999999999999</v>
      </c>
      <c r="AJ54" s="8">
        <v>0.53700000000000003</v>
      </c>
      <c r="AK54" s="45">
        <v>0.57699999999999996</v>
      </c>
      <c r="AL54" s="85">
        <v>7.6631057356741347E-2</v>
      </c>
      <c r="AM54" s="44">
        <v>19.0735694822888</v>
      </c>
      <c r="AN54" s="8">
        <v>0.87869660460021903</v>
      </c>
      <c r="AO54" s="44">
        <v>0.87869660460021892</v>
      </c>
      <c r="AP54" s="85">
        <v>0.15869675253749635</v>
      </c>
      <c r="AQ54" s="45">
        <v>483.52292404827239</v>
      </c>
      <c r="AR54" s="8">
        <v>1542.4780882862242</v>
      </c>
      <c r="AS54" s="45">
        <v>86.581239843354552</v>
      </c>
      <c r="AT54" s="8">
        <v>95.905373364946584</v>
      </c>
      <c r="AU54" s="45"/>
      <c r="AV54" s="45"/>
      <c r="AW54" s="8"/>
      <c r="AX54" s="45"/>
      <c r="AY54" s="8"/>
      <c r="AZ54" s="45"/>
      <c r="BA54" s="8"/>
      <c r="BB54" s="45"/>
      <c r="BC54" s="8"/>
      <c r="BD54" s="45"/>
      <c r="BE54" s="8"/>
      <c r="BF54" s="45"/>
      <c r="BG54" s="8"/>
      <c r="BH54" s="45"/>
      <c r="BI54" s="8"/>
      <c r="BJ54" s="45"/>
      <c r="BK54" s="8"/>
      <c r="BL54" s="45"/>
      <c r="BM54" s="8"/>
      <c r="BN54" s="8"/>
      <c r="BO54" s="45"/>
      <c r="BP54" s="8"/>
      <c r="BQ54" s="45"/>
      <c r="BR54" s="8"/>
      <c r="BS54" s="45"/>
      <c r="BT54" s="8"/>
      <c r="BU54" s="45"/>
      <c r="BV54" s="8"/>
      <c r="BW54" s="45"/>
      <c r="BX54" s="8"/>
      <c r="BY54" s="45"/>
      <c r="BZ54" s="8"/>
      <c r="CA54" s="45"/>
      <c r="CB54" s="8"/>
      <c r="CC54" s="45"/>
      <c r="CD54" s="8"/>
      <c r="CE54" s="45"/>
      <c r="CF54" s="8"/>
      <c r="CG54" s="45"/>
      <c r="CH54" s="8"/>
      <c r="CI54" s="45"/>
      <c r="CJ54" s="8"/>
      <c r="CK54" s="45"/>
      <c r="CL54" s="8"/>
      <c r="CM54" s="45"/>
      <c r="CN54" s="8"/>
      <c r="CO54" s="45"/>
      <c r="CP54" s="8"/>
      <c r="CQ54" s="45"/>
      <c r="CR54" s="8"/>
      <c r="CS54" s="45"/>
      <c r="CT54" s="8"/>
      <c r="CU54" s="45"/>
      <c r="CV54" s="8"/>
      <c r="CW54" s="45"/>
      <c r="CX54" s="8"/>
      <c r="CY54" s="45"/>
      <c r="CZ54" s="8"/>
      <c r="DA54" s="45"/>
      <c r="DB54" s="8"/>
      <c r="DC54" s="45"/>
      <c r="DD54" s="8"/>
      <c r="DE54" s="45"/>
      <c r="DF54" s="8"/>
      <c r="DG54" s="45"/>
      <c r="DH54" s="8"/>
      <c r="DI54" s="45"/>
      <c r="DJ54" s="8"/>
      <c r="DK54" s="45"/>
      <c r="DL54" s="8"/>
      <c r="DM54" s="45"/>
      <c r="DN54" s="8"/>
      <c r="DO54" s="45"/>
      <c r="DP54" s="8"/>
      <c r="DQ54" s="45"/>
      <c r="DR54" s="8"/>
    </row>
    <row r="55" spans="1:122" s="38" customFormat="1" x14ac:dyDescent="0.3">
      <c r="A55" s="21" t="s">
        <v>139</v>
      </c>
      <c r="B55" s="8">
        <v>2304202</v>
      </c>
      <c r="C55" s="61">
        <v>3093</v>
      </c>
      <c r="D55" s="14">
        <v>2341.0004314161802</v>
      </c>
      <c r="E55" s="18">
        <v>50</v>
      </c>
      <c r="F55" s="18">
        <v>37.843524594506633</v>
      </c>
      <c r="G55" s="7">
        <v>1.6165535079211122E-2</v>
      </c>
      <c r="H55" s="63">
        <v>132123</v>
      </c>
      <c r="I55" s="19">
        <v>9450615.5249275304</v>
      </c>
      <c r="J55" s="6">
        <v>89448468.472559661</v>
      </c>
      <c r="K55" s="5">
        <v>1138.1500000000001</v>
      </c>
      <c r="L55" s="4">
        <v>116.08575319597591</v>
      </c>
      <c r="M55" s="6">
        <v>10262.41</v>
      </c>
      <c r="N55" s="8">
        <v>0.71299999999999997</v>
      </c>
      <c r="O55" s="15">
        <v>32.479999999999997</v>
      </c>
      <c r="P55" s="90">
        <v>70076080.084466755</v>
      </c>
      <c r="Q55" s="91">
        <v>59185614.60154552</v>
      </c>
      <c r="R55" s="15">
        <v>5.5</v>
      </c>
      <c r="S55" s="8">
        <v>5</v>
      </c>
      <c r="T55" s="8">
        <v>4.4000000000000004</v>
      </c>
      <c r="U55" s="14">
        <v>95.446745562130204</v>
      </c>
      <c r="V55" s="20">
        <v>209744.82</v>
      </c>
      <c r="W55" s="48">
        <v>20.440000000000001</v>
      </c>
      <c r="X55" s="8">
        <v>31.11</v>
      </c>
      <c r="Y55" s="16">
        <v>33.9364509024212</v>
      </c>
      <c r="Z55" s="8">
        <v>0.49</v>
      </c>
      <c r="AA55" s="17">
        <v>1.7786456558999999</v>
      </c>
      <c r="AB55" s="34">
        <v>8.5147930338000002</v>
      </c>
      <c r="AC55" s="34">
        <v>0</v>
      </c>
      <c r="AD55" s="42">
        <v>1</v>
      </c>
      <c r="AE55" s="43">
        <v>0.16892314787363705</v>
      </c>
      <c r="AF55" s="34">
        <v>1</v>
      </c>
      <c r="AG55" s="44">
        <v>0.30599999999999999</v>
      </c>
      <c r="AH55" s="8">
        <v>0.16400000000000001</v>
      </c>
      <c r="AI55" s="17">
        <v>0.35599999999999998</v>
      </c>
      <c r="AJ55" s="8">
        <v>0.39800000000000002</v>
      </c>
      <c r="AK55" s="45">
        <v>0.48299999999999998</v>
      </c>
      <c r="AL55" s="85">
        <v>0.13631994429433181</v>
      </c>
      <c r="AM55" s="44">
        <v>18.091361374943499</v>
      </c>
      <c r="AN55" s="8">
        <v>0.8285781103835359</v>
      </c>
      <c r="AO55" s="44">
        <v>0.8285781103835359</v>
      </c>
      <c r="AP55" s="85">
        <v>0.12471711965365606</v>
      </c>
      <c r="AQ55" s="45">
        <v>522.99750989608162</v>
      </c>
      <c r="AR55" s="8">
        <v>523.75438038797176</v>
      </c>
      <c r="AS55" s="45">
        <v>94.608811486266575</v>
      </c>
      <c r="AT55" s="8">
        <v>2.2706114756703979</v>
      </c>
      <c r="AU55" s="45"/>
      <c r="AV55" s="45"/>
      <c r="AW55" s="8"/>
      <c r="AX55" s="45"/>
      <c r="AY55" s="8"/>
      <c r="AZ55" s="45"/>
      <c r="BA55" s="8"/>
      <c r="BB55" s="45"/>
      <c r="BC55" s="8"/>
      <c r="BD55" s="45"/>
      <c r="BE55" s="8"/>
      <c r="BF55" s="45"/>
      <c r="BG55" s="8"/>
      <c r="BH55" s="45"/>
      <c r="BI55" s="8"/>
      <c r="BJ55" s="45"/>
      <c r="BK55" s="8"/>
      <c r="BL55" s="45"/>
      <c r="BM55" s="8"/>
      <c r="BN55" s="8"/>
      <c r="BO55" s="45"/>
      <c r="BP55" s="8"/>
      <c r="BQ55" s="45"/>
      <c r="BR55" s="8"/>
      <c r="BS55" s="45"/>
      <c r="BT55" s="8"/>
      <c r="BU55" s="45"/>
      <c r="BV55" s="8"/>
      <c r="BW55" s="45"/>
      <c r="BX55" s="8"/>
      <c r="BY55" s="45"/>
      <c r="BZ55" s="8"/>
      <c r="CA55" s="45"/>
      <c r="CB55" s="8"/>
      <c r="CC55" s="45"/>
      <c r="CD55" s="8"/>
      <c r="CE55" s="45"/>
      <c r="CF55" s="8"/>
      <c r="CG55" s="45"/>
      <c r="CH55" s="8"/>
      <c r="CI55" s="45"/>
      <c r="CJ55" s="8"/>
      <c r="CK55" s="45"/>
      <c r="CL55" s="8"/>
      <c r="CM55" s="45"/>
      <c r="CN55" s="8"/>
      <c r="CO55" s="45"/>
      <c r="CP55" s="8"/>
      <c r="CQ55" s="45"/>
      <c r="CR55" s="8"/>
      <c r="CS55" s="45"/>
      <c r="CT55" s="8"/>
      <c r="CU55" s="45"/>
      <c r="CV55" s="8"/>
      <c r="CW55" s="45"/>
      <c r="CX55" s="8"/>
      <c r="CY55" s="45"/>
      <c r="CZ55" s="8"/>
      <c r="DA55" s="45"/>
      <c r="DB55" s="8"/>
      <c r="DC55" s="45"/>
      <c r="DD55" s="8"/>
      <c r="DE55" s="45"/>
      <c r="DF55" s="8"/>
      <c r="DG55" s="45"/>
      <c r="DH55" s="8"/>
      <c r="DI55" s="45"/>
      <c r="DJ55" s="8"/>
      <c r="DK55" s="45"/>
      <c r="DL55" s="8"/>
      <c r="DM55" s="45"/>
      <c r="DN55" s="8"/>
      <c r="DO55" s="45"/>
      <c r="DP55" s="8"/>
      <c r="DQ55" s="45"/>
      <c r="DR55" s="8"/>
    </row>
    <row r="56" spans="1:122" s="38" customFormat="1" x14ac:dyDescent="0.3">
      <c r="A56" s="21" t="s">
        <v>140</v>
      </c>
      <c r="B56" s="8">
        <v>2304236</v>
      </c>
      <c r="C56" s="61">
        <v>96</v>
      </c>
      <c r="D56" s="14">
        <v>531.47317721308752</v>
      </c>
      <c r="E56" s="18">
        <v>1</v>
      </c>
      <c r="F56" s="18">
        <v>5.536178929302995</v>
      </c>
      <c r="G56" s="7">
        <v>1.0416666666666666E-2</v>
      </c>
      <c r="H56" s="63">
        <v>18063</v>
      </c>
      <c r="I56" s="19">
        <v>1561341.0839838344</v>
      </c>
      <c r="J56" s="6">
        <v>103899684.43780103</v>
      </c>
      <c r="K56" s="5">
        <v>696.34799999999996</v>
      </c>
      <c r="L56" s="4">
        <v>25.939616398697204</v>
      </c>
      <c r="M56" s="6">
        <v>7696.46</v>
      </c>
      <c r="N56" s="8">
        <v>0.59</v>
      </c>
      <c r="O56" s="15">
        <v>21.69</v>
      </c>
      <c r="P56" s="90">
        <v>62532172.064441122</v>
      </c>
      <c r="Q56" s="91">
        <v>101422830.26075402</v>
      </c>
      <c r="R56" s="15">
        <v>6.2</v>
      </c>
      <c r="S56" s="8">
        <v>5.2</v>
      </c>
      <c r="T56" s="8">
        <v>3.9</v>
      </c>
      <c r="U56" s="14">
        <v>99.981877491844898</v>
      </c>
      <c r="V56" s="20">
        <v>13472.48</v>
      </c>
      <c r="W56" s="48">
        <v>5.54</v>
      </c>
      <c r="X56" s="8">
        <v>35.56</v>
      </c>
      <c r="Y56" s="16">
        <v>55.842938289306801</v>
      </c>
      <c r="Z56" s="8">
        <v>0.83</v>
      </c>
      <c r="AA56" s="17">
        <v>2.0483862037999998</v>
      </c>
      <c r="AB56" s="34">
        <v>7.9167358689</v>
      </c>
      <c r="AC56" s="34">
        <v>0</v>
      </c>
      <c r="AD56" s="42">
        <v>1</v>
      </c>
      <c r="AE56" s="43">
        <v>0.47050207979377817</v>
      </c>
      <c r="AF56" s="34">
        <v>0</v>
      </c>
      <c r="AG56" s="44">
        <v>0.45900000000000002</v>
      </c>
      <c r="AH56" s="8">
        <v>0.19800000000000001</v>
      </c>
      <c r="AI56" s="17">
        <v>0.59299999999999997</v>
      </c>
      <c r="AJ56" s="8">
        <v>0.58499999999999996</v>
      </c>
      <c r="AK56" s="45">
        <v>0.55500000000000005</v>
      </c>
      <c r="AL56" s="85">
        <v>4.3846537120079722E-2</v>
      </c>
      <c r="AM56" s="44">
        <v>18.867924528301899</v>
      </c>
      <c r="AN56" s="8">
        <v>0.90240641711229952</v>
      </c>
      <c r="AO56" s="44">
        <v>0.90240641711229941</v>
      </c>
      <c r="AP56" s="85">
        <v>0.15744892874937719</v>
      </c>
      <c r="AQ56" s="45">
        <v>232.51951503072578</v>
      </c>
      <c r="AR56" s="8">
        <v>581.29878757681445</v>
      </c>
      <c r="AS56" s="45">
        <v>49.825610363726952</v>
      </c>
      <c r="AT56" s="8">
        <v>22.14471571721198</v>
      </c>
      <c r="AU56" s="45"/>
      <c r="AV56" s="45"/>
      <c r="AW56" s="8"/>
      <c r="AX56" s="45"/>
      <c r="AY56" s="8"/>
      <c r="AZ56" s="45"/>
      <c r="BA56" s="8"/>
      <c r="BB56" s="45"/>
      <c r="BC56" s="8"/>
      <c r="BD56" s="45"/>
      <c r="BE56" s="8"/>
      <c r="BF56" s="45"/>
      <c r="BG56" s="8"/>
      <c r="BH56" s="45"/>
      <c r="BI56" s="8"/>
      <c r="BJ56" s="45"/>
      <c r="BK56" s="8"/>
      <c r="BL56" s="45"/>
      <c r="BM56" s="8"/>
      <c r="BN56" s="8"/>
      <c r="BO56" s="45"/>
      <c r="BP56" s="8"/>
      <c r="BQ56" s="45"/>
      <c r="BR56" s="8"/>
      <c r="BS56" s="45"/>
      <c r="BT56" s="8"/>
      <c r="BU56" s="45"/>
      <c r="BV56" s="8"/>
      <c r="BW56" s="45"/>
      <c r="BX56" s="8"/>
      <c r="BY56" s="45"/>
      <c r="BZ56" s="8"/>
      <c r="CA56" s="45"/>
      <c r="CB56" s="8"/>
      <c r="CC56" s="45"/>
      <c r="CD56" s="8"/>
      <c r="CE56" s="45"/>
      <c r="CF56" s="8"/>
      <c r="CG56" s="45"/>
      <c r="CH56" s="8"/>
      <c r="CI56" s="45"/>
      <c r="CJ56" s="8"/>
      <c r="CK56" s="45"/>
      <c r="CL56" s="8"/>
      <c r="CM56" s="45"/>
      <c r="CN56" s="8"/>
      <c r="CO56" s="45"/>
      <c r="CP56" s="8"/>
      <c r="CQ56" s="45"/>
      <c r="CR56" s="8"/>
      <c r="CS56" s="45"/>
      <c r="CT56" s="8"/>
      <c r="CU56" s="45"/>
      <c r="CV56" s="8"/>
      <c r="CW56" s="45"/>
      <c r="CX56" s="8"/>
      <c r="CY56" s="45"/>
      <c r="CZ56" s="8"/>
      <c r="DA56" s="45"/>
      <c r="DB56" s="8"/>
      <c r="DC56" s="45"/>
      <c r="DD56" s="8"/>
      <c r="DE56" s="45"/>
      <c r="DF56" s="8"/>
      <c r="DG56" s="45"/>
      <c r="DH56" s="8"/>
      <c r="DI56" s="45"/>
      <c r="DJ56" s="8"/>
      <c r="DK56" s="45"/>
      <c r="DL56" s="8"/>
      <c r="DM56" s="45"/>
      <c r="DN56" s="8"/>
      <c r="DO56" s="45"/>
      <c r="DP56" s="8"/>
      <c r="DQ56" s="45"/>
      <c r="DR56" s="8"/>
    </row>
    <row r="57" spans="1:122" s="38" customFormat="1" x14ac:dyDescent="0.3">
      <c r="A57" s="21" t="s">
        <v>141</v>
      </c>
      <c r="B57" s="8">
        <v>2304251</v>
      </c>
      <c r="C57" s="61">
        <v>778</v>
      </c>
      <c r="D57" s="14">
        <v>3133.6851008982153</v>
      </c>
      <c r="E57" s="18">
        <v>11</v>
      </c>
      <c r="F57" s="18">
        <v>44.306601683650861</v>
      </c>
      <c r="G57" s="7">
        <v>1.4138817480719794E-2</v>
      </c>
      <c r="H57" s="63">
        <v>24827</v>
      </c>
      <c r="I57" s="19">
        <v>2236946.3084545052</v>
      </c>
      <c r="J57" s="6">
        <v>114898296.20977162</v>
      </c>
      <c r="K57" s="5">
        <v>335.92099999999999</v>
      </c>
      <c r="L57" s="4">
        <v>73.907257956483818</v>
      </c>
      <c r="M57" s="6">
        <v>8946</v>
      </c>
      <c r="N57" s="8">
        <v>0.63200000000000001</v>
      </c>
      <c r="O57" s="15">
        <v>24.2</v>
      </c>
      <c r="P57" s="90">
        <v>66761679.945220932</v>
      </c>
      <c r="Q57" s="91">
        <v>91328210.134128168</v>
      </c>
      <c r="R57" s="15">
        <v>8.3000000000000007</v>
      </c>
      <c r="S57" s="8">
        <v>6.9</v>
      </c>
      <c r="T57" s="8">
        <v>4.5</v>
      </c>
      <c r="U57" s="14">
        <v>90.738161559888596</v>
      </c>
      <c r="V57" s="20">
        <v>26121.62</v>
      </c>
      <c r="W57" s="48">
        <v>20.14</v>
      </c>
      <c r="X57" s="8">
        <v>28.57</v>
      </c>
      <c r="Y57" s="16">
        <v>50.162149177243101</v>
      </c>
      <c r="Z57" s="8">
        <v>0.77</v>
      </c>
      <c r="AA57" s="17">
        <v>2.2556088129999998</v>
      </c>
      <c r="AB57" s="34">
        <v>9.7474523703999996</v>
      </c>
      <c r="AC57" s="34">
        <v>0</v>
      </c>
      <c r="AD57" s="42">
        <v>0</v>
      </c>
      <c r="AE57" s="43">
        <v>0.57431380399483967</v>
      </c>
      <c r="AF57" s="34">
        <v>1</v>
      </c>
      <c r="AG57" s="44">
        <v>0.40699999999999997</v>
      </c>
      <c r="AH57" s="8">
        <v>0.24299999999999999</v>
      </c>
      <c r="AI57" s="17">
        <v>0.45200000000000001</v>
      </c>
      <c r="AJ57" s="8">
        <v>0.52500000000000002</v>
      </c>
      <c r="AK57" s="45">
        <v>0.40799999999999997</v>
      </c>
      <c r="AL57" s="85">
        <v>6.9843315744955087E-2</v>
      </c>
      <c r="AM57" s="44">
        <v>4.01606425702811</v>
      </c>
      <c r="AN57" s="8">
        <v>0.98968446601941751</v>
      </c>
      <c r="AO57" s="44">
        <v>0.98968446601941751</v>
      </c>
      <c r="AP57" s="85">
        <v>0.12095702259636686</v>
      </c>
      <c r="AQ57" s="45">
        <v>366.53643211020261</v>
      </c>
      <c r="AR57" s="8">
        <v>785.43521166471987</v>
      </c>
      <c r="AS57" s="45">
        <v>56.390220324646556</v>
      </c>
      <c r="AT57" s="8">
        <v>36.250855922987071</v>
      </c>
      <c r="AU57" s="45"/>
      <c r="AV57" s="45"/>
      <c r="AW57" s="8"/>
      <c r="AX57" s="45"/>
      <c r="AY57" s="8"/>
      <c r="AZ57" s="45"/>
      <c r="BA57" s="8"/>
      <c r="BB57" s="45"/>
      <c r="BC57" s="8"/>
      <c r="BD57" s="45"/>
      <c r="BE57" s="8"/>
      <c r="BF57" s="45"/>
      <c r="BG57" s="8"/>
      <c r="BH57" s="45"/>
      <c r="BI57" s="8"/>
      <c r="BJ57" s="45"/>
      <c r="BK57" s="8"/>
      <c r="BL57" s="45"/>
      <c r="BM57" s="8"/>
      <c r="BN57" s="8"/>
      <c r="BO57" s="45"/>
      <c r="BP57" s="8"/>
      <c r="BQ57" s="45"/>
      <c r="BR57" s="8"/>
      <c r="BS57" s="45"/>
      <c r="BT57" s="8"/>
      <c r="BU57" s="45"/>
      <c r="BV57" s="8"/>
      <c r="BW57" s="45"/>
      <c r="BX57" s="8"/>
      <c r="BY57" s="45"/>
      <c r="BZ57" s="8"/>
      <c r="CA57" s="45"/>
      <c r="CB57" s="8"/>
      <c r="CC57" s="45"/>
      <c r="CD57" s="8"/>
      <c r="CE57" s="45"/>
      <c r="CF57" s="8"/>
      <c r="CG57" s="45"/>
      <c r="CH57" s="8"/>
      <c r="CI57" s="45"/>
      <c r="CJ57" s="8"/>
      <c r="CK57" s="45"/>
      <c r="CL57" s="8"/>
      <c r="CM57" s="45"/>
      <c r="CN57" s="8"/>
      <c r="CO57" s="45"/>
      <c r="CP57" s="8"/>
      <c r="CQ57" s="45"/>
      <c r="CR57" s="8"/>
      <c r="CS57" s="45"/>
      <c r="CT57" s="8"/>
      <c r="CU57" s="45"/>
      <c r="CV57" s="8"/>
      <c r="CW57" s="45"/>
      <c r="CX57" s="8"/>
      <c r="CY57" s="45"/>
      <c r="CZ57" s="8"/>
      <c r="DA57" s="45"/>
      <c r="DB57" s="8"/>
      <c r="DC57" s="45"/>
      <c r="DD57" s="8"/>
      <c r="DE57" s="45"/>
      <c r="DF57" s="8"/>
      <c r="DG57" s="45"/>
      <c r="DH57" s="8"/>
      <c r="DI57" s="45"/>
      <c r="DJ57" s="8"/>
      <c r="DK57" s="45"/>
      <c r="DL57" s="8"/>
      <c r="DM57" s="45"/>
      <c r="DN57" s="8"/>
      <c r="DO57" s="45"/>
      <c r="DP57" s="8"/>
      <c r="DQ57" s="45"/>
      <c r="DR57" s="8"/>
    </row>
    <row r="58" spans="1:122" s="38" customFormat="1" x14ac:dyDescent="0.3">
      <c r="A58" s="21" t="s">
        <v>142</v>
      </c>
      <c r="B58" s="8">
        <v>2304269</v>
      </c>
      <c r="C58" s="61">
        <v>34</v>
      </c>
      <c r="D58" s="14">
        <v>353.24675324675326</v>
      </c>
      <c r="E58" s="18">
        <v>1</v>
      </c>
      <c r="F58" s="18">
        <v>10.38961038961039</v>
      </c>
      <c r="G58" s="7">
        <v>2.9411764705882353E-2</v>
      </c>
      <c r="H58" s="63">
        <v>9625</v>
      </c>
      <c r="I58" s="19">
        <v>3134586.1818181816</v>
      </c>
      <c r="J58" s="6">
        <v>86493506.493506491</v>
      </c>
      <c r="K58" s="5">
        <v>471.13400000000001</v>
      </c>
      <c r="L58" s="4">
        <v>20.429431966277111</v>
      </c>
      <c r="M58" s="6">
        <v>6413.75</v>
      </c>
      <c r="N58" s="8">
        <v>0.60899999999999999</v>
      </c>
      <c r="O58" s="15">
        <v>15.2</v>
      </c>
      <c r="P58" s="90">
        <v>98281792.415584415</v>
      </c>
      <c r="Q58" s="91">
        <v>90169787.532467529</v>
      </c>
      <c r="R58" s="15">
        <v>8.3000000000000007</v>
      </c>
      <c r="S58" s="8">
        <v>5.4</v>
      </c>
      <c r="T58" s="8">
        <v>4.2</v>
      </c>
      <c r="U58" s="14">
        <v>100</v>
      </c>
      <c r="V58" s="20">
        <v>7528.75</v>
      </c>
      <c r="W58" s="48">
        <v>20.78</v>
      </c>
      <c r="X58" s="8">
        <v>32.43</v>
      </c>
      <c r="Y58" s="16">
        <v>44.152349410059998</v>
      </c>
      <c r="Z58" s="8">
        <v>1.35</v>
      </c>
      <c r="AA58" s="17">
        <v>1.2467532468</v>
      </c>
      <c r="AB58" s="34">
        <v>11.1168831169</v>
      </c>
      <c r="AC58" s="34">
        <v>0</v>
      </c>
      <c r="AD58" s="42">
        <v>1</v>
      </c>
      <c r="AE58" s="43">
        <v>0.54557449147883452</v>
      </c>
      <c r="AF58" s="34">
        <v>1</v>
      </c>
      <c r="AG58" s="44">
        <v>0.42399999999999999</v>
      </c>
      <c r="AH58" s="8">
        <v>0.248</v>
      </c>
      <c r="AI58" s="17">
        <v>0.44700000000000001</v>
      </c>
      <c r="AJ58" s="8">
        <v>0.57699999999999996</v>
      </c>
      <c r="AK58" s="45">
        <v>0.51400000000000001</v>
      </c>
      <c r="AL58" s="85">
        <v>6.1090909090909092E-2</v>
      </c>
      <c r="AM58" s="44">
        <v>11.4942528735632</v>
      </c>
      <c r="AN58" s="8">
        <v>1</v>
      </c>
      <c r="AO58" s="44">
        <v>1</v>
      </c>
      <c r="AP58" s="85">
        <v>0.17163636363636364</v>
      </c>
      <c r="AQ58" s="45">
        <v>498.7012987012987</v>
      </c>
      <c r="AR58" s="8">
        <v>519.48051948051943</v>
      </c>
      <c r="AS58" s="45">
        <v>93.506493506493513</v>
      </c>
      <c r="AT58" s="8">
        <v>0</v>
      </c>
      <c r="AU58" s="45"/>
      <c r="AV58" s="45"/>
      <c r="AW58" s="8"/>
      <c r="AX58" s="45"/>
      <c r="AY58" s="8"/>
      <c r="AZ58" s="45"/>
      <c r="BA58" s="8"/>
      <c r="BB58" s="45"/>
      <c r="BC58" s="8"/>
      <c r="BD58" s="45"/>
      <c r="BE58" s="8"/>
      <c r="BF58" s="45"/>
      <c r="BG58" s="8"/>
      <c r="BH58" s="45"/>
      <c r="BI58" s="8"/>
      <c r="BJ58" s="45"/>
      <c r="BK58" s="8"/>
      <c r="BL58" s="45"/>
      <c r="BM58" s="8"/>
      <c r="BN58" s="8"/>
      <c r="BO58" s="45"/>
      <c r="BP58" s="8"/>
      <c r="BQ58" s="45"/>
      <c r="BR58" s="8"/>
      <c r="BS58" s="45"/>
      <c r="BT58" s="8"/>
      <c r="BU58" s="45"/>
      <c r="BV58" s="8"/>
      <c r="BW58" s="45"/>
      <c r="BX58" s="8"/>
      <c r="BY58" s="45"/>
      <c r="BZ58" s="8"/>
      <c r="CA58" s="45"/>
      <c r="CB58" s="8"/>
      <c r="CC58" s="45"/>
      <c r="CD58" s="8"/>
      <c r="CE58" s="45"/>
      <c r="CF58" s="8"/>
      <c r="CG58" s="45"/>
      <c r="CH58" s="8"/>
      <c r="CI58" s="45"/>
      <c r="CJ58" s="8"/>
      <c r="CK58" s="45"/>
      <c r="CL58" s="8"/>
      <c r="CM58" s="45"/>
      <c r="CN58" s="8"/>
      <c r="CO58" s="45"/>
      <c r="CP58" s="8"/>
      <c r="CQ58" s="45"/>
      <c r="CR58" s="8"/>
      <c r="CS58" s="45"/>
      <c r="CT58" s="8"/>
      <c r="CU58" s="45"/>
      <c r="CV58" s="8"/>
      <c r="CW58" s="45"/>
      <c r="CX58" s="8"/>
      <c r="CY58" s="45"/>
      <c r="CZ58" s="8"/>
      <c r="DA58" s="45"/>
      <c r="DB58" s="8"/>
      <c r="DC58" s="45"/>
      <c r="DD58" s="8"/>
      <c r="DE58" s="45"/>
      <c r="DF58" s="8"/>
      <c r="DG58" s="45"/>
      <c r="DH58" s="8"/>
      <c r="DI58" s="45"/>
      <c r="DJ58" s="8"/>
      <c r="DK58" s="45"/>
      <c r="DL58" s="8"/>
      <c r="DM58" s="45"/>
      <c r="DN58" s="8"/>
      <c r="DO58" s="45"/>
      <c r="DP58" s="8"/>
      <c r="DQ58" s="45"/>
      <c r="DR58" s="8"/>
    </row>
    <row r="59" spans="1:122" s="38" customFormat="1" x14ac:dyDescent="0.3">
      <c r="A59" s="21" t="s">
        <v>143</v>
      </c>
      <c r="B59" s="8">
        <v>2304277</v>
      </c>
      <c r="C59" s="61">
        <v>72</v>
      </c>
      <c r="D59" s="14">
        <v>1000.2778549597109</v>
      </c>
      <c r="E59" s="18">
        <v>4</v>
      </c>
      <c r="F59" s="18">
        <v>55.570991942206163</v>
      </c>
      <c r="G59" s="7">
        <v>5.5555555555555552E-2</v>
      </c>
      <c r="H59" s="63">
        <v>7198</v>
      </c>
      <c r="I59" s="19">
        <v>3334027.7854959709</v>
      </c>
      <c r="J59" s="6">
        <v>79005279.244234502</v>
      </c>
      <c r="K59" s="5">
        <v>362.90600000000001</v>
      </c>
      <c r="L59" s="4">
        <v>19.834337266399562</v>
      </c>
      <c r="M59" s="6">
        <v>6983.79</v>
      </c>
      <c r="N59" s="8">
        <v>0.61</v>
      </c>
      <c r="O59" s="15">
        <v>13.49</v>
      </c>
      <c r="P59" s="90">
        <v>98574439.9833287</v>
      </c>
      <c r="Q59" s="91">
        <v>96227651.292025566</v>
      </c>
      <c r="R59" s="15">
        <v>6.3</v>
      </c>
      <c r="S59" s="8">
        <v>4.8</v>
      </c>
      <c r="T59" s="8">
        <v>4.0999999999999996</v>
      </c>
      <c r="U59" s="14">
        <v>99.761173660866604</v>
      </c>
      <c r="V59" s="20">
        <v>5917.05</v>
      </c>
      <c r="W59" s="48">
        <v>13.89</v>
      </c>
      <c r="X59" s="8">
        <v>29.41</v>
      </c>
      <c r="Y59" s="16">
        <v>37.730103806228399</v>
      </c>
      <c r="Z59" s="8">
        <v>0.69</v>
      </c>
      <c r="AA59" s="17">
        <v>1.2503473187</v>
      </c>
      <c r="AB59" s="34">
        <v>11.2531258683</v>
      </c>
      <c r="AC59" s="34">
        <v>0</v>
      </c>
      <c r="AD59" s="42">
        <v>1</v>
      </c>
      <c r="AE59" s="43">
        <v>0.49444444444444446</v>
      </c>
      <c r="AF59" s="34">
        <v>1</v>
      </c>
      <c r="AG59" s="44">
        <v>0.40600000000000003</v>
      </c>
      <c r="AH59" s="8">
        <v>0.19</v>
      </c>
      <c r="AI59" s="17">
        <v>0.54500000000000004</v>
      </c>
      <c r="AJ59" s="8">
        <v>0.48299999999999998</v>
      </c>
      <c r="AK59" s="45">
        <v>0.51200000000000001</v>
      </c>
      <c r="AL59" s="85">
        <v>6.3350930814115025E-2</v>
      </c>
      <c r="AM59" s="44">
        <v>166.666666666667</v>
      </c>
      <c r="AN59" s="8">
        <v>1</v>
      </c>
      <c r="AO59" s="44">
        <v>1</v>
      </c>
      <c r="AP59" s="85">
        <v>0.16032231175326481</v>
      </c>
      <c r="AQ59" s="45">
        <v>236.17671575437623</v>
      </c>
      <c r="AR59" s="8">
        <v>180.60572381217005</v>
      </c>
      <c r="AS59" s="45">
        <v>13.892747985551541</v>
      </c>
      <c r="AT59" s="8">
        <v>0</v>
      </c>
      <c r="AU59" s="45"/>
      <c r="AV59" s="45"/>
      <c r="AW59" s="8"/>
      <c r="AX59" s="45"/>
      <c r="AY59" s="8"/>
      <c r="AZ59" s="45"/>
      <c r="BA59" s="8"/>
      <c r="BB59" s="45"/>
      <c r="BC59" s="8"/>
      <c r="BD59" s="45"/>
      <c r="BE59" s="8"/>
      <c r="BF59" s="45"/>
      <c r="BG59" s="8"/>
      <c r="BH59" s="45"/>
      <c r="BI59" s="8"/>
      <c r="BJ59" s="45"/>
      <c r="BK59" s="8"/>
      <c r="BL59" s="45"/>
      <c r="BM59" s="8"/>
      <c r="BN59" s="8"/>
      <c r="BO59" s="45"/>
      <c r="BP59" s="8"/>
      <c r="BQ59" s="45"/>
      <c r="BR59" s="8"/>
      <c r="BS59" s="45"/>
      <c r="BT59" s="8"/>
      <c r="BU59" s="45"/>
      <c r="BV59" s="8"/>
      <c r="BW59" s="45"/>
      <c r="BX59" s="8"/>
      <c r="BY59" s="45"/>
      <c r="BZ59" s="8"/>
      <c r="CA59" s="45"/>
      <c r="CB59" s="8"/>
      <c r="CC59" s="45"/>
      <c r="CD59" s="8"/>
      <c r="CE59" s="45"/>
      <c r="CF59" s="8"/>
      <c r="CG59" s="45"/>
      <c r="CH59" s="8"/>
      <c r="CI59" s="45"/>
      <c r="CJ59" s="8"/>
      <c r="CK59" s="45"/>
      <c r="CL59" s="8"/>
      <c r="CM59" s="45"/>
      <c r="CN59" s="8"/>
      <c r="CO59" s="45"/>
      <c r="CP59" s="8"/>
      <c r="CQ59" s="45"/>
      <c r="CR59" s="8"/>
      <c r="CS59" s="45"/>
      <c r="CT59" s="8"/>
      <c r="CU59" s="45"/>
      <c r="CV59" s="8"/>
      <c r="CW59" s="45"/>
      <c r="CX59" s="8"/>
      <c r="CY59" s="45"/>
      <c r="CZ59" s="8"/>
      <c r="DA59" s="45"/>
      <c r="DB59" s="8"/>
      <c r="DC59" s="45"/>
      <c r="DD59" s="8"/>
      <c r="DE59" s="45"/>
      <c r="DF59" s="8"/>
      <c r="DG59" s="45"/>
      <c r="DH59" s="8"/>
      <c r="DI59" s="45"/>
      <c r="DJ59" s="8"/>
      <c r="DK59" s="45"/>
      <c r="DL59" s="8"/>
      <c r="DM59" s="45"/>
      <c r="DN59" s="8"/>
      <c r="DO59" s="45"/>
      <c r="DP59" s="8"/>
      <c r="DQ59" s="45"/>
      <c r="DR59" s="8"/>
    </row>
    <row r="60" spans="1:122" s="38" customFormat="1" x14ac:dyDescent="0.3">
      <c r="A60" s="21" t="s">
        <v>144</v>
      </c>
      <c r="B60" s="8">
        <v>2304285</v>
      </c>
      <c r="C60" s="61">
        <v>1610</v>
      </c>
      <c r="D60" s="14">
        <v>3002.7229661680781</v>
      </c>
      <c r="E60" s="18">
        <v>58</v>
      </c>
      <c r="F60" s="18">
        <v>108.17262859487485</v>
      </c>
      <c r="G60" s="7">
        <v>3.6024844720496892E-2</v>
      </c>
      <c r="H60" s="63">
        <v>53618</v>
      </c>
      <c r="I60" s="19">
        <v>10868373.344772277</v>
      </c>
      <c r="J60" s="6">
        <v>89120444.626804426</v>
      </c>
      <c r="K60" s="5">
        <v>78.817999999999998</v>
      </c>
      <c r="L60" s="4">
        <v>680.27607906823312</v>
      </c>
      <c r="M60" s="6">
        <v>46830.080000000002</v>
      </c>
      <c r="N60" s="8">
        <v>0.70099999999999996</v>
      </c>
      <c r="O60" s="15">
        <v>60.5</v>
      </c>
      <c r="P60" s="90">
        <v>172487494.72192174</v>
      </c>
      <c r="Q60" s="91">
        <v>164407384.74019918</v>
      </c>
      <c r="R60" s="15">
        <v>6.1</v>
      </c>
      <c r="S60" s="8">
        <v>5.3</v>
      </c>
      <c r="T60" s="8">
        <v>4.5</v>
      </c>
      <c r="U60" s="14">
        <v>94.261255548509794</v>
      </c>
      <c r="V60" s="20">
        <v>241843.62</v>
      </c>
      <c r="W60" s="48">
        <v>39.17</v>
      </c>
      <c r="X60" s="8">
        <v>29.51</v>
      </c>
      <c r="Y60" s="16">
        <v>28.991295065977098</v>
      </c>
      <c r="Z60" s="8">
        <v>0.54</v>
      </c>
      <c r="AA60" s="17">
        <v>1.0444253795</v>
      </c>
      <c r="AB60" s="34">
        <v>13.5029281212</v>
      </c>
      <c r="AC60" s="34">
        <v>1</v>
      </c>
      <c r="AD60" s="42">
        <v>0</v>
      </c>
      <c r="AE60" s="43">
        <v>0</v>
      </c>
      <c r="AF60" s="34">
        <v>1</v>
      </c>
      <c r="AG60" s="44">
        <v>0.35099999999999998</v>
      </c>
      <c r="AH60" s="8">
        <v>0.23300000000000001</v>
      </c>
      <c r="AI60" s="17">
        <v>0.44700000000000001</v>
      </c>
      <c r="AJ60" s="8">
        <v>0.374</v>
      </c>
      <c r="AK60" s="45">
        <v>0.54100000000000004</v>
      </c>
      <c r="AL60" s="85">
        <v>0.73156402700585621</v>
      </c>
      <c r="AM60" s="44">
        <v>15.484922575387101</v>
      </c>
      <c r="AN60" s="8">
        <v>0.85212097407698395</v>
      </c>
      <c r="AO60" s="44">
        <v>0.85212097407698373</v>
      </c>
      <c r="AP60" s="85">
        <v>8.9298369950389797E-2</v>
      </c>
      <c r="AQ60" s="45">
        <v>399.11969860867617</v>
      </c>
      <c r="AR60" s="8">
        <v>335.70815770823231</v>
      </c>
      <c r="AS60" s="45">
        <v>18.650453206012909</v>
      </c>
      <c r="AT60" s="8">
        <v>13.055317244209034</v>
      </c>
      <c r="AU60" s="45"/>
      <c r="AV60" s="45"/>
      <c r="AW60" s="8"/>
      <c r="AX60" s="45"/>
      <c r="AY60" s="8"/>
      <c r="AZ60" s="45"/>
      <c r="BA60" s="8"/>
      <c r="BB60" s="45"/>
      <c r="BC60" s="8"/>
      <c r="BD60" s="45"/>
      <c r="BE60" s="8"/>
      <c r="BF60" s="45"/>
      <c r="BG60" s="8"/>
      <c r="BH60" s="45"/>
      <c r="BI60" s="8"/>
      <c r="BJ60" s="45"/>
      <c r="BK60" s="8"/>
      <c r="BL60" s="45"/>
      <c r="BM60" s="8"/>
      <c r="BN60" s="8"/>
      <c r="BO60" s="45"/>
      <c r="BP60" s="8"/>
      <c r="BQ60" s="45"/>
      <c r="BR60" s="8"/>
      <c r="BS60" s="45"/>
      <c r="BT60" s="8"/>
      <c r="BU60" s="45"/>
      <c r="BV60" s="8"/>
      <c r="BW60" s="45"/>
      <c r="BX60" s="8"/>
      <c r="BY60" s="45"/>
      <c r="BZ60" s="8"/>
      <c r="CA60" s="45"/>
      <c r="CB60" s="8"/>
      <c r="CC60" s="45"/>
      <c r="CD60" s="8"/>
      <c r="CE60" s="45"/>
      <c r="CF60" s="8"/>
      <c r="CG60" s="45"/>
      <c r="CH60" s="8"/>
      <c r="CI60" s="45"/>
      <c r="CJ60" s="8"/>
      <c r="CK60" s="45"/>
      <c r="CL60" s="8"/>
      <c r="CM60" s="45"/>
      <c r="CN60" s="8"/>
      <c r="CO60" s="45"/>
      <c r="CP60" s="8"/>
      <c r="CQ60" s="45"/>
      <c r="CR60" s="8"/>
      <c r="CS60" s="45"/>
      <c r="CT60" s="8"/>
      <c r="CU60" s="45"/>
      <c r="CV60" s="8"/>
      <c r="CW60" s="45"/>
      <c r="CX60" s="8"/>
      <c r="CY60" s="45"/>
      <c r="CZ60" s="8"/>
      <c r="DA60" s="45"/>
      <c r="DB60" s="8"/>
      <c r="DC60" s="45"/>
      <c r="DD60" s="8"/>
      <c r="DE60" s="45"/>
      <c r="DF60" s="8"/>
      <c r="DG60" s="45"/>
      <c r="DH60" s="8"/>
      <c r="DI60" s="45"/>
      <c r="DJ60" s="8"/>
      <c r="DK60" s="45"/>
      <c r="DL60" s="8"/>
      <c r="DM60" s="45"/>
      <c r="DN60" s="8"/>
      <c r="DO60" s="45"/>
      <c r="DP60" s="8"/>
      <c r="DQ60" s="45"/>
      <c r="DR60" s="8"/>
    </row>
    <row r="61" spans="1:122" s="38" customFormat="1" x14ac:dyDescent="0.3">
      <c r="A61" s="21" t="s">
        <v>145</v>
      </c>
      <c r="B61" s="8">
        <v>2304301</v>
      </c>
      <c r="C61" s="61">
        <v>606</v>
      </c>
      <c r="D61" s="14">
        <v>3115.6812339331623</v>
      </c>
      <c r="E61" s="18">
        <v>8</v>
      </c>
      <c r="F61" s="18">
        <v>41.131105398457585</v>
      </c>
      <c r="G61" s="7">
        <v>1.3201320132013201E-2</v>
      </c>
      <c r="H61" s="63">
        <v>19450</v>
      </c>
      <c r="I61" s="19">
        <v>1930886.4781491004</v>
      </c>
      <c r="J61" s="6">
        <v>96758868.894601539</v>
      </c>
      <c r="K61" s="5">
        <v>530.54</v>
      </c>
      <c r="L61" s="4">
        <v>36.660760734346141</v>
      </c>
      <c r="M61" s="6">
        <v>8195.1299999999992</v>
      </c>
      <c r="N61" s="8">
        <v>0.63300000000000001</v>
      </c>
      <c r="O61" s="15">
        <v>25.43</v>
      </c>
      <c r="P61" s="90">
        <v>75619187.197943449</v>
      </c>
      <c r="Q61" s="91">
        <v>90289560.874035984</v>
      </c>
      <c r="R61" s="15">
        <v>6.4</v>
      </c>
      <c r="S61" s="8">
        <v>5.0999999999999996</v>
      </c>
      <c r="T61" s="8">
        <v>4.5999999999999996</v>
      </c>
      <c r="U61" s="14">
        <v>98.721227621483393</v>
      </c>
      <c r="V61" s="20">
        <v>15662.81</v>
      </c>
      <c r="W61" s="48">
        <v>5.14</v>
      </c>
      <c r="X61" s="8">
        <v>31.71</v>
      </c>
      <c r="Y61" s="16">
        <v>47.676517613079596</v>
      </c>
      <c r="Z61" s="8">
        <v>1.23</v>
      </c>
      <c r="AA61" s="17">
        <v>2.2107969152</v>
      </c>
      <c r="AB61" s="34">
        <v>10.591259640100001</v>
      </c>
      <c r="AC61" s="34">
        <v>0</v>
      </c>
      <c r="AD61" s="42">
        <v>1</v>
      </c>
      <c r="AE61" s="43">
        <v>0.53327721365812597</v>
      </c>
      <c r="AF61" s="34">
        <v>0</v>
      </c>
      <c r="AG61" s="44">
        <v>0.39200000000000002</v>
      </c>
      <c r="AH61" s="8">
        <v>0.186</v>
      </c>
      <c r="AI61" s="17">
        <v>0.434</v>
      </c>
      <c r="AJ61" s="8">
        <v>0.55500000000000005</v>
      </c>
      <c r="AK61" s="45">
        <v>0.68100000000000005</v>
      </c>
      <c r="AL61" s="85">
        <v>6.0308483290488435E-2</v>
      </c>
      <c r="AM61" s="44">
        <v>11.235955056179799</v>
      </c>
      <c r="AN61" s="8">
        <v>0.89717741935483875</v>
      </c>
      <c r="AO61" s="44">
        <v>0.89717741935483875</v>
      </c>
      <c r="AP61" s="85">
        <v>0.15789203084832906</v>
      </c>
      <c r="AQ61" s="45">
        <v>529.56298200514141</v>
      </c>
      <c r="AR61" s="8">
        <v>1033.4190231362468</v>
      </c>
      <c r="AS61" s="45">
        <v>71.979434447300761</v>
      </c>
      <c r="AT61" s="8">
        <v>5.1413881748071981</v>
      </c>
      <c r="AU61" s="45"/>
      <c r="AV61" s="45"/>
      <c r="AW61" s="8"/>
      <c r="AX61" s="45"/>
      <c r="AY61" s="8"/>
      <c r="AZ61" s="45"/>
      <c r="BA61" s="8"/>
      <c r="BB61" s="45"/>
      <c r="BC61" s="8"/>
      <c r="BD61" s="45"/>
      <c r="BE61" s="8"/>
      <c r="BF61" s="45"/>
      <c r="BG61" s="8"/>
      <c r="BH61" s="45"/>
      <c r="BI61" s="8"/>
      <c r="BJ61" s="45"/>
      <c r="BK61" s="8"/>
      <c r="BL61" s="45"/>
      <c r="BM61" s="8"/>
      <c r="BN61" s="8"/>
      <c r="BO61" s="45"/>
      <c r="BP61" s="8"/>
      <c r="BQ61" s="45"/>
      <c r="BR61" s="8"/>
      <c r="BS61" s="45"/>
      <c r="BT61" s="8"/>
      <c r="BU61" s="45"/>
      <c r="BV61" s="8"/>
      <c r="BW61" s="45"/>
      <c r="BX61" s="8"/>
      <c r="BY61" s="45"/>
      <c r="BZ61" s="8"/>
      <c r="CA61" s="45"/>
      <c r="CB61" s="8"/>
      <c r="CC61" s="45"/>
      <c r="CD61" s="8"/>
      <c r="CE61" s="45"/>
      <c r="CF61" s="8"/>
      <c r="CG61" s="45"/>
      <c r="CH61" s="8"/>
      <c r="CI61" s="45"/>
      <c r="CJ61" s="8"/>
      <c r="CK61" s="45"/>
      <c r="CL61" s="8"/>
      <c r="CM61" s="45"/>
      <c r="CN61" s="8"/>
      <c r="CO61" s="45"/>
      <c r="CP61" s="8"/>
      <c r="CQ61" s="45"/>
      <c r="CR61" s="8"/>
      <c r="CS61" s="45"/>
      <c r="CT61" s="8"/>
      <c r="CU61" s="45"/>
      <c r="CV61" s="8"/>
      <c r="CW61" s="45"/>
      <c r="CX61" s="8"/>
      <c r="CY61" s="45"/>
      <c r="CZ61" s="8"/>
      <c r="DA61" s="45"/>
      <c r="DB61" s="8"/>
      <c r="DC61" s="45"/>
      <c r="DD61" s="8"/>
      <c r="DE61" s="45"/>
      <c r="DF61" s="8"/>
      <c r="DG61" s="45"/>
      <c r="DH61" s="8"/>
      <c r="DI61" s="45"/>
      <c r="DJ61" s="8"/>
      <c r="DK61" s="45"/>
      <c r="DL61" s="8"/>
      <c r="DM61" s="45"/>
      <c r="DN61" s="8"/>
      <c r="DO61" s="45"/>
      <c r="DP61" s="8"/>
      <c r="DQ61" s="45"/>
      <c r="DR61" s="8"/>
    </row>
    <row r="62" spans="1:122" s="38" customFormat="1" x14ac:dyDescent="0.3">
      <c r="A62" s="21" t="s">
        <v>146</v>
      </c>
      <c r="B62" s="8">
        <v>2304350</v>
      </c>
      <c r="C62" s="61">
        <v>591</v>
      </c>
      <c r="D62" s="14">
        <v>2440.3336361384095</v>
      </c>
      <c r="E62" s="18">
        <v>22</v>
      </c>
      <c r="F62" s="18">
        <v>90.841522834255514</v>
      </c>
      <c r="G62" s="7">
        <v>3.7225042301184431E-2</v>
      </c>
      <c r="H62" s="63">
        <v>24218</v>
      </c>
      <c r="I62" s="19">
        <v>3564747.0889421087</v>
      </c>
      <c r="J62" s="6">
        <v>95187876.78586176</v>
      </c>
      <c r="K62" s="5">
        <v>568.77800000000002</v>
      </c>
      <c r="L62" s="4">
        <v>42.579002704042701</v>
      </c>
      <c r="M62" s="6">
        <v>7698.67</v>
      </c>
      <c r="N62" s="8">
        <v>0.64400000000000002</v>
      </c>
      <c r="O62" s="15">
        <v>25.2</v>
      </c>
      <c r="P62" s="90">
        <v>53451067.965975724</v>
      </c>
      <c r="Q62" s="91">
        <v>82606665.042530343</v>
      </c>
      <c r="R62" s="15">
        <v>7</v>
      </c>
      <c r="S62" s="8">
        <v>5.7</v>
      </c>
      <c r="T62" s="8">
        <v>4.4000000000000004</v>
      </c>
      <c r="U62" s="14">
        <v>98.934737357658904</v>
      </c>
      <c r="V62" s="20">
        <v>38439.919999999998</v>
      </c>
      <c r="W62" s="48">
        <v>37.159999999999997</v>
      </c>
      <c r="X62" s="8">
        <v>27.5</v>
      </c>
      <c r="Y62" s="16">
        <v>38.520366432193697</v>
      </c>
      <c r="Z62" s="8">
        <v>0.62</v>
      </c>
      <c r="AA62" s="17">
        <v>0.3303328103</v>
      </c>
      <c r="AB62" s="34">
        <v>8.1344454537999997</v>
      </c>
      <c r="AC62" s="34">
        <v>0</v>
      </c>
      <c r="AD62" s="42">
        <v>1</v>
      </c>
      <c r="AE62" s="43">
        <v>0.2897732488754246</v>
      </c>
      <c r="AF62" s="34">
        <v>0</v>
      </c>
      <c r="AG62" s="44">
        <v>0.32100000000000001</v>
      </c>
      <c r="AH62" s="8">
        <v>5.6000000000000001E-2</v>
      </c>
      <c r="AI62" s="17">
        <v>0.5</v>
      </c>
      <c r="AJ62" s="8">
        <v>0.40799999999999997</v>
      </c>
      <c r="AK62" s="45">
        <v>0.52200000000000002</v>
      </c>
      <c r="AL62" s="85">
        <v>8.9107275580147E-2</v>
      </c>
      <c r="AM62" s="44">
        <v>12.2324159021407</v>
      </c>
      <c r="AN62" s="8">
        <v>0.99021352313167255</v>
      </c>
      <c r="AO62" s="44">
        <v>0.99021352313167244</v>
      </c>
      <c r="AP62" s="85">
        <v>0.117515897266496</v>
      </c>
      <c r="AQ62" s="45">
        <v>355.10777107936246</v>
      </c>
      <c r="AR62" s="8">
        <v>330.33281030638369</v>
      </c>
      <c r="AS62" s="45">
        <v>41.291601288297962</v>
      </c>
      <c r="AT62" s="8">
        <v>8.2583202576595927</v>
      </c>
      <c r="AU62" s="45"/>
      <c r="AV62" s="45"/>
      <c r="AW62" s="8"/>
      <c r="AX62" s="45"/>
      <c r="AY62" s="8"/>
      <c r="AZ62" s="45"/>
      <c r="BA62" s="8"/>
      <c r="BB62" s="45"/>
      <c r="BC62" s="8"/>
      <c r="BD62" s="45"/>
      <c r="BE62" s="8"/>
      <c r="BF62" s="45"/>
      <c r="BG62" s="8"/>
      <c r="BH62" s="45"/>
      <c r="BI62" s="8"/>
      <c r="BJ62" s="45"/>
      <c r="BK62" s="8"/>
      <c r="BL62" s="45"/>
      <c r="BM62" s="8"/>
      <c r="BN62" s="8"/>
      <c r="BO62" s="45"/>
      <c r="BP62" s="8"/>
      <c r="BQ62" s="45"/>
      <c r="BR62" s="8"/>
      <c r="BS62" s="45"/>
      <c r="BT62" s="8"/>
      <c r="BU62" s="45"/>
      <c r="BV62" s="8"/>
      <c r="BW62" s="45"/>
      <c r="BX62" s="8"/>
      <c r="BY62" s="45"/>
      <c r="BZ62" s="8"/>
      <c r="CA62" s="45"/>
      <c r="CB62" s="8"/>
      <c r="CC62" s="45"/>
      <c r="CD62" s="8"/>
      <c r="CE62" s="45"/>
      <c r="CF62" s="8"/>
      <c r="CG62" s="45"/>
      <c r="CH62" s="8"/>
      <c r="CI62" s="45"/>
      <c r="CJ62" s="8"/>
      <c r="CK62" s="45"/>
      <c r="CL62" s="8"/>
      <c r="CM62" s="45"/>
      <c r="CN62" s="8"/>
      <c r="CO62" s="45"/>
      <c r="CP62" s="8"/>
      <c r="CQ62" s="45"/>
      <c r="CR62" s="8"/>
      <c r="CS62" s="45"/>
      <c r="CT62" s="8"/>
      <c r="CU62" s="45"/>
      <c r="CV62" s="8"/>
      <c r="CW62" s="45"/>
      <c r="CX62" s="8"/>
      <c r="CY62" s="45"/>
      <c r="CZ62" s="8"/>
      <c r="DA62" s="45"/>
      <c r="DB62" s="8"/>
      <c r="DC62" s="45"/>
      <c r="DD62" s="8"/>
      <c r="DE62" s="45"/>
      <c r="DF62" s="8"/>
      <c r="DG62" s="45"/>
      <c r="DH62" s="8"/>
      <c r="DI62" s="45"/>
      <c r="DJ62" s="8"/>
      <c r="DK62" s="45"/>
      <c r="DL62" s="8"/>
      <c r="DM62" s="45"/>
      <c r="DN62" s="8"/>
      <c r="DO62" s="45"/>
      <c r="DP62" s="8"/>
      <c r="DQ62" s="45"/>
      <c r="DR62" s="8"/>
    </row>
    <row r="63" spans="1:122" s="38" customFormat="1" x14ac:dyDescent="0.3">
      <c r="A63" s="21" t="s">
        <v>147</v>
      </c>
      <c r="B63" s="8">
        <v>2304400</v>
      </c>
      <c r="C63" s="61">
        <v>42176</v>
      </c>
      <c r="D63" s="14">
        <v>1580.0148501016356</v>
      </c>
      <c r="E63" s="18">
        <v>3689</v>
      </c>
      <c r="F63" s="18">
        <v>138.19885200172928</v>
      </c>
      <c r="G63" s="7">
        <v>8.7466805766312591E-2</v>
      </c>
      <c r="H63" s="63">
        <v>2669342</v>
      </c>
      <c r="I63" s="19">
        <v>7307086.8682244541</v>
      </c>
      <c r="J63" s="6">
        <v>78748283.284794524</v>
      </c>
      <c r="K63" s="5">
        <v>312.35300000000001</v>
      </c>
      <c r="L63" s="4">
        <v>8545.9143981328816</v>
      </c>
      <c r="M63" s="6">
        <v>25356.73</v>
      </c>
      <c r="N63" s="8">
        <v>0.754</v>
      </c>
      <c r="O63" s="15">
        <v>65.5</v>
      </c>
      <c r="P63" s="90">
        <v>73458236.486744672</v>
      </c>
      <c r="Q63" s="91">
        <v>49321615.150475278</v>
      </c>
      <c r="R63" s="15">
        <v>6.2</v>
      </c>
      <c r="S63" s="8">
        <v>5.0999999999999996</v>
      </c>
      <c r="T63" s="8">
        <v>4.3</v>
      </c>
      <c r="U63" s="14">
        <v>98.638952970432399</v>
      </c>
      <c r="V63" s="20">
        <v>4978519.75</v>
      </c>
      <c r="W63" s="48">
        <v>28.13</v>
      </c>
      <c r="X63" s="8">
        <v>30.62</v>
      </c>
      <c r="Y63" s="16">
        <v>22.561389586587101</v>
      </c>
      <c r="Z63" s="8">
        <v>0.12</v>
      </c>
      <c r="AA63" s="17">
        <v>2.2837088690999998</v>
      </c>
      <c r="AB63" s="34">
        <v>9.0505450406999994</v>
      </c>
      <c r="AC63" s="34">
        <v>1</v>
      </c>
      <c r="AD63" s="42">
        <v>0</v>
      </c>
      <c r="AE63" s="43">
        <v>0</v>
      </c>
      <c r="AF63" s="34">
        <v>0</v>
      </c>
      <c r="AG63" s="44">
        <v>0.33</v>
      </c>
      <c r="AH63" s="8">
        <v>0.374</v>
      </c>
      <c r="AI63" s="17">
        <v>0.33400000000000002</v>
      </c>
      <c r="AJ63" s="8">
        <v>0.28299999999999997</v>
      </c>
      <c r="AK63" s="45">
        <v>0.60199999999999998</v>
      </c>
      <c r="AL63" s="85">
        <v>0.29273731129244585</v>
      </c>
      <c r="AM63" s="44">
        <v>11.562017056837</v>
      </c>
      <c r="AN63" s="8">
        <v>0.81967972111770793</v>
      </c>
      <c r="AO63" s="44">
        <v>0.81967972111770793</v>
      </c>
      <c r="AP63" s="85">
        <v>0.12379267999379623</v>
      </c>
      <c r="AQ63" s="45">
        <v>484.50142394642575</v>
      </c>
      <c r="AR63" s="8">
        <v>506.60424928690293</v>
      </c>
      <c r="AS63" s="45">
        <v>31.356042050812523</v>
      </c>
      <c r="AT63" s="8">
        <v>53.908416381265496</v>
      </c>
      <c r="AU63" s="45"/>
      <c r="AV63" s="45"/>
      <c r="AW63" s="8"/>
      <c r="AX63" s="45"/>
      <c r="AY63" s="8"/>
      <c r="AZ63" s="45"/>
      <c r="BA63" s="8"/>
      <c r="BB63" s="45"/>
      <c r="BC63" s="8"/>
      <c r="BD63" s="45"/>
      <c r="BE63" s="8"/>
      <c r="BF63" s="45"/>
      <c r="BG63" s="8"/>
      <c r="BH63" s="45"/>
      <c r="BI63" s="8"/>
      <c r="BJ63" s="45"/>
      <c r="BK63" s="8"/>
      <c r="BL63" s="45"/>
      <c r="BM63" s="8"/>
      <c r="BN63" s="8"/>
      <c r="BO63" s="45"/>
      <c r="BP63" s="8"/>
      <c r="BQ63" s="45"/>
      <c r="BR63" s="8"/>
      <c r="BS63" s="45"/>
      <c r="BT63" s="8"/>
      <c r="BU63" s="45"/>
      <c r="BV63" s="8"/>
      <c r="BW63" s="45"/>
      <c r="BX63" s="8"/>
      <c r="BY63" s="45"/>
      <c r="BZ63" s="8"/>
      <c r="CA63" s="45"/>
      <c r="CB63" s="8"/>
      <c r="CC63" s="45"/>
      <c r="CD63" s="8"/>
      <c r="CE63" s="45"/>
      <c r="CF63" s="8"/>
      <c r="CG63" s="45"/>
      <c r="CH63" s="8"/>
      <c r="CI63" s="45"/>
      <c r="CJ63" s="8"/>
      <c r="CK63" s="45"/>
      <c r="CL63" s="8"/>
      <c r="CM63" s="45"/>
      <c r="CN63" s="8"/>
      <c r="CO63" s="45"/>
      <c r="CP63" s="8"/>
      <c r="CQ63" s="45"/>
      <c r="CR63" s="8"/>
      <c r="CS63" s="45"/>
      <c r="CT63" s="8"/>
      <c r="CU63" s="45"/>
      <c r="CV63" s="8"/>
      <c r="CW63" s="45"/>
      <c r="CX63" s="8"/>
      <c r="CY63" s="45"/>
      <c r="CZ63" s="8"/>
      <c r="DA63" s="45"/>
      <c r="DB63" s="8"/>
      <c r="DC63" s="45"/>
      <c r="DD63" s="8"/>
      <c r="DE63" s="45"/>
      <c r="DF63" s="8"/>
      <c r="DG63" s="45"/>
      <c r="DH63" s="8"/>
      <c r="DI63" s="45"/>
      <c r="DJ63" s="8"/>
      <c r="DK63" s="45"/>
      <c r="DL63" s="8"/>
      <c r="DM63" s="45"/>
      <c r="DN63" s="8"/>
      <c r="DO63" s="45"/>
      <c r="DP63" s="8"/>
      <c r="DQ63" s="45"/>
      <c r="DR63" s="8"/>
    </row>
    <row r="64" spans="1:122" s="38" customFormat="1" x14ac:dyDescent="0.3">
      <c r="A64" s="21" t="s">
        <v>148</v>
      </c>
      <c r="B64" s="8">
        <v>2304459</v>
      </c>
      <c r="C64" s="61">
        <v>132</v>
      </c>
      <c r="D64" s="14">
        <v>800.97087378640776</v>
      </c>
      <c r="E64" s="18">
        <v>0</v>
      </c>
      <c r="F64" s="18">
        <v>0</v>
      </c>
      <c r="G64" s="7">
        <v>0</v>
      </c>
      <c r="H64" s="63">
        <v>16480</v>
      </c>
      <c r="I64" s="19">
        <v>4413742.0509708729</v>
      </c>
      <c r="J64" s="6">
        <v>97121359.223300979</v>
      </c>
      <c r="K64" s="5">
        <v>285.024</v>
      </c>
      <c r="L64" s="4">
        <v>57.819692376782307</v>
      </c>
      <c r="M64" s="6">
        <v>9806.2900000000009</v>
      </c>
      <c r="N64" s="8">
        <v>0.624</v>
      </c>
      <c r="O64" s="15">
        <v>24.25</v>
      </c>
      <c r="P64" s="90">
        <v>64173881.614077665</v>
      </c>
      <c r="Q64" s="91">
        <v>92008769.599514559</v>
      </c>
      <c r="R64" s="15">
        <v>6.7</v>
      </c>
      <c r="S64" s="8">
        <v>5.7</v>
      </c>
      <c r="T64" s="8">
        <v>4</v>
      </c>
      <c r="U64" s="14">
        <v>96.218570580083195</v>
      </c>
      <c r="V64" s="20">
        <v>17086.87</v>
      </c>
      <c r="W64" s="48">
        <v>18.2</v>
      </c>
      <c r="X64" s="8">
        <v>35.71</v>
      </c>
      <c r="Y64" s="16">
        <v>41.170104022608399</v>
      </c>
      <c r="Z64" s="8">
        <v>0.67</v>
      </c>
      <c r="AA64" s="17">
        <v>0.72815533980000002</v>
      </c>
      <c r="AB64" s="34">
        <v>7.7063106795999996</v>
      </c>
      <c r="AC64" s="34">
        <v>0</v>
      </c>
      <c r="AD64" s="42">
        <v>0</v>
      </c>
      <c r="AE64" s="43">
        <v>0.35155564554228252</v>
      </c>
      <c r="AF64" s="34">
        <v>1</v>
      </c>
      <c r="AG64" s="44">
        <v>0.47</v>
      </c>
      <c r="AH64" s="8">
        <v>0.40500000000000003</v>
      </c>
      <c r="AI64" s="17">
        <v>0.49099999999999999</v>
      </c>
      <c r="AJ64" s="8">
        <v>0.51400000000000001</v>
      </c>
      <c r="AK64" s="45">
        <v>0.46200000000000002</v>
      </c>
      <c r="AL64" s="85">
        <v>7.9550970873786403E-2</v>
      </c>
      <c r="AM64" s="44">
        <v>10.1522842639594</v>
      </c>
      <c r="AN64" s="8">
        <v>0.80670103092783507</v>
      </c>
      <c r="AO64" s="44">
        <v>0.80670103092783496</v>
      </c>
      <c r="AP64" s="85">
        <v>0.13046116504854369</v>
      </c>
      <c r="AQ64" s="45">
        <v>382.28155339805829</v>
      </c>
      <c r="AR64" s="8">
        <v>351.94174757281553</v>
      </c>
      <c r="AS64" s="45">
        <v>84.951456310679617</v>
      </c>
      <c r="AT64" s="8">
        <v>6.0679611650485432</v>
      </c>
      <c r="AU64" s="45"/>
      <c r="AV64" s="45"/>
      <c r="AW64" s="8"/>
      <c r="AX64" s="45"/>
      <c r="AY64" s="8"/>
      <c r="AZ64" s="45"/>
      <c r="BA64" s="8"/>
      <c r="BB64" s="45"/>
      <c r="BC64" s="8"/>
      <c r="BD64" s="45"/>
      <c r="BE64" s="8"/>
      <c r="BF64" s="45"/>
      <c r="BG64" s="8"/>
      <c r="BH64" s="45"/>
      <c r="BI64" s="8"/>
      <c r="BJ64" s="45"/>
      <c r="BK64" s="8"/>
      <c r="BL64" s="45"/>
      <c r="BM64" s="8"/>
      <c r="BN64" s="8"/>
      <c r="BO64" s="45"/>
      <c r="BP64" s="8"/>
      <c r="BQ64" s="45"/>
      <c r="BR64" s="8"/>
      <c r="BS64" s="45"/>
      <c r="BT64" s="8"/>
      <c r="BU64" s="45"/>
      <c r="BV64" s="8"/>
      <c r="BW64" s="45"/>
      <c r="BX64" s="8"/>
      <c r="BY64" s="45"/>
      <c r="BZ64" s="8"/>
      <c r="CA64" s="45"/>
      <c r="CB64" s="8"/>
      <c r="CC64" s="45"/>
      <c r="CD64" s="8"/>
      <c r="CE64" s="45"/>
      <c r="CF64" s="8"/>
      <c r="CG64" s="45"/>
      <c r="CH64" s="8"/>
      <c r="CI64" s="45"/>
      <c r="CJ64" s="8"/>
      <c r="CK64" s="45"/>
      <c r="CL64" s="8"/>
      <c r="CM64" s="45"/>
      <c r="CN64" s="8"/>
      <c r="CO64" s="45"/>
      <c r="CP64" s="8"/>
      <c r="CQ64" s="45"/>
      <c r="CR64" s="8"/>
      <c r="CS64" s="45"/>
      <c r="CT64" s="8"/>
      <c r="CU64" s="45"/>
      <c r="CV64" s="8"/>
      <c r="CW64" s="45"/>
      <c r="CX64" s="8"/>
      <c r="CY64" s="45"/>
      <c r="CZ64" s="8"/>
      <c r="DA64" s="45"/>
      <c r="DB64" s="8"/>
      <c r="DC64" s="45"/>
      <c r="DD64" s="8"/>
      <c r="DE64" s="45"/>
      <c r="DF64" s="8"/>
      <c r="DG64" s="45"/>
      <c r="DH64" s="8"/>
      <c r="DI64" s="45"/>
      <c r="DJ64" s="8"/>
      <c r="DK64" s="45"/>
      <c r="DL64" s="8"/>
      <c r="DM64" s="45"/>
      <c r="DN64" s="8"/>
      <c r="DO64" s="45"/>
      <c r="DP64" s="8"/>
      <c r="DQ64" s="45"/>
      <c r="DR64" s="8"/>
    </row>
    <row r="65" spans="1:122" s="38" customFormat="1" x14ac:dyDescent="0.3">
      <c r="A65" s="21" t="s">
        <v>149</v>
      </c>
      <c r="B65" s="8">
        <v>2304509</v>
      </c>
      <c r="C65" s="61">
        <v>748</v>
      </c>
      <c r="D65" s="14">
        <v>5315.5201819215463</v>
      </c>
      <c r="E65" s="18">
        <v>7</v>
      </c>
      <c r="F65" s="18">
        <v>49.744172825469022</v>
      </c>
      <c r="G65" s="7">
        <v>9.3582887700534752E-3</v>
      </c>
      <c r="H65" s="63">
        <v>14072</v>
      </c>
      <c r="I65" s="19">
        <v>6865598.777714611</v>
      </c>
      <c r="J65" s="6">
        <v>100262933.48493463</v>
      </c>
      <c r="K65" s="5">
        <v>210.28399999999999</v>
      </c>
      <c r="L65" s="4">
        <v>66.919023796389652</v>
      </c>
      <c r="M65" s="6">
        <v>18393.96</v>
      </c>
      <c r="N65" s="8">
        <v>0.60399999999999998</v>
      </c>
      <c r="O65" s="15">
        <v>31.6</v>
      </c>
      <c r="P65" s="90">
        <v>60542210.417851046</v>
      </c>
      <c r="Q65" s="91">
        <v>111993005.96930075</v>
      </c>
      <c r="R65" s="15">
        <v>7.8</v>
      </c>
      <c r="S65" s="8">
        <v>5.9</v>
      </c>
      <c r="T65" s="8">
        <v>3.8</v>
      </c>
      <c r="U65" s="14">
        <v>98.754685044130099</v>
      </c>
      <c r="V65" s="20">
        <v>18903.52</v>
      </c>
      <c r="W65" s="48">
        <v>14.21</v>
      </c>
      <c r="X65" s="8">
        <v>27.27</v>
      </c>
      <c r="Y65" s="16">
        <v>51.768784491297602</v>
      </c>
      <c r="Z65" s="8">
        <v>0.78</v>
      </c>
      <c r="AA65" s="17">
        <v>1.1370096646000001</v>
      </c>
      <c r="AB65" s="34">
        <v>11.3700966458</v>
      </c>
      <c r="AC65" s="34">
        <v>0</v>
      </c>
      <c r="AD65" s="42">
        <v>0</v>
      </c>
      <c r="AE65" s="43">
        <v>0.41220845200523437</v>
      </c>
      <c r="AF65" s="34">
        <v>1</v>
      </c>
      <c r="AG65" s="44">
        <v>0.43</v>
      </c>
      <c r="AH65" s="8">
        <v>0.20200000000000001</v>
      </c>
      <c r="AI65" s="17">
        <v>0.57599999999999996</v>
      </c>
      <c r="AJ65" s="8">
        <v>0.51200000000000001</v>
      </c>
      <c r="AK65" s="45">
        <v>0.57399999999999995</v>
      </c>
      <c r="AL65" s="85">
        <v>0.20160602615122228</v>
      </c>
      <c r="AM65" s="44">
        <v>22.900763358778601</v>
      </c>
      <c r="AN65" s="8">
        <v>0.79958677685950408</v>
      </c>
      <c r="AO65" s="44">
        <v>0.79958677685950397</v>
      </c>
      <c r="AP65" s="85">
        <v>0.12457362137578169</v>
      </c>
      <c r="AQ65" s="45">
        <v>412.16600341102901</v>
      </c>
      <c r="AR65" s="8">
        <v>696.41841955656628</v>
      </c>
      <c r="AS65" s="45">
        <v>42.637862421830583</v>
      </c>
      <c r="AT65" s="8">
        <v>14.212620807276862</v>
      </c>
      <c r="AU65" s="45"/>
      <c r="AV65" s="45"/>
      <c r="AW65" s="8"/>
      <c r="AX65" s="45"/>
      <c r="AY65" s="8"/>
      <c r="AZ65" s="45"/>
      <c r="BA65" s="8"/>
      <c r="BB65" s="45"/>
      <c r="BC65" s="8"/>
      <c r="BD65" s="45"/>
      <c r="BE65" s="8"/>
      <c r="BF65" s="45"/>
      <c r="BG65" s="8"/>
      <c r="BH65" s="45"/>
      <c r="BI65" s="8"/>
      <c r="BJ65" s="45"/>
      <c r="BK65" s="8"/>
      <c r="BL65" s="45"/>
      <c r="BM65" s="8"/>
      <c r="BN65" s="8"/>
      <c r="BO65" s="45"/>
      <c r="BP65" s="8"/>
      <c r="BQ65" s="45"/>
      <c r="BR65" s="8"/>
      <c r="BS65" s="45"/>
      <c r="BT65" s="8"/>
      <c r="BU65" s="45"/>
      <c r="BV65" s="8"/>
      <c r="BW65" s="45"/>
      <c r="BX65" s="8"/>
      <c r="BY65" s="45"/>
      <c r="BZ65" s="8"/>
      <c r="CA65" s="45"/>
      <c r="CB65" s="8"/>
      <c r="CC65" s="45"/>
      <c r="CD65" s="8"/>
      <c r="CE65" s="45"/>
      <c r="CF65" s="8"/>
      <c r="CG65" s="45"/>
      <c r="CH65" s="8"/>
      <c r="CI65" s="45"/>
      <c r="CJ65" s="8"/>
      <c r="CK65" s="45"/>
      <c r="CL65" s="8"/>
      <c r="CM65" s="45"/>
      <c r="CN65" s="8"/>
      <c r="CO65" s="45"/>
      <c r="CP65" s="8"/>
      <c r="CQ65" s="45"/>
      <c r="CR65" s="8"/>
      <c r="CS65" s="45"/>
      <c r="CT65" s="8"/>
      <c r="CU65" s="45"/>
      <c r="CV65" s="8"/>
      <c r="CW65" s="45"/>
      <c r="CX65" s="8"/>
      <c r="CY65" s="45"/>
      <c r="CZ65" s="8"/>
      <c r="DA65" s="45"/>
      <c r="DB65" s="8"/>
      <c r="DC65" s="45"/>
      <c r="DD65" s="8"/>
      <c r="DE65" s="45"/>
      <c r="DF65" s="8"/>
      <c r="DG65" s="45"/>
      <c r="DH65" s="8"/>
      <c r="DI65" s="45"/>
      <c r="DJ65" s="8"/>
      <c r="DK65" s="45"/>
      <c r="DL65" s="8"/>
      <c r="DM65" s="45"/>
      <c r="DN65" s="8"/>
      <c r="DO65" s="45"/>
      <c r="DP65" s="8"/>
      <c r="DQ65" s="45"/>
      <c r="DR65" s="8"/>
    </row>
    <row r="66" spans="1:122" s="38" customFormat="1" x14ac:dyDescent="0.3">
      <c r="A66" s="21" t="s">
        <v>150</v>
      </c>
      <c r="B66" s="8">
        <v>2304608</v>
      </c>
      <c r="C66" s="61">
        <v>128</v>
      </c>
      <c r="D66" s="14">
        <v>1680.231031766868</v>
      </c>
      <c r="E66" s="18">
        <v>4</v>
      </c>
      <c r="F66" s="18">
        <v>52.507219742714625</v>
      </c>
      <c r="G66" s="7">
        <v>3.125E-2</v>
      </c>
      <c r="H66" s="63">
        <v>7618</v>
      </c>
      <c r="I66" s="19">
        <v>15141693.357836701</v>
      </c>
      <c r="J66" s="6">
        <v>105720661.59096876</v>
      </c>
      <c r="K66" s="5">
        <v>230.37100000000001</v>
      </c>
      <c r="L66" s="4">
        <v>33.06839836611379</v>
      </c>
      <c r="M66" s="6">
        <v>8336.85</v>
      </c>
      <c r="N66" s="8">
        <v>0.56799999999999995</v>
      </c>
      <c r="O66" s="15">
        <v>22.49</v>
      </c>
      <c r="P66" s="90">
        <v>85131687.975846678</v>
      </c>
      <c r="Q66" s="91">
        <v>123527021.52796009</v>
      </c>
      <c r="R66" s="15">
        <v>5.7</v>
      </c>
      <c r="S66" s="8">
        <v>5.0999999999999996</v>
      </c>
      <c r="T66" s="8">
        <v>4</v>
      </c>
      <c r="U66" s="14">
        <v>99.574848959498794</v>
      </c>
      <c r="V66" s="20">
        <v>6578.48</v>
      </c>
      <c r="W66" s="48">
        <v>39.380000000000003</v>
      </c>
      <c r="X66" s="8">
        <v>34.880000000000003</v>
      </c>
      <c r="Y66" s="16">
        <v>58.734078502729403</v>
      </c>
      <c r="Z66" s="8">
        <v>1.44</v>
      </c>
      <c r="AA66" s="17">
        <v>1.7064846415999999</v>
      </c>
      <c r="AB66" s="34">
        <v>10.107639800499999</v>
      </c>
      <c r="AC66" s="34">
        <v>0</v>
      </c>
      <c r="AD66" s="42">
        <v>1</v>
      </c>
      <c r="AE66" s="43">
        <v>0.41331617883563848</v>
      </c>
      <c r="AF66" s="34">
        <v>0</v>
      </c>
      <c r="AG66" s="44">
        <v>0.45300000000000001</v>
      </c>
      <c r="AH66" s="8">
        <v>0.26600000000000001</v>
      </c>
      <c r="AI66" s="17">
        <v>0.55300000000000005</v>
      </c>
      <c r="AJ66" s="8">
        <v>0.54100000000000004</v>
      </c>
      <c r="AK66" s="45">
        <v>0.501</v>
      </c>
      <c r="AL66" s="85">
        <v>7.8235757416644791E-2</v>
      </c>
      <c r="AM66" s="44">
        <v>9.2592592592592595</v>
      </c>
      <c r="AN66" s="8">
        <v>0.78271028037383172</v>
      </c>
      <c r="AO66" s="44">
        <v>0.78271028037383172</v>
      </c>
      <c r="AP66" s="85">
        <v>0.13034917301128907</v>
      </c>
      <c r="AQ66" s="45">
        <v>367.55053819900235</v>
      </c>
      <c r="AR66" s="8">
        <v>682.5938566552901</v>
      </c>
      <c r="AS66" s="45">
        <v>91.887634549750587</v>
      </c>
      <c r="AT66" s="8">
        <v>39.380414807035969</v>
      </c>
      <c r="AU66" s="45"/>
      <c r="AV66" s="45"/>
      <c r="AW66" s="8"/>
      <c r="AX66" s="45"/>
      <c r="AY66" s="8"/>
      <c r="AZ66" s="45"/>
      <c r="BA66" s="8"/>
      <c r="BB66" s="45"/>
      <c r="BC66" s="8"/>
      <c r="BD66" s="45"/>
      <c r="BE66" s="8"/>
      <c r="BF66" s="45"/>
      <c r="BG66" s="8"/>
      <c r="BH66" s="45"/>
      <c r="BI66" s="8"/>
      <c r="BJ66" s="45"/>
      <c r="BK66" s="8"/>
      <c r="BL66" s="45"/>
      <c r="BM66" s="8"/>
      <c r="BN66" s="8"/>
      <c r="BO66" s="45"/>
      <c r="BP66" s="8"/>
      <c r="BQ66" s="45"/>
      <c r="BR66" s="8"/>
      <c r="BS66" s="45"/>
      <c r="BT66" s="8"/>
      <c r="BU66" s="45"/>
      <c r="BV66" s="8"/>
      <c r="BW66" s="45"/>
      <c r="BX66" s="8"/>
      <c r="BY66" s="45"/>
      <c r="BZ66" s="8"/>
      <c r="CA66" s="45"/>
      <c r="CB66" s="8"/>
      <c r="CC66" s="45"/>
      <c r="CD66" s="8"/>
      <c r="CE66" s="45"/>
      <c r="CF66" s="8"/>
      <c r="CG66" s="45"/>
      <c r="CH66" s="8"/>
      <c r="CI66" s="45"/>
      <c r="CJ66" s="8"/>
      <c r="CK66" s="45"/>
      <c r="CL66" s="8"/>
      <c r="CM66" s="45"/>
      <c r="CN66" s="8"/>
      <c r="CO66" s="45"/>
      <c r="CP66" s="8"/>
      <c r="CQ66" s="45"/>
      <c r="CR66" s="8"/>
      <c r="CS66" s="45"/>
      <c r="CT66" s="8"/>
      <c r="CU66" s="45"/>
      <c r="CV66" s="8"/>
      <c r="CW66" s="45"/>
      <c r="CX66" s="8"/>
      <c r="CY66" s="45"/>
      <c r="CZ66" s="8"/>
      <c r="DA66" s="45"/>
      <c r="DB66" s="8"/>
      <c r="DC66" s="45"/>
      <c r="DD66" s="8"/>
      <c r="DE66" s="45"/>
      <c r="DF66" s="8"/>
      <c r="DG66" s="45"/>
      <c r="DH66" s="8"/>
      <c r="DI66" s="45"/>
      <c r="DJ66" s="8"/>
      <c r="DK66" s="45"/>
      <c r="DL66" s="8"/>
      <c r="DM66" s="45"/>
      <c r="DN66" s="8"/>
      <c r="DO66" s="45"/>
      <c r="DP66" s="8"/>
      <c r="DQ66" s="45"/>
      <c r="DR66" s="8"/>
    </row>
    <row r="67" spans="1:122" s="38" customFormat="1" x14ac:dyDescent="0.3">
      <c r="A67" s="21" t="s">
        <v>151</v>
      </c>
      <c r="B67" s="8">
        <v>2304657</v>
      </c>
      <c r="C67" s="61">
        <v>416</v>
      </c>
      <c r="D67" s="14">
        <v>2889.0895201055632</v>
      </c>
      <c r="E67" s="18">
        <v>6</v>
      </c>
      <c r="F67" s="18">
        <v>41.669560386137924</v>
      </c>
      <c r="G67" s="7">
        <v>1.4423076923076924E-2</v>
      </c>
      <c r="H67" s="63">
        <v>14399</v>
      </c>
      <c r="I67" s="19">
        <v>32942335.578859642</v>
      </c>
      <c r="J67" s="6">
        <v>378297103.96555316</v>
      </c>
      <c r="K67" s="5">
        <v>258.94200000000001</v>
      </c>
      <c r="L67" s="4">
        <v>55.607047137969118</v>
      </c>
      <c r="M67" s="6">
        <v>6616.29</v>
      </c>
      <c r="N67" s="8">
        <v>0.56999999999999995</v>
      </c>
      <c r="O67" s="15">
        <v>19.18</v>
      </c>
      <c r="P67" s="90">
        <v>55589656.365025349</v>
      </c>
      <c r="Q67" s="91">
        <v>163588016.52892563</v>
      </c>
      <c r="R67" s="15">
        <v>6.9</v>
      </c>
      <c r="S67" s="8">
        <v>5.3</v>
      </c>
      <c r="T67" s="8">
        <v>4.2</v>
      </c>
      <c r="U67" s="14">
        <v>100</v>
      </c>
      <c r="V67" s="20">
        <v>11365.94</v>
      </c>
      <c r="W67" s="48">
        <v>6.94</v>
      </c>
      <c r="X67" s="8">
        <v>31.11</v>
      </c>
      <c r="Y67" s="16">
        <v>52.106614840008298</v>
      </c>
      <c r="Z67" s="8">
        <v>0.83</v>
      </c>
      <c r="AA67" s="17">
        <v>0</v>
      </c>
      <c r="AB67" s="34">
        <v>8.1255642753000004</v>
      </c>
      <c r="AC67" s="34">
        <v>0</v>
      </c>
      <c r="AD67" s="42">
        <v>1</v>
      </c>
      <c r="AE67" s="43">
        <v>0.61359558774669409</v>
      </c>
      <c r="AF67" s="34">
        <v>0</v>
      </c>
      <c r="AG67" s="44">
        <v>0.46</v>
      </c>
      <c r="AH67" s="8">
        <v>0.20399999999999999</v>
      </c>
      <c r="AI67" s="17">
        <v>0.57399999999999995</v>
      </c>
      <c r="AJ67" s="8">
        <v>0.60199999999999998</v>
      </c>
      <c r="AK67" s="45">
        <v>0.5</v>
      </c>
      <c r="AL67" s="85">
        <v>5.3545385096187233E-2</v>
      </c>
      <c r="AM67" s="44">
        <v>5.8823529411764701</v>
      </c>
      <c r="AN67" s="8">
        <v>0.84591194968553451</v>
      </c>
      <c r="AO67" s="44">
        <v>0.93788819875776408</v>
      </c>
      <c r="AP67" s="85">
        <v>0.15181609834016252</v>
      </c>
      <c r="AQ67" s="45">
        <v>368.08111674421832</v>
      </c>
      <c r="AR67" s="8">
        <v>562.53906521286206</v>
      </c>
      <c r="AS67" s="45">
        <v>41.669560386137924</v>
      </c>
      <c r="AT67" s="8">
        <v>0</v>
      </c>
      <c r="AU67" s="45"/>
      <c r="AV67" s="45"/>
      <c r="AW67" s="8"/>
      <c r="AX67" s="45"/>
      <c r="AY67" s="8"/>
      <c r="AZ67" s="45"/>
      <c r="BA67" s="8"/>
      <c r="BB67" s="45"/>
      <c r="BC67" s="8"/>
      <c r="BD67" s="45"/>
      <c r="BE67" s="8"/>
      <c r="BF67" s="45"/>
      <c r="BG67" s="8"/>
      <c r="BH67" s="45"/>
      <c r="BI67" s="8"/>
      <c r="BJ67" s="45"/>
      <c r="BK67" s="8"/>
      <c r="BL67" s="45"/>
      <c r="BM67" s="8"/>
      <c r="BN67" s="8"/>
      <c r="BO67" s="45"/>
      <c r="BP67" s="8"/>
      <c r="BQ67" s="45"/>
      <c r="BR67" s="8"/>
      <c r="BS67" s="45"/>
      <c r="BT67" s="8"/>
      <c r="BU67" s="45"/>
      <c r="BV67" s="8"/>
      <c r="BW67" s="45"/>
      <c r="BX67" s="8"/>
      <c r="BY67" s="45"/>
      <c r="BZ67" s="8"/>
      <c r="CA67" s="45"/>
      <c r="CB67" s="8"/>
      <c r="CC67" s="45"/>
      <c r="CD67" s="8"/>
      <c r="CE67" s="45"/>
      <c r="CF67" s="8"/>
      <c r="CG67" s="45"/>
      <c r="CH67" s="8"/>
      <c r="CI67" s="45"/>
      <c r="CJ67" s="8"/>
      <c r="CK67" s="45"/>
      <c r="CL67" s="8"/>
      <c r="CM67" s="45"/>
      <c r="CN67" s="8"/>
      <c r="CO67" s="45"/>
      <c r="CP67" s="8"/>
      <c r="CQ67" s="45"/>
      <c r="CR67" s="8"/>
      <c r="CS67" s="45"/>
      <c r="CT67" s="8"/>
      <c r="CU67" s="45"/>
      <c r="CV67" s="8"/>
      <c r="CW67" s="45"/>
      <c r="CX67" s="8"/>
      <c r="CY67" s="45"/>
      <c r="CZ67" s="8"/>
      <c r="DA67" s="45"/>
      <c r="DB67" s="8"/>
      <c r="DC67" s="45"/>
      <c r="DD67" s="8"/>
      <c r="DE67" s="45"/>
      <c r="DF67" s="8"/>
      <c r="DG67" s="45"/>
      <c r="DH67" s="8"/>
      <c r="DI67" s="45"/>
      <c r="DJ67" s="8"/>
      <c r="DK67" s="45"/>
      <c r="DL67" s="8"/>
      <c r="DM67" s="45"/>
      <c r="DN67" s="8"/>
      <c r="DO67" s="45"/>
      <c r="DP67" s="8"/>
      <c r="DQ67" s="45"/>
      <c r="DR67" s="8"/>
    </row>
    <row r="68" spans="1:122" s="38" customFormat="1" x14ac:dyDescent="0.3">
      <c r="A68" s="21" t="s">
        <v>152</v>
      </c>
      <c r="B68" s="8">
        <v>2304707</v>
      </c>
      <c r="C68" s="61">
        <v>1019</v>
      </c>
      <c r="D68" s="14">
        <v>1861.2552056696136</v>
      </c>
      <c r="E68" s="18">
        <v>38</v>
      </c>
      <c r="F68" s="18">
        <v>69.408928180024844</v>
      </c>
      <c r="G68" s="7">
        <v>3.7291462217860651E-2</v>
      </c>
      <c r="H68" s="63">
        <v>54748</v>
      </c>
      <c r="I68" s="19">
        <v>225330.22210857013</v>
      </c>
      <c r="J68" s="6">
        <v>9023891.2836998608</v>
      </c>
      <c r="K68" s="5">
        <v>2663.174</v>
      </c>
      <c r="L68" s="4">
        <v>20.557425087508364</v>
      </c>
      <c r="M68" s="6">
        <v>6692.4</v>
      </c>
      <c r="N68" s="8">
        <v>0.55900000000000005</v>
      </c>
      <c r="O68" s="15">
        <v>23.02</v>
      </c>
      <c r="P68" s="90">
        <v>61155638.927449398</v>
      </c>
      <c r="Q68" s="91">
        <v>110919602.06765543</v>
      </c>
      <c r="R68" s="15">
        <v>7</v>
      </c>
      <c r="S68" s="8">
        <v>5</v>
      </c>
      <c r="T68" s="8">
        <v>4.5</v>
      </c>
      <c r="U68" s="14">
        <v>89.369737493808799</v>
      </c>
      <c r="V68" s="20">
        <v>37435.550000000003</v>
      </c>
      <c r="W68" s="48">
        <v>7.31</v>
      </c>
      <c r="X68" s="8">
        <v>33.869999999999997</v>
      </c>
      <c r="Y68" s="16">
        <v>50.243804810596401</v>
      </c>
      <c r="Z68" s="8">
        <v>0.53</v>
      </c>
      <c r="AA68" s="17">
        <v>0.91327537079999999</v>
      </c>
      <c r="AB68" s="34">
        <v>6.8860962957999998</v>
      </c>
      <c r="AC68" s="34">
        <v>0</v>
      </c>
      <c r="AD68" s="42">
        <v>0</v>
      </c>
      <c r="AE68" s="43">
        <v>0.50817741475923639</v>
      </c>
      <c r="AF68" s="34">
        <v>0</v>
      </c>
      <c r="AG68" s="44">
        <v>0.58199999999999996</v>
      </c>
      <c r="AH68" s="8">
        <v>0.45</v>
      </c>
      <c r="AI68" s="17">
        <v>0.61499999999999999</v>
      </c>
      <c r="AJ68" s="8">
        <v>0.68100000000000005</v>
      </c>
      <c r="AK68" s="45">
        <v>0.53800000000000003</v>
      </c>
      <c r="AL68" s="85">
        <v>4.3270987068020753E-2</v>
      </c>
      <c r="AM68" s="44">
        <v>10.062893081761001</v>
      </c>
      <c r="AN68" s="8">
        <v>0.93788819875776397</v>
      </c>
      <c r="AO68" s="44">
        <v>0.5034722222222221</v>
      </c>
      <c r="AP68" s="85">
        <v>0.10813180390151238</v>
      </c>
      <c r="AQ68" s="45">
        <v>288.59501716957698</v>
      </c>
      <c r="AR68" s="8">
        <v>438.37217797910426</v>
      </c>
      <c r="AS68" s="45">
        <v>32.87791334843282</v>
      </c>
      <c r="AT68" s="8">
        <v>1.8265507415796012</v>
      </c>
      <c r="AU68" s="45"/>
      <c r="AV68" s="45"/>
      <c r="AW68" s="8"/>
      <c r="AX68" s="45"/>
      <c r="AY68" s="8"/>
      <c r="AZ68" s="45"/>
      <c r="BA68" s="8"/>
      <c r="BB68" s="45"/>
      <c r="BC68" s="8"/>
      <c r="BD68" s="45"/>
      <c r="BE68" s="8"/>
      <c r="BF68" s="45"/>
      <c r="BG68" s="8"/>
      <c r="BH68" s="45"/>
      <c r="BI68" s="8"/>
      <c r="BJ68" s="45"/>
      <c r="BK68" s="8"/>
      <c r="BL68" s="45"/>
      <c r="BM68" s="8"/>
      <c r="BN68" s="8"/>
      <c r="BO68" s="45"/>
      <c r="BP68" s="8"/>
      <c r="BQ68" s="45"/>
      <c r="BR68" s="8"/>
      <c r="BS68" s="45"/>
      <c r="BT68" s="8"/>
      <c r="BU68" s="45"/>
      <c r="BV68" s="8"/>
      <c r="BW68" s="45"/>
      <c r="BX68" s="8"/>
      <c r="BY68" s="45"/>
      <c r="BZ68" s="8"/>
      <c r="CA68" s="45"/>
      <c r="CB68" s="8"/>
      <c r="CC68" s="45"/>
      <c r="CD68" s="8"/>
      <c r="CE68" s="45"/>
      <c r="CF68" s="8"/>
      <c r="CG68" s="45"/>
      <c r="CH68" s="8"/>
      <c r="CI68" s="45"/>
      <c r="CJ68" s="8"/>
      <c r="CK68" s="45"/>
      <c r="CL68" s="8"/>
      <c r="CM68" s="45"/>
      <c r="CN68" s="8"/>
      <c r="CO68" s="45"/>
      <c r="CP68" s="8"/>
      <c r="CQ68" s="45"/>
      <c r="CR68" s="8"/>
      <c r="CS68" s="45"/>
      <c r="CT68" s="8"/>
      <c r="CU68" s="45"/>
      <c r="CV68" s="8"/>
      <c r="CW68" s="45"/>
      <c r="CX68" s="8"/>
      <c r="CY68" s="45"/>
      <c r="CZ68" s="8"/>
      <c r="DA68" s="45"/>
      <c r="DB68" s="8"/>
      <c r="DC68" s="45"/>
      <c r="DD68" s="8"/>
      <c r="DE68" s="45"/>
      <c r="DF68" s="8"/>
      <c r="DG68" s="45"/>
      <c r="DH68" s="8"/>
      <c r="DI68" s="45"/>
      <c r="DJ68" s="8"/>
      <c r="DK68" s="45"/>
      <c r="DL68" s="8"/>
      <c r="DM68" s="45"/>
      <c r="DN68" s="8"/>
      <c r="DO68" s="45"/>
      <c r="DP68" s="8"/>
      <c r="DQ68" s="45"/>
      <c r="DR68" s="8"/>
    </row>
    <row r="69" spans="1:122" s="38" customFormat="1" x14ac:dyDescent="0.3">
      <c r="A69" s="21" t="s">
        <v>153</v>
      </c>
      <c r="B69" s="8">
        <v>2304806</v>
      </c>
      <c r="C69" s="61">
        <v>11</v>
      </c>
      <c r="D69" s="14">
        <v>227.08505367464906</v>
      </c>
      <c r="E69" s="18">
        <v>0</v>
      </c>
      <c r="F69" s="18">
        <v>0</v>
      </c>
      <c r="G69" s="7">
        <v>0</v>
      </c>
      <c r="H69" s="63">
        <v>4844</v>
      </c>
      <c r="I69" s="19">
        <v>5143082.3699421966</v>
      </c>
      <c r="J69" s="6">
        <v>297745664.73988438</v>
      </c>
      <c r="K69" s="5">
        <v>111.52800000000001</v>
      </c>
      <c r="L69" s="4">
        <v>43.433039236783586</v>
      </c>
      <c r="M69" s="6">
        <v>9503.61</v>
      </c>
      <c r="N69" s="8">
        <v>0.58499999999999996</v>
      </c>
      <c r="O69" s="15">
        <v>21.53</v>
      </c>
      <c r="P69" s="90">
        <v>85678678.984310493</v>
      </c>
      <c r="Q69" s="91">
        <v>159229893.68290669</v>
      </c>
      <c r="R69" s="15">
        <v>6</v>
      </c>
      <c r="S69" s="8">
        <v>5.5</v>
      </c>
      <c r="T69" s="8">
        <v>4.5999999999999996</v>
      </c>
      <c r="U69" s="14">
        <v>99.511854951185498</v>
      </c>
      <c r="V69" s="20">
        <v>3316.76</v>
      </c>
      <c r="W69" s="48">
        <v>20.64</v>
      </c>
      <c r="X69" s="8">
        <v>29.41</v>
      </c>
      <c r="Y69" s="16">
        <v>54.881595346904902</v>
      </c>
      <c r="Z69" s="8">
        <v>1.45</v>
      </c>
      <c r="AA69" s="17">
        <v>5.1610239472000004</v>
      </c>
      <c r="AB69" s="34">
        <v>15.483071841499999</v>
      </c>
      <c r="AC69" s="34">
        <v>0</v>
      </c>
      <c r="AD69" s="42">
        <v>1</v>
      </c>
      <c r="AE69" s="43">
        <v>0.70403974940591918</v>
      </c>
      <c r="AF69" s="34">
        <v>1</v>
      </c>
      <c r="AG69" s="44">
        <v>0.45200000000000001</v>
      </c>
      <c r="AH69" s="8">
        <v>0.35599999999999998</v>
      </c>
      <c r="AI69" s="17">
        <v>0.47899999999999998</v>
      </c>
      <c r="AJ69" s="8">
        <v>0.52200000000000002</v>
      </c>
      <c r="AK69" s="45">
        <v>0.48899999999999999</v>
      </c>
      <c r="AL69" s="85">
        <v>0.12840627580511974</v>
      </c>
      <c r="AM69" s="44"/>
      <c r="AN69" s="8">
        <v>0.50347222222222199</v>
      </c>
      <c r="AO69" s="44">
        <v>0.84591194968553451</v>
      </c>
      <c r="AP69" s="85">
        <v>0.15483071841453344</v>
      </c>
      <c r="AQ69" s="45">
        <v>536.7464905037159</v>
      </c>
      <c r="AR69" s="8">
        <v>1032.2047894302229</v>
      </c>
      <c r="AS69" s="45">
        <v>61.932287365813373</v>
      </c>
      <c r="AT69" s="8">
        <v>0</v>
      </c>
      <c r="AU69" s="45"/>
      <c r="AV69" s="45"/>
      <c r="AW69" s="8"/>
      <c r="AX69" s="45"/>
      <c r="AY69" s="8"/>
      <c r="AZ69" s="45"/>
      <c r="BA69" s="8"/>
      <c r="BB69" s="45"/>
      <c r="BC69" s="8"/>
      <c r="BD69" s="45"/>
      <c r="BE69" s="8"/>
      <c r="BF69" s="45"/>
      <c r="BG69" s="8"/>
      <c r="BH69" s="45"/>
      <c r="BI69" s="8"/>
      <c r="BJ69" s="45"/>
      <c r="BK69" s="8"/>
      <c r="BL69" s="45"/>
      <c r="BM69" s="8"/>
      <c r="BN69" s="8"/>
      <c r="BO69" s="45"/>
      <c r="BP69" s="8"/>
      <c r="BQ69" s="45"/>
      <c r="BR69" s="8"/>
      <c r="BS69" s="45"/>
      <c r="BT69" s="8"/>
      <c r="BU69" s="45"/>
      <c r="BV69" s="8"/>
      <c r="BW69" s="45"/>
      <c r="BX69" s="8"/>
      <c r="BY69" s="45"/>
      <c r="BZ69" s="8"/>
      <c r="CA69" s="45"/>
      <c r="CB69" s="8"/>
      <c r="CC69" s="45"/>
      <c r="CD69" s="8"/>
      <c r="CE69" s="45"/>
      <c r="CF69" s="8"/>
      <c r="CG69" s="45"/>
      <c r="CH69" s="8"/>
      <c r="CI69" s="45"/>
      <c r="CJ69" s="8"/>
      <c r="CK69" s="45"/>
      <c r="CL69" s="8"/>
      <c r="CM69" s="45"/>
      <c r="CN69" s="8"/>
      <c r="CO69" s="45"/>
      <c r="CP69" s="8"/>
      <c r="CQ69" s="45"/>
      <c r="CR69" s="8"/>
      <c r="CS69" s="45"/>
      <c r="CT69" s="8"/>
      <c r="CU69" s="45"/>
      <c r="CV69" s="8"/>
      <c r="CW69" s="45"/>
      <c r="CX69" s="8"/>
      <c r="CY69" s="45"/>
      <c r="CZ69" s="8"/>
      <c r="DA69" s="45"/>
      <c r="DB69" s="8"/>
      <c r="DC69" s="45"/>
      <c r="DD69" s="8"/>
      <c r="DE69" s="45"/>
      <c r="DF69" s="8"/>
      <c r="DG69" s="45"/>
      <c r="DH69" s="8"/>
      <c r="DI69" s="45"/>
      <c r="DJ69" s="8"/>
      <c r="DK69" s="45"/>
      <c r="DL69" s="8"/>
      <c r="DM69" s="45"/>
      <c r="DN69" s="8"/>
      <c r="DO69" s="45"/>
      <c r="DP69" s="8"/>
      <c r="DQ69" s="45"/>
      <c r="DR69" s="8"/>
    </row>
    <row r="70" spans="1:122" s="38" customFormat="1" x14ac:dyDescent="0.3">
      <c r="A70" s="21" t="s">
        <v>154</v>
      </c>
      <c r="B70" s="8">
        <v>2304905</v>
      </c>
      <c r="C70" s="61">
        <v>609</v>
      </c>
      <c r="D70" s="14">
        <v>5502.3491145645103</v>
      </c>
      <c r="E70" s="18">
        <v>11</v>
      </c>
      <c r="F70" s="18">
        <v>99.385616190820386</v>
      </c>
      <c r="G70" s="7">
        <v>1.8062397372742199E-2</v>
      </c>
      <c r="H70" s="63">
        <v>11068</v>
      </c>
      <c r="I70" s="19">
        <v>5755392.7538850745</v>
      </c>
      <c r="J70" s="6">
        <v>92368991.687748462</v>
      </c>
      <c r="K70" s="5">
        <v>155.68100000000001</v>
      </c>
      <c r="L70" s="4">
        <v>71.094096260943843</v>
      </c>
      <c r="M70" s="6">
        <v>7025.19</v>
      </c>
      <c r="N70" s="8">
        <v>0.63300000000000001</v>
      </c>
      <c r="O70" s="15">
        <v>21.61</v>
      </c>
      <c r="P70" s="90">
        <v>66796208.619443439</v>
      </c>
      <c r="Q70" s="91">
        <v>102983194.1633538</v>
      </c>
      <c r="R70" s="15">
        <v>7.6</v>
      </c>
      <c r="S70" s="8">
        <v>6.1</v>
      </c>
      <c r="T70" s="8">
        <v>4.3</v>
      </c>
      <c r="U70" s="14">
        <v>99.943804439449295</v>
      </c>
      <c r="V70" s="20">
        <v>14432.49</v>
      </c>
      <c r="W70" s="48">
        <v>9.0399999999999991</v>
      </c>
      <c r="X70" s="8">
        <v>34.69</v>
      </c>
      <c r="Y70" s="16">
        <v>37.024407753051001</v>
      </c>
      <c r="Z70" s="8">
        <v>0.9</v>
      </c>
      <c r="AA70" s="17">
        <v>1.7166606433</v>
      </c>
      <c r="AB70" s="34">
        <v>9.5771593783999993</v>
      </c>
      <c r="AC70" s="34">
        <v>0</v>
      </c>
      <c r="AD70" s="42">
        <v>1</v>
      </c>
      <c r="AE70" s="43">
        <v>0.30817364098552991</v>
      </c>
      <c r="AF70" s="34">
        <v>1</v>
      </c>
      <c r="AG70" s="44">
        <v>0.371</v>
      </c>
      <c r="AH70" s="8">
        <v>0.17399999999999999</v>
      </c>
      <c r="AI70" s="17">
        <v>0.47699999999999998</v>
      </c>
      <c r="AJ70" s="8">
        <v>0.46200000000000002</v>
      </c>
      <c r="AK70" s="45">
        <v>0.54800000000000004</v>
      </c>
      <c r="AL70" s="85">
        <v>5.8185760751716657E-2</v>
      </c>
      <c r="AM70" s="44">
        <v>6.0975609756097597</v>
      </c>
      <c r="AN70" s="8">
        <v>0.81722689075630284</v>
      </c>
      <c r="AO70" s="44">
        <v>0.81722689075630273</v>
      </c>
      <c r="AP70" s="85">
        <v>0.15242139501264909</v>
      </c>
      <c r="AQ70" s="45">
        <v>361.40224069389228</v>
      </c>
      <c r="AR70" s="8">
        <v>451.75280086736535</v>
      </c>
      <c r="AS70" s="45">
        <v>45.175280086736535</v>
      </c>
      <c r="AT70" s="8">
        <v>0</v>
      </c>
      <c r="AU70" s="45"/>
      <c r="AV70" s="45"/>
      <c r="AW70" s="8"/>
      <c r="AX70" s="45"/>
      <c r="AY70" s="8"/>
      <c r="AZ70" s="45"/>
      <c r="BA70" s="8"/>
      <c r="BB70" s="45"/>
      <c r="BC70" s="8"/>
      <c r="BD70" s="45"/>
      <c r="BE70" s="8"/>
      <c r="BF70" s="45"/>
      <c r="BG70" s="8"/>
      <c r="BH70" s="45"/>
      <c r="BI70" s="8"/>
      <c r="BJ70" s="45"/>
      <c r="BK70" s="8"/>
      <c r="BL70" s="45"/>
      <c r="BM70" s="8"/>
      <c r="BN70" s="8"/>
      <c r="BO70" s="45"/>
      <c r="BP70" s="8"/>
      <c r="BQ70" s="45"/>
      <c r="BR70" s="8"/>
      <c r="BS70" s="45"/>
      <c r="BT70" s="8"/>
      <c r="BU70" s="45"/>
      <c r="BV70" s="8"/>
      <c r="BW70" s="45"/>
      <c r="BX70" s="8"/>
      <c r="BY70" s="45"/>
      <c r="BZ70" s="8"/>
      <c r="CA70" s="45"/>
      <c r="CB70" s="8"/>
      <c r="CC70" s="45"/>
      <c r="CD70" s="8"/>
      <c r="CE70" s="45"/>
      <c r="CF70" s="8"/>
      <c r="CG70" s="45"/>
      <c r="CH70" s="8"/>
      <c r="CI70" s="45"/>
      <c r="CJ70" s="8"/>
      <c r="CK70" s="45"/>
      <c r="CL70" s="8"/>
      <c r="CM70" s="45"/>
      <c r="CN70" s="8"/>
      <c r="CO70" s="45"/>
      <c r="CP70" s="8"/>
      <c r="CQ70" s="45"/>
      <c r="CR70" s="8"/>
      <c r="CS70" s="45"/>
      <c r="CT70" s="8"/>
      <c r="CU70" s="45"/>
      <c r="CV70" s="8"/>
      <c r="CW70" s="45"/>
      <c r="CX70" s="8"/>
      <c r="CY70" s="45"/>
      <c r="CZ70" s="8"/>
      <c r="DA70" s="45"/>
      <c r="DB70" s="8"/>
      <c r="DC70" s="45"/>
      <c r="DD70" s="8"/>
      <c r="DE70" s="45"/>
      <c r="DF70" s="8"/>
      <c r="DG70" s="45"/>
      <c r="DH70" s="8"/>
      <c r="DI70" s="45"/>
      <c r="DJ70" s="8"/>
      <c r="DK70" s="45"/>
      <c r="DL70" s="8"/>
      <c r="DM70" s="45"/>
      <c r="DN70" s="8"/>
      <c r="DO70" s="45"/>
      <c r="DP70" s="8"/>
      <c r="DQ70" s="45"/>
      <c r="DR70" s="8"/>
    </row>
    <row r="71" spans="1:122" s="38" customFormat="1" x14ac:dyDescent="0.3">
      <c r="A71" s="21" t="s">
        <v>155</v>
      </c>
      <c r="B71" s="8">
        <v>2304954</v>
      </c>
      <c r="C71" s="61">
        <v>247</v>
      </c>
      <c r="D71" s="14">
        <v>947.66728054020871</v>
      </c>
      <c r="E71" s="18">
        <v>25</v>
      </c>
      <c r="F71" s="18">
        <v>95.917740945365253</v>
      </c>
      <c r="G71" s="7">
        <v>0.10121457489878542</v>
      </c>
      <c r="H71" s="63">
        <v>26064</v>
      </c>
      <c r="I71" s="19">
        <v>1660976.8646408841</v>
      </c>
      <c r="J71" s="6">
        <v>91335174.95395948</v>
      </c>
      <c r="K71" s="5">
        <v>256.053</v>
      </c>
      <c r="L71" s="4">
        <v>101.79142599383721</v>
      </c>
      <c r="M71" s="6">
        <v>7684.11</v>
      </c>
      <c r="N71" s="8">
        <v>0.61699999999999999</v>
      </c>
      <c r="O71" s="15">
        <v>23.66</v>
      </c>
      <c r="P71" s="90">
        <v>48521099.716083482</v>
      </c>
      <c r="Q71" s="91">
        <v>98336842.541436464</v>
      </c>
      <c r="R71" s="15">
        <v>5.6</v>
      </c>
      <c r="S71" s="8">
        <v>4.5999999999999996</v>
      </c>
      <c r="T71" s="8">
        <v>4.0999999999999996</v>
      </c>
      <c r="U71" s="14">
        <v>99.812909260991603</v>
      </c>
      <c r="V71" s="20">
        <v>19422.849999999999</v>
      </c>
      <c r="W71" s="48">
        <v>122.77</v>
      </c>
      <c r="X71" s="8">
        <v>32.56</v>
      </c>
      <c r="Y71" s="16">
        <v>43.548877900342298</v>
      </c>
      <c r="Z71" s="8">
        <v>0.61</v>
      </c>
      <c r="AA71" s="17">
        <v>0.49877225289999999</v>
      </c>
      <c r="AB71" s="34">
        <v>7.0979128300000003</v>
      </c>
      <c r="AC71" s="34">
        <v>1</v>
      </c>
      <c r="AD71" s="42">
        <v>0</v>
      </c>
      <c r="AE71" s="43">
        <v>0.2164293719646341</v>
      </c>
      <c r="AF71" s="34">
        <v>1</v>
      </c>
      <c r="AG71" s="44">
        <v>0.46800000000000003</v>
      </c>
      <c r="AH71" s="8">
        <v>0.38500000000000001</v>
      </c>
      <c r="AI71" s="17">
        <v>0.55000000000000004</v>
      </c>
      <c r="AJ71" s="8">
        <v>0.46899999999999997</v>
      </c>
      <c r="AK71" s="45">
        <v>0.46500000000000002</v>
      </c>
      <c r="AL71" s="85">
        <v>7.2130141190914668E-2</v>
      </c>
      <c r="AM71" s="44">
        <v>11.560693641618499</v>
      </c>
      <c r="AN71" s="8">
        <v>0.87244897959183676</v>
      </c>
      <c r="AO71" s="44">
        <v>0.87244897959183676</v>
      </c>
      <c r="AP71" s="85">
        <v>0.10501074278698588</v>
      </c>
      <c r="AQ71" s="45">
        <v>264.7329650092081</v>
      </c>
      <c r="AR71" s="8">
        <v>387.50767341927565</v>
      </c>
      <c r="AS71" s="45">
        <v>115.10128913443832</v>
      </c>
      <c r="AT71" s="8">
        <v>30.69367710251688</v>
      </c>
      <c r="AU71" s="45"/>
      <c r="AV71" s="45"/>
      <c r="AW71" s="8"/>
      <c r="AX71" s="45"/>
      <c r="AY71" s="8"/>
      <c r="AZ71" s="45"/>
      <c r="BA71" s="8"/>
      <c r="BB71" s="45"/>
      <c r="BC71" s="8"/>
      <c r="BD71" s="45"/>
      <c r="BE71" s="8"/>
      <c r="BF71" s="45"/>
      <c r="BG71" s="8"/>
      <c r="BH71" s="45"/>
      <c r="BI71" s="8"/>
      <c r="BJ71" s="45"/>
      <c r="BK71" s="8"/>
      <c r="BL71" s="45"/>
      <c r="BM71" s="8"/>
      <c r="BN71" s="8"/>
      <c r="BO71" s="45"/>
      <c r="BP71" s="8"/>
      <c r="BQ71" s="45"/>
      <c r="BR71" s="8"/>
      <c r="BS71" s="45"/>
      <c r="BT71" s="8"/>
      <c r="BU71" s="45"/>
      <c r="BV71" s="8"/>
      <c r="BW71" s="45"/>
      <c r="BX71" s="8"/>
      <c r="BY71" s="45"/>
      <c r="BZ71" s="8"/>
      <c r="CA71" s="45"/>
      <c r="CB71" s="8"/>
      <c r="CC71" s="45"/>
      <c r="CD71" s="8"/>
      <c r="CE71" s="45"/>
      <c r="CF71" s="8"/>
      <c r="CG71" s="45"/>
      <c r="CH71" s="8"/>
      <c r="CI71" s="45"/>
      <c r="CJ71" s="8"/>
      <c r="CK71" s="45"/>
      <c r="CL71" s="8"/>
      <c r="CM71" s="45"/>
      <c r="CN71" s="8"/>
      <c r="CO71" s="45"/>
      <c r="CP71" s="8"/>
      <c r="CQ71" s="45"/>
      <c r="CR71" s="8"/>
      <c r="CS71" s="45"/>
      <c r="CT71" s="8"/>
      <c r="CU71" s="45"/>
      <c r="CV71" s="8"/>
      <c r="CW71" s="45"/>
      <c r="CX71" s="8"/>
      <c r="CY71" s="45"/>
      <c r="CZ71" s="8"/>
      <c r="DA71" s="45"/>
      <c r="DB71" s="8"/>
      <c r="DC71" s="45"/>
      <c r="DD71" s="8"/>
      <c r="DE71" s="45"/>
      <c r="DF71" s="8"/>
      <c r="DG71" s="45"/>
      <c r="DH71" s="8"/>
      <c r="DI71" s="45"/>
      <c r="DJ71" s="8"/>
      <c r="DK71" s="45"/>
      <c r="DL71" s="8"/>
      <c r="DM71" s="45"/>
      <c r="DN71" s="8"/>
      <c r="DO71" s="45"/>
      <c r="DP71" s="8"/>
      <c r="DQ71" s="45"/>
      <c r="DR71" s="8"/>
    </row>
    <row r="72" spans="1:122" s="38" customFormat="1" x14ac:dyDescent="0.3">
      <c r="A72" s="21" t="s">
        <v>156</v>
      </c>
      <c r="B72" s="8">
        <v>2305001</v>
      </c>
      <c r="C72" s="61">
        <v>332</v>
      </c>
      <c r="D72" s="14">
        <v>816.88893263126818</v>
      </c>
      <c r="E72" s="18">
        <v>6</v>
      </c>
      <c r="F72" s="18">
        <v>14.763052999360267</v>
      </c>
      <c r="G72" s="7">
        <v>1.8072289156626505E-2</v>
      </c>
      <c r="H72" s="63">
        <v>40642</v>
      </c>
      <c r="I72" s="19">
        <v>7116646.2280399585</v>
      </c>
      <c r="J72" s="6">
        <v>107061660.35136066</v>
      </c>
      <c r="K72" s="5">
        <v>624.60599999999999</v>
      </c>
      <c r="L72" s="4">
        <v>65.068219005260914</v>
      </c>
      <c r="M72" s="6">
        <v>11978.47</v>
      </c>
      <c r="N72" s="8">
        <v>0.60899999999999999</v>
      </c>
      <c r="O72" s="15">
        <v>38.96</v>
      </c>
      <c r="P72" s="90">
        <v>56779608.779095523</v>
      </c>
      <c r="Q72" s="91">
        <v>93728022.41523546</v>
      </c>
      <c r="R72" s="15">
        <v>6.6</v>
      </c>
      <c r="S72" s="8">
        <v>5.2</v>
      </c>
      <c r="T72" s="8">
        <v>4.9000000000000004</v>
      </c>
      <c r="U72" s="14">
        <v>99.334713187462995</v>
      </c>
      <c r="V72" s="20">
        <v>32184.05</v>
      </c>
      <c r="W72" s="48">
        <v>12.3</v>
      </c>
      <c r="X72" s="8">
        <v>28.57</v>
      </c>
      <c r="Y72" s="16">
        <v>57.186641820321697</v>
      </c>
      <c r="Z72" s="8">
        <v>0.64</v>
      </c>
      <c r="AA72" s="17">
        <v>0.98420353329999999</v>
      </c>
      <c r="AB72" s="34">
        <v>7.1354756163999999</v>
      </c>
      <c r="AC72" s="34">
        <v>0</v>
      </c>
      <c r="AD72" s="42">
        <v>1</v>
      </c>
      <c r="AE72" s="43">
        <v>0.53929847782925211</v>
      </c>
      <c r="AF72" s="34">
        <v>1</v>
      </c>
      <c r="AG72" s="44">
        <v>0.436</v>
      </c>
      <c r="AH72" s="8">
        <v>0.25800000000000001</v>
      </c>
      <c r="AI72" s="17">
        <v>0.47599999999999998</v>
      </c>
      <c r="AJ72" s="8">
        <v>0.57399999999999995</v>
      </c>
      <c r="AK72" s="45">
        <v>0.503</v>
      </c>
      <c r="AL72" s="85">
        <v>6.9435559273657799E-2</v>
      </c>
      <c r="AM72" s="44">
        <v>18.759018759018801</v>
      </c>
      <c r="AN72" s="8">
        <v>0.99007352941176474</v>
      </c>
      <c r="AO72" s="44">
        <v>0.99007352941176474</v>
      </c>
      <c r="AP72" s="85">
        <v>0.13798533536735397</v>
      </c>
      <c r="AQ72" s="45">
        <v>339.55021898528616</v>
      </c>
      <c r="AR72" s="8">
        <v>841.49402096353538</v>
      </c>
      <c r="AS72" s="45">
        <v>27.065597165493823</v>
      </c>
      <c r="AT72" s="8">
        <v>24.605088332267112</v>
      </c>
      <c r="AU72" s="45"/>
      <c r="AV72" s="45"/>
      <c r="AW72" s="8"/>
      <c r="AX72" s="45"/>
      <c r="AY72" s="8"/>
      <c r="AZ72" s="45"/>
      <c r="BA72" s="8"/>
      <c r="BB72" s="45"/>
      <c r="BC72" s="8"/>
      <c r="BD72" s="45"/>
      <c r="BE72" s="8"/>
      <c r="BF72" s="45"/>
      <c r="BG72" s="8"/>
      <c r="BH72" s="45"/>
      <c r="BI72" s="8"/>
      <c r="BJ72" s="45"/>
      <c r="BK72" s="8"/>
      <c r="BL72" s="45"/>
      <c r="BM72" s="8"/>
      <c r="BN72" s="8"/>
      <c r="BO72" s="45"/>
      <c r="BP72" s="8"/>
      <c r="BQ72" s="45"/>
      <c r="BR72" s="8"/>
      <c r="BS72" s="45"/>
      <c r="BT72" s="8"/>
      <c r="BU72" s="45"/>
      <c r="BV72" s="8"/>
      <c r="BW72" s="45"/>
      <c r="BX72" s="8"/>
      <c r="BY72" s="45"/>
      <c r="BZ72" s="8"/>
      <c r="CA72" s="45"/>
      <c r="CB72" s="8"/>
      <c r="CC72" s="45"/>
      <c r="CD72" s="8"/>
      <c r="CE72" s="45"/>
      <c r="CF72" s="8"/>
      <c r="CG72" s="45"/>
      <c r="CH72" s="8"/>
      <c r="CI72" s="45"/>
      <c r="CJ72" s="8"/>
      <c r="CK72" s="45"/>
      <c r="CL72" s="8"/>
      <c r="CM72" s="45"/>
      <c r="CN72" s="8"/>
      <c r="CO72" s="45"/>
      <c r="CP72" s="8"/>
      <c r="CQ72" s="45"/>
      <c r="CR72" s="8"/>
      <c r="CS72" s="45"/>
      <c r="CT72" s="8"/>
      <c r="CU72" s="45"/>
      <c r="CV72" s="8"/>
      <c r="CW72" s="45"/>
      <c r="CX72" s="8"/>
      <c r="CY72" s="45"/>
      <c r="CZ72" s="8"/>
      <c r="DA72" s="45"/>
      <c r="DB72" s="8"/>
      <c r="DC72" s="45"/>
      <c r="DD72" s="8"/>
      <c r="DE72" s="45"/>
      <c r="DF72" s="8"/>
      <c r="DG72" s="45"/>
      <c r="DH72" s="8"/>
      <c r="DI72" s="45"/>
      <c r="DJ72" s="8"/>
      <c r="DK72" s="45"/>
      <c r="DL72" s="8"/>
      <c r="DM72" s="45"/>
      <c r="DN72" s="8"/>
      <c r="DO72" s="45"/>
      <c r="DP72" s="8"/>
      <c r="DQ72" s="45"/>
      <c r="DR72" s="8"/>
    </row>
    <row r="73" spans="1:122" s="38" customFormat="1" x14ac:dyDescent="0.3">
      <c r="A73" s="21" t="s">
        <v>157</v>
      </c>
      <c r="B73" s="8">
        <v>2305100</v>
      </c>
      <c r="C73" s="61">
        <v>98</v>
      </c>
      <c r="D73" s="14">
        <v>1887.1557866358557</v>
      </c>
      <c r="E73" s="18">
        <v>1</v>
      </c>
      <c r="F73" s="18">
        <v>19.256691700365877</v>
      </c>
      <c r="G73" s="7">
        <v>1.020408163265306E-2</v>
      </c>
      <c r="H73" s="63">
        <v>5193</v>
      </c>
      <c r="I73" s="19">
        <v>20858136.722511075</v>
      </c>
      <c r="J73" s="6">
        <v>115436164.06701328</v>
      </c>
      <c r="K73" s="5">
        <v>90.816999999999993</v>
      </c>
      <c r="L73" s="4">
        <v>57.18092427629189</v>
      </c>
      <c r="M73" s="6">
        <v>16087.25</v>
      </c>
      <c r="N73" s="8">
        <v>0.63700000000000001</v>
      </c>
      <c r="O73" s="15">
        <v>36.729999999999997</v>
      </c>
      <c r="P73" s="90">
        <v>106751963.98998652</v>
      </c>
      <c r="Q73" s="91">
        <v>137179576.93048334</v>
      </c>
      <c r="R73" s="15">
        <v>6</v>
      </c>
      <c r="S73" s="8">
        <v>5.0999999999999996</v>
      </c>
      <c r="T73" s="8">
        <v>4.7</v>
      </c>
      <c r="U73" s="14">
        <v>87.712344280860705</v>
      </c>
      <c r="V73" s="20">
        <v>9810.92</v>
      </c>
      <c r="W73" s="48">
        <v>115.54</v>
      </c>
      <c r="X73" s="8">
        <v>31.58</v>
      </c>
      <c r="Y73" s="16">
        <v>45.011691348402202</v>
      </c>
      <c r="Z73" s="8">
        <v>0.96</v>
      </c>
      <c r="AA73" s="17">
        <v>2.1182360870000001</v>
      </c>
      <c r="AB73" s="34">
        <v>14.635085692300001</v>
      </c>
      <c r="AC73" s="34">
        <v>0</v>
      </c>
      <c r="AD73" s="42">
        <v>0</v>
      </c>
      <c r="AE73" s="43">
        <v>0.40081652257444766</v>
      </c>
      <c r="AF73" s="34">
        <v>0</v>
      </c>
      <c r="AG73" s="44">
        <v>0.38400000000000001</v>
      </c>
      <c r="AH73" s="8">
        <v>0.13700000000000001</v>
      </c>
      <c r="AI73" s="17">
        <v>0.51500000000000001</v>
      </c>
      <c r="AJ73" s="8">
        <v>0.501</v>
      </c>
      <c r="AK73" s="45">
        <v>0.442</v>
      </c>
      <c r="AL73" s="85">
        <v>0.16002310803004044</v>
      </c>
      <c r="AM73" s="44">
        <v>14.9253731343284</v>
      </c>
      <c r="AN73" s="8">
        <v>0.93181818181818177</v>
      </c>
      <c r="AO73" s="44">
        <v>0.93181818181818177</v>
      </c>
      <c r="AP73" s="85">
        <v>0.11361448103215868</v>
      </c>
      <c r="AQ73" s="45">
        <v>616.21413441170807</v>
      </c>
      <c r="AR73" s="8">
        <v>808.78105141536685</v>
      </c>
      <c r="AS73" s="45">
        <v>154.05353360292702</v>
      </c>
      <c r="AT73" s="8">
        <v>38.513383400731755</v>
      </c>
      <c r="AU73" s="45"/>
      <c r="AV73" s="45"/>
      <c r="AW73" s="8"/>
      <c r="AX73" s="45"/>
      <c r="AY73" s="8"/>
      <c r="AZ73" s="45"/>
      <c r="BA73" s="8"/>
      <c r="BB73" s="45"/>
      <c r="BC73" s="8"/>
      <c r="BD73" s="45"/>
      <c r="BE73" s="8"/>
      <c r="BF73" s="45"/>
      <c r="BG73" s="8"/>
      <c r="BH73" s="45"/>
      <c r="BI73" s="8"/>
      <c r="BJ73" s="45"/>
      <c r="BK73" s="8"/>
      <c r="BL73" s="45"/>
      <c r="BM73" s="8"/>
      <c r="BN73" s="8"/>
      <c r="BO73" s="45"/>
      <c r="BP73" s="8"/>
      <c r="BQ73" s="45"/>
      <c r="BR73" s="8"/>
      <c r="BS73" s="45"/>
      <c r="BT73" s="8"/>
      <c r="BU73" s="45"/>
      <c r="BV73" s="8"/>
      <c r="BW73" s="45"/>
      <c r="BX73" s="8"/>
      <c r="BY73" s="45"/>
      <c r="BZ73" s="8"/>
      <c r="CA73" s="45"/>
      <c r="CB73" s="8"/>
      <c r="CC73" s="45"/>
      <c r="CD73" s="8"/>
      <c r="CE73" s="45"/>
      <c r="CF73" s="8"/>
      <c r="CG73" s="45"/>
      <c r="CH73" s="8"/>
      <c r="CI73" s="45"/>
      <c r="CJ73" s="8"/>
      <c r="CK73" s="45"/>
      <c r="CL73" s="8"/>
      <c r="CM73" s="45"/>
      <c r="CN73" s="8"/>
      <c r="CO73" s="45"/>
      <c r="CP73" s="8"/>
      <c r="CQ73" s="45"/>
      <c r="CR73" s="8"/>
      <c r="CS73" s="45"/>
      <c r="CT73" s="8"/>
      <c r="CU73" s="45"/>
      <c r="CV73" s="8"/>
      <c r="CW73" s="45"/>
      <c r="CX73" s="8"/>
      <c r="CY73" s="45"/>
      <c r="CZ73" s="8"/>
      <c r="DA73" s="45"/>
      <c r="DB73" s="8"/>
      <c r="DC73" s="45"/>
      <c r="DD73" s="8"/>
      <c r="DE73" s="45"/>
      <c r="DF73" s="8"/>
      <c r="DG73" s="45"/>
      <c r="DH73" s="8"/>
      <c r="DI73" s="45"/>
      <c r="DJ73" s="8"/>
      <c r="DK73" s="45"/>
      <c r="DL73" s="8"/>
      <c r="DM73" s="45"/>
      <c r="DN73" s="8"/>
      <c r="DO73" s="45"/>
      <c r="DP73" s="8"/>
      <c r="DQ73" s="45"/>
      <c r="DR73" s="8"/>
    </row>
    <row r="74" spans="1:122" s="38" customFormat="1" x14ac:dyDescent="0.3">
      <c r="A74" s="21" t="s">
        <v>158</v>
      </c>
      <c r="B74" s="8">
        <v>2305209</v>
      </c>
      <c r="C74" s="61">
        <v>164</v>
      </c>
      <c r="D74" s="14">
        <v>820.90299329262189</v>
      </c>
      <c r="E74" s="18">
        <v>7</v>
      </c>
      <c r="F74" s="18">
        <v>35.038542396636295</v>
      </c>
      <c r="G74" s="7">
        <v>4.2682926829268296E-2</v>
      </c>
      <c r="H74" s="63">
        <v>19978</v>
      </c>
      <c r="I74" s="19">
        <v>5808120.2823105417</v>
      </c>
      <c r="J74" s="6">
        <v>92748022.825107619</v>
      </c>
      <c r="K74" s="5">
        <v>926.58699999999999</v>
      </c>
      <c r="L74" s="4">
        <v>21.560846418091341</v>
      </c>
      <c r="M74" s="6">
        <v>7036.69</v>
      </c>
      <c r="N74" s="8">
        <v>0.59699999999999998</v>
      </c>
      <c r="O74" s="15">
        <v>20.8</v>
      </c>
      <c r="P74" s="90">
        <v>44773027.280008011</v>
      </c>
      <c r="Q74" s="91">
        <v>94855404.895384908</v>
      </c>
      <c r="R74" s="15">
        <v>6.6</v>
      </c>
      <c r="S74" s="8">
        <v>5.0999999999999996</v>
      </c>
      <c r="T74" s="8">
        <v>4.8</v>
      </c>
      <c r="U74" s="14">
        <v>100</v>
      </c>
      <c r="V74" s="20">
        <v>15097.67</v>
      </c>
      <c r="W74" s="48">
        <v>10.01</v>
      </c>
      <c r="X74" s="8">
        <v>33.33</v>
      </c>
      <c r="Y74" s="16">
        <v>43.734104622749697</v>
      </c>
      <c r="Z74" s="8">
        <v>0.55000000000000004</v>
      </c>
      <c r="AA74" s="17">
        <v>1.151266393</v>
      </c>
      <c r="AB74" s="34">
        <v>7.9086995695000004</v>
      </c>
      <c r="AC74" s="34">
        <v>0</v>
      </c>
      <c r="AD74" s="42">
        <v>1</v>
      </c>
      <c r="AE74" s="43">
        <v>0.42799482535575678</v>
      </c>
      <c r="AF74" s="34">
        <v>0</v>
      </c>
      <c r="AG74" s="44">
        <v>0.4</v>
      </c>
      <c r="AH74" s="8">
        <v>0.16400000000000001</v>
      </c>
      <c r="AI74" s="17">
        <v>0.53600000000000003</v>
      </c>
      <c r="AJ74" s="8">
        <v>0.5</v>
      </c>
      <c r="AK74" s="45">
        <v>0.621</v>
      </c>
      <c r="AL74" s="85">
        <v>5.6161777955751328E-2</v>
      </c>
      <c r="AM74" s="44">
        <v>3.9215686274509798</v>
      </c>
      <c r="AN74" s="8">
        <v>0.923170731707317</v>
      </c>
      <c r="AO74" s="44">
        <v>0.923170731707317</v>
      </c>
      <c r="AP74" s="85">
        <v>0.16668335168685555</v>
      </c>
      <c r="AQ74" s="45">
        <v>290.31935128641504</v>
      </c>
      <c r="AR74" s="8">
        <v>795.87546300931024</v>
      </c>
      <c r="AS74" s="45">
        <v>85.093602963259585</v>
      </c>
      <c r="AT74" s="8">
        <v>25.027530283311645</v>
      </c>
      <c r="AU74" s="45"/>
      <c r="AV74" s="45"/>
      <c r="AW74" s="8"/>
      <c r="AX74" s="45"/>
      <c r="AY74" s="8"/>
      <c r="AZ74" s="45"/>
      <c r="BA74" s="8"/>
      <c r="BB74" s="45"/>
      <c r="BC74" s="8"/>
      <c r="BD74" s="45"/>
      <c r="BE74" s="8"/>
      <c r="BF74" s="45"/>
      <c r="BG74" s="8"/>
      <c r="BH74" s="45"/>
      <c r="BI74" s="8"/>
      <c r="BJ74" s="45"/>
      <c r="BK74" s="8"/>
      <c r="BL74" s="45"/>
      <c r="BM74" s="8"/>
      <c r="BN74" s="8"/>
      <c r="BO74" s="45"/>
      <c r="BP74" s="8"/>
      <c r="BQ74" s="45"/>
      <c r="BR74" s="8"/>
      <c r="BS74" s="45"/>
      <c r="BT74" s="8"/>
      <c r="BU74" s="45"/>
      <c r="BV74" s="8"/>
      <c r="BW74" s="45"/>
      <c r="BX74" s="8"/>
      <c r="BY74" s="45"/>
      <c r="BZ74" s="8"/>
      <c r="CA74" s="45"/>
      <c r="CB74" s="8"/>
      <c r="CC74" s="45"/>
      <c r="CD74" s="8"/>
      <c r="CE74" s="45"/>
      <c r="CF74" s="8"/>
      <c r="CG74" s="45"/>
      <c r="CH74" s="8"/>
      <c r="CI74" s="45"/>
      <c r="CJ74" s="8"/>
      <c r="CK74" s="45"/>
      <c r="CL74" s="8"/>
      <c r="CM74" s="45"/>
      <c r="CN74" s="8"/>
      <c r="CO74" s="45"/>
      <c r="CP74" s="8"/>
      <c r="CQ74" s="45"/>
      <c r="CR74" s="8"/>
      <c r="CS74" s="45"/>
      <c r="CT74" s="8"/>
      <c r="CU74" s="45"/>
      <c r="CV74" s="8"/>
      <c r="CW74" s="45"/>
      <c r="CX74" s="8"/>
      <c r="CY74" s="45"/>
      <c r="CZ74" s="8"/>
      <c r="DA74" s="45"/>
      <c r="DB74" s="8"/>
      <c r="DC74" s="45"/>
      <c r="DD74" s="8"/>
      <c r="DE74" s="45"/>
      <c r="DF74" s="8"/>
      <c r="DG74" s="45"/>
      <c r="DH74" s="8"/>
      <c r="DI74" s="45"/>
      <c r="DJ74" s="8"/>
      <c r="DK74" s="45"/>
      <c r="DL74" s="8"/>
      <c r="DM74" s="45"/>
      <c r="DN74" s="8"/>
      <c r="DO74" s="45"/>
      <c r="DP74" s="8"/>
      <c r="DQ74" s="45"/>
      <c r="DR74" s="8"/>
    </row>
    <row r="75" spans="1:122" s="38" customFormat="1" x14ac:dyDescent="0.3">
      <c r="A75" s="21" t="s">
        <v>159</v>
      </c>
      <c r="B75" s="8">
        <v>2305233</v>
      </c>
      <c r="C75" s="61">
        <v>1359</v>
      </c>
      <c r="D75" s="14">
        <v>2018.2069293256309</v>
      </c>
      <c r="E75" s="18">
        <v>68</v>
      </c>
      <c r="F75" s="18">
        <v>100.9845998485231</v>
      </c>
      <c r="G75" s="7">
        <v>5.0036791758646067E-2</v>
      </c>
      <c r="H75" s="63">
        <v>67337</v>
      </c>
      <c r="I75" s="19">
        <v>2120106.7763636634</v>
      </c>
      <c r="J75" s="6">
        <v>91224735.286692306</v>
      </c>
      <c r="K75" s="5">
        <v>160.55699999999999</v>
      </c>
      <c r="L75" s="4">
        <v>419.39622688515607</v>
      </c>
      <c r="M75" s="6">
        <v>25783.29</v>
      </c>
      <c r="N75" s="8">
        <v>0.65800000000000003</v>
      </c>
      <c r="O75" s="15">
        <v>46.98</v>
      </c>
      <c r="P75" s="90">
        <v>79011642.915484801</v>
      </c>
      <c r="Q75" s="91">
        <v>88297774.878595725</v>
      </c>
      <c r="R75" s="15">
        <v>6.9</v>
      </c>
      <c r="S75" s="8">
        <v>5.7</v>
      </c>
      <c r="T75" s="8">
        <v>4.5</v>
      </c>
      <c r="U75" s="14">
        <v>96.959161606920105</v>
      </c>
      <c r="V75" s="20">
        <v>121371.3</v>
      </c>
      <c r="W75" s="48">
        <v>29.7</v>
      </c>
      <c r="X75" s="8">
        <v>31.21</v>
      </c>
      <c r="Y75" s="16">
        <v>27.000248070160101</v>
      </c>
      <c r="Z75" s="8">
        <v>0.45</v>
      </c>
      <c r="AA75" s="17">
        <v>0.71283246950000001</v>
      </c>
      <c r="AB75" s="34">
        <v>10.1578626906</v>
      </c>
      <c r="AC75" s="34">
        <v>1</v>
      </c>
      <c r="AD75" s="42">
        <v>1</v>
      </c>
      <c r="AE75" s="43">
        <v>7.4981426785293639E-2</v>
      </c>
      <c r="AF75" s="34">
        <v>1</v>
      </c>
      <c r="AG75" s="44">
        <v>0.36499999999999999</v>
      </c>
      <c r="AH75" s="8">
        <v>0.20899999999999999</v>
      </c>
      <c r="AI75" s="17">
        <v>0.504</v>
      </c>
      <c r="AJ75" s="8">
        <v>0.38300000000000001</v>
      </c>
      <c r="AK75" s="45">
        <v>0.56499999999999995</v>
      </c>
      <c r="AL75" s="85">
        <v>0.26602016721861682</v>
      </c>
      <c r="AM75" s="44">
        <v>4.0983606557377099</v>
      </c>
      <c r="AN75" s="8">
        <v>0.75242326332794818</v>
      </c>
      <c r="AO75" s="44">
        <v>0.75242326332794829</v>
      </c>
      <c r="AP75" s="85">
        <v>7.7431427001499922E-2</v>
      </c>
      <c r="AQ75" s="45">
        <v>360.87143769398699</v>
      </c>
      <c r="AR75" s="8">
        <v>372.75197885263674</v>
      </c>
      <c r="AS75" s="45">
        <v>25.246149962130776</v>
      </c>
      <c r="AT75" s="8">
        <v>5.9402705793248884</v>
      </c>
      <c r="AU75" s="45"/>
      <c r="AV75" s="45"/>
      <c r="AW75" s="8"/>
      <c r="AX75" s="45"/>
      <c r="AY75" s="8"/>
      <c r="AZ75" s="45"/>
      <c r="BA75" s="8"/>
      <c r="BB75" s="45"/>
      <c r="BC75" s="8"/>
      <c r="BD75" s="45"/>
      <c r="BE75" s="8"/>
      <c r="BF75" s="45"/>
      <c r="BG75" s="8"/>
      <c r="BH75" s="45"/>
      <c r="BI75" s="8"/>
      <c r="BJ75" s="45"/>
      <c r="BK75" s="8"/>
      <c r="BL75" s="45"/>
      <c r="BM75" s="8"/>
      <c r="BN75" s="8"/>
      <c r="BO75" s="45"/>
      <c r="BP75" s="8"/>
      <c r="BQ75" s="45"/>
      <c r="BR75" s="8"/>
      <c r="BS75" s="45"/>
      <c r="BT75" s="8"/>
      <c r="BU75" s="45"/>
      <c r="BV75" s="8"/>
      <c r="BW75" s="45"/>
      <c r="BX75" s="8"/>
      <c r="BY75" s="45"/>
      <c r="BZ75" s="8"/>
      <c r="CA75" s="45"/>
      <c r="CB75" s="8"/>
      <c r="CC75" s="45"/>
      <c r="CD75" s="8"/>
      <c r="CE75" s="45"/>
      <c r="CF75" s="8"/>
      <c r="CG75" s="45"/>
      <c r="CH75" s="8"/>
      <c r="CI75" s="45"/>
      <c r="CJ75" s="8"/>
      <c r="CK75" s="45"/>
      <c r="CL75" s="8"/>
      <c r="CM75" s="45"/>
      <c r="CN75" s="8"/>
      <c r="CO75" s="45"/>
      <c r="CP75" s="8"/>
      <c r="CQ75" s="45"/>
      <c r="CR75" s="8"/>
      <c r="CS75" s="45"/>
      <c r="CT75" s="8"/>
      <c r="CU75" s="45"/>
      <c r="CV75" s="8"/>
      <c r="CW75" s="45"/>
      <c r="CX75" s="8"/>
      <c r="CY75" s="45"/>
      <c r="CZ75" s="8"/>
      <c r="DA75" s="45"/>
      <c r="DB75" s="8"/>
      <c r="DC75" s="45"/>
      <c r="DD75" s="8"/>
      <c r="DE75" s="45"/>
      <c r="DF75" s="8"/>
      <c r="DG75" s="45"/>
      <c r="DH75" s="8"/>
      <c r="DI75" s="45"/>
      <c r="DJ75" s="8"/>
      <c r="DK75" s="45"/>
      <c r="DL75" s="8"/>
      <c r="DM75" s="45"/>
      <c r="DN75" s="8"/>
      <c r="DO75" s="45"/>
      <c r="DP75" s="8"/>
      <c r="DQ75" s="45"/>
      <c r="DR75" s="8"/>
    </row>
    <row r="76" spans="1:122" s="38" customFormat="1" x14ac:dyDescent="0.3">
      <c r="A76" s="21" t="s">
        <v>160</v>
      </c>
      <c r="B76" s="8">
        <v>2305266</v>
      </c>
      <c r="C76" s="61">
        <v>45</v>
      </c>
      <c r="D76" s="14">
        <v>337.00292069197934</v>
      </c>
      <c r="E76" s="18">
        <v>6</v>
      </c>
      <c r="F76" s="18">
        <v>44.933722758930578</v>
      </c>
      <c r="G76" s="7">
        <v>0.13333333333333333</v>
      </c>
      <c r="H76" s="63">
        <v>13353</v>
      </c>
      <c r="I76" s="19">
        <v>1613956.4142889238</v>
      </c>
      <c r="J76" s="6">
        <v>104205796.4502359</v>
      </c>
      <c r="K76" s="5">
        <v>879.255</v>
      </c>
      <c r="L76" s="4">
        <v>15.186720575942132</v>
      </c>
      <c r="M76" s="6">
        <v>7090.65</v>
      </c>
      <c r="N76" s="8">
        <v>0.57699999999999996</v>
      </c>
      <c r="O76" s="15">
        <v>20.51</v>
      </c>
      <c r="P76" s="90">
        <v>55059079.832247436</v>
      </c>
      <c r="Q76" s="91">
        <v>106090791.50752641</v>
      </c>
      <c r="R76" s="15">
        <v>5.0999999999999996</v>
      </c>
      <c r="S76" s="8">
        <v>4.3</v>
      </c>
      <c r="T76" s="8">
        <v>3.9</v>
      </c>
      <c r="U76" s="14">
        <v>96.316680779000905</v>
      </c>
      <c r="V76" s="20">
        <v>9947.99</v>
      </c>
      <c r="W76" s="48">
        <v>7.49</v>
      </c>
      <c r="X76" s="8">
        <v>34.549999999999997</v>
      </c>
      <c r="Y76" s="16">
        <v>54.229934924078101</v>
      </c>
      <c r="Z76" s="8">
        <v>0.97</v>
      </c>
      <c r="AA76" s="17">
        <v>1.5726802966</v>
      </c>
      <c r="AB76" s="34">
        <v>9.0616340897000001</v>
      </c>
      <c r="AC76" s="34">
        <v>0</v>
      </c>
      <c r="AD76" s="42">
        <v>1</v>
      </c>
      <c r="AE76" s="43">
        <v>0.65585822628076151</v>
      </c>
      <c r="AF76" s="34">
        <v>1</v>
      </c>
      <c r="AG76" s="44">
        <v>0.52300000000000002</v>
      </c>
      <c r="AH76" s="8">
        <v>0.46800000000000003</v>
      </c>
      <c r="AI76" s="17">
        <v>0.56399999999999995</v>
      </c>
      <c r="AJ76" s="8">
        <v>0.53800000000000003</v>
      </c>
      <c r="AK76" s="45">
        <v>0.53100000000000003</v>
      </c>
      <c r="AL76" s="85">
        <v>6.3356549090092112E-2</v>
      </c>
      <c r="AM76" s="44">
        <v>9.8522167487684698</v>
      </c>
      <c r="AN76" s="8">
        <v>0.62953367875647648</v>
      </c>
      <c r="AO76" s="44">
        <v>0.62953367875647648</v>
      </c>
      <c r="AP76" s="85">
        <v>0.13480116827679173</v>
      </c>
      <c r="AQ76" s="45">
        <v>351.98082827828955</v>
      </c>
      <c r="AR76" s="8">
        <v>471.80408896877105</v>
      </c>
      <c r="AS76" s="45">
        <v>127.31221448363664</v>
      </c>
      <c r="AT76" s="8">
        <v>0</v>
      </c>
      <c r="AU76" s="45"/>
      <c r="AV76" s="45"/>
      <c r="AW76" s="8"/>
      <c r="AX76" s="45"/>
      <c r="AY76" s="8"/>
      <c r="AZ76" s="45"/>
      <c r="BA76" s="8"/>
      <c r="BB76" s="45"/>
      <c r="BC76" s="8"/>
      <c r="BD76" s="45"/>
      <c r="BE76" s="8"/>
      <c r="BF76" s="45"/>
      <c r="BG76" s="8"/>
      <c r="BH76" s="45"/>
      <c r="BI76" s="8"/>
      <c r="BJ76" s="45"/>
      <c r="BK76" s="8"/>
      <c r="BL76" s="45"/>
      <c r="BM76" s="8"/>
      <c r="BN76" s="8"/>
      <c r="BO76" s="45"/>
      <c r="BP76" s="8"/>
      <c r="BQ76" s="45"/>
      <c r="BR76" s="8"/>
      <c r="BS76" s="45"/>
      <c r="BT76" s="8"/>
      <c r="BU76" s="45"/>
      <c r="BV76" s="8"/>
      <c r="BW76" s="45"/>
      <c r="BX76" s="8"/>
      <c r="BY76" s="45"/>
      <c r="BZ76" s="8"/>
      <c r="CA76" s="45"/>
      <c r="CB76" s="8"/>
      <c r="CC76" s="45"/>
      <c r="CD76" s="8"/>
      <c r="CE76" s="45"/>
      <c r="CF76" s="8"/>
      <c r="CG76" s="45"/>
      <c r="CH76" s="8"/>
      <c r="CI76" s="45"/>
      <c r="CJ76" s="8"/>
      <c r="CK76" s="45"/>
      <c r="CL76" s="8"/>
      <c r="CM76" s="45"/>
      <c r="CN76" s="8"/>
      <c r="CO76" s="45"/>
      <c r="CP76" s="8"/>
      <c r="CQ76" s="45"/>
      <c r="CR76" s="8"/>
      <c r="CS76" s="45"/>
      <c r="CT76" s="8"/>
      <c r="CU76" s="45"/>
      <c r="CV76" s="8"/>
      <c r="CW76" s="45"/>
      <c r="CX76" s="8"/>
      <c r="CY76" s="45"/>
      <c r="CZ76" s="8"/>
      <c r="DA76" s="45"/>
      <c r="DB76" s="8"/>
      <c r="DC76" s="45"/>
      <c r="DD76" s="8"/>
      <c r="DE76" s="45"/>
      <c r="DF76" s="8"/>
      <c r="DG76" s="45"/>
      <c r="DH76" s="8"/>
      <c r="DI76" s="45"/>
      <c r="DJ76" s="8"/>
      <c r="DK76" s="45"/>
      <c r="DL76" s="8"/>
      <c r="DM76" s="45"/>
      <c r="DN76" s="8"/>
      <c r="DO76" s="45"/>
      <c r="DP76" s="8"/>
      <c r="DQ76" s="45"/>
      <c r="DR76" s="8"/>
    </row>
    <row r="77" spans="1:122" s="38" customFormat="1" x14ac:dyDescent="0.3">
      <c r="A77" s="21" t="s">
        <v>161</v>
      </c>
      <c r="B77" s="8">
        <v>2305308</v>
      </c>
      <c r="C77" s="61">
        <v>416</v>
      </c>
      <c r="D77" s="14">
        <v>1664.1997039644759</v>
      </c>
      <c r="E77" s="18">
        <v>9</v>
      </c>
      <c r="F77" s="18">
        <v>36.004320518462215</v>
      </c>
      <c r="G77" s="7">
        <v>2.1634615384615384E-2</v>
      </c>
      <c r="H77" s="63">
        <v>24997</v>
      </c>
      <c r="I77" s="19">
        <v>8556072.3286794405</v>
      </c>
      <c r="J77" s="6">
        <v>91162939.552746326</v>
      </c>
      <c r="K77" s="5">
        <v>414.09199999999998</v>
      </c>
      <c r="L77" s="4">
        <v>60.365812428156062</v>
      </c>
      <c r="M77" s="6">
        <v>11277.09</v>
      </c>
      <c r="N77" s="8">
        <v>0.60799999999999998</v>
      </c>
      <c r="O77" s="15">
        <v>40.020000000000003</v>
      </c>
      <c r="P77" s="90">
        <v>77263218.386206344</v>
      </c>
      <c r="Q77" s="91">
        <v>87227954.834580153</v>
      </c>
      <c r="R77" s="15">
        <v>6.3</v>
      </c>
      <c r="S77" s="8">
        <v>5.2</v>
      </c>
      <c r="T77" s="8">
        <v>4.4000000000000004</v>
      </c>
      <c r="U77" s="14">
        <v>99.968979423017302</v>
      </c>
      <c r="V77" s="20">
        <v>16272.93</v>
      </c>
      <c r="W77" s="48">
        <v>4</v>
      </c>
      <c r="X77" s="8">
        <v>30.95</v>
      </c>
      <c r="Y77" s="16">
        <v>46.826409377242598</v>
      </c>
      <c r="Z77" s="8">
        <v>0.88</v>
      </c>
      <c r="AA77" s="17">
        <v>1.5201824219</v>
      </c>
      <c r="AB77" s="34">
        <v>9.7611713406000007</v>
      </c>
      <c r="AC77" s="34">
        <v>0</v>
      </c>
      <c r="AD77" s="42">
        <v>1</v>
      </c>
      <c r="AE77" s="43">
        <v>0.54876512096774188</v>
      </c>
      <c r="AF77" s="34">
        <v>1</v>
      </c>
      <c r="AG77" s="44">
        <v>0.38300000000000001</v>
      </c>
      <c r="AH77" s="8">
        <v>0.21099999999999999</v>
      </c>
      <c r="AI77" s="17">
        <v>0.45</v>
      </c>
      <c r="AJ77" s="8">
        <v>0.48899999999999999</v>
      </c>
      <c r="AK77" s="45">
        <v>0.52700000000000002</v>
      </c>
      <c r="AL77" s="85">
        <v>6.4567748129775573E-2</v>
      </c>
      <c r="AM77" s="44">
        <v>8</v>
      </c>
      <c r="AN77" s="8">
        <v>0.86127167630057799</v>
      </c>
      <c r="AO77" s="44">
        <v>0.86127167630057799</v>
      </c>
      <c r="AP77" s="85">
        <v>0.14581749809977199</v>
      </c>
      <c r="AQ77" s="45">
        <v>488.05856702804334</v>
      </c>
      <c r="AR77" s="8">
        <v>884.10609273112777</v>
      </c>
      <c r="AS77" s="45">
        <v>80.009601152138245</v>
      </c>
      <c r="AT77" s="8">
        <v>40.004800576069123</v>
      </c>
      <c r="AU77" s="45"/>
      <c r="AV77" s="45"/>
      <c r="AW77" s="8"/>
      <c r="AX77" s="45"/>
      <c r="AY77" s="8"/>
      <c r="AZ77" s="45"/>
      <c r="BA77" s="8"/>
      <c r="BB77" s="45"/>
      <c r="BC77" s="8"/>
      <c r="BD77" s="45"/>
      <c r="BE77" s="8"/>
      <c r="BF77" s="45"/>
      <c r="BG77" s="8"/>
      <c r="BH77" s="45"/>
      <c r="BI77" s="8"/>
      <c r="BJ77" s="45"/>
      <c r="BK77" s="8"/>
      <c r="BL77" s="45"/>
      <c r="BM77" s="8"/>
      <c r="BN77" s="8"/>
      <c r="BO77" s="45"/>
      <c r="BP77" s="8"/>
      <c r="BQ77" s="45"/>
      <c r="BR77" s="8"/>
      <c r="BS77" s="45"/>
      <c r="BT77" s="8"/>
      <c r="BU77" s="45"/>
      <c r="BV77" s="8"/>
      <c r="BW77" s="45"/>
      <c r="BX77" s="8"/>
      <c r="BY77" s="45"/>
      <c r="BZ77" s="8"/>
      <c r="CA77" s="45"/>
      <c r="CB77" s="8"/>
      <c r="CC77" s="45"/>
      <c r="CD77" s="8"/>
      <c r="CE77" s="45"/>
      <c r="CF77" s="8"/>
      <c r="CG77" s="45"/>
      <c r="CH77" s="8"/>
      <c r="CI77" s="45"/>
      <c r="CJ77" s="8"/>
      <c r="CK77" s="45"/>
      <c r="CL77" s="8"/>
      <c r="CM77" s="45"/>
      <c r="CN77" s="8"/>
      <c r="CO77" s="45"/>
      <c r="CP77" s="8"/>
      <c r="CQ77" s="45"/>
      <c r="CR77" s="8"/>
      <c r="CS77" s="45"/>
      <c r="CT77" s="8"/>
      <c r="CU77" s="45"/>
      <c r="CV77" s="8"/>
      <c r="CW77" s="45"/>
      <c r="CX77" s="8"/>
      <c r="CY77" s="45"/>
      <c r="CZ77" s="8"/>
      <c r="DA77" s="45"/>
      <c r="DB77" s="8"/>
      <c r="DC77" s="45"/>
      <c r="DD77" s="8"/>
      <c r="DE77" s="45"/>
      <c r="DF77" s="8"/>
      <c r="DG77" s="45"/>
      <c r="DH77" s="8"/>
      <c r="DI77" s="45"/>
      <c r="DJ77" s="8"/>
      <c r="DK77" s="45"/>
      <c r="DL77" s="8"/>
      <c r="DM77" s="45"/>
      <c r="DN77" s="8"/>
      <c r="DO77" s="45"/>
      <c r="DP77" s="8"/>
      <c r="DQ77" s="45"/>
      <c r="DR77" s="8"/>
    </row>
    <row r="78" spans="1:122" s="38" customFormat="1" x14ac:dyDescent="0.3">
      <c r="A78" s="21" t="s">
        <v>162</v>
      </c>
      <c r="B78" s="8">
        <v>2305332</v>
      </c>
      <c r="C78" s="61">
        <v>420</v>
      </c>
      <c r="D78" s="14">
        <v>3353.2934131736524</v>
      </c>
      <c r="E78" s="18">
        <v>6</v>
      </c>
      <c r="F78" s="18">
        <v>47.904191616766468</v>
      </c>
      <c r="G78" s="7">
        <v>1.4285714285714285E-2</v>
      </c>
      <c r="H78" s="63">
        <v>12525</v>
      </c>
      <c r="I78" s="19">
        <v>5931803.0339321354</v>
      </c>
      <c r="J78" s="6">
        <v>110385628.74251497</v>
      </c>
      <c r="K78" s="5">
        <v>423.85599999999999</v>
      </c>
      <c r="L78" s="4">
        <v>29.550130232909289</v>
      </c>
      <c r="M78" s="6">
        <v>7109.47</v>
      </c>
      <c r="N78" s="8">
        <v>0.60599999999999998</v>
      </c>
      <c r="O78" s="15">
        <v>18.43</v>
      </c>
      <c r="P78" s="90">
        <v>54817707.145708583</v>
      </c>
      <c r="Q78" s="91">
        <v>114077260.5988024</v>
      </c>
      <c r="R78" s="15">
        <v>6</v>
      </c>
      <c r="S78" s="8">
        <v>5.3</v>
      </c>
      <c r="T78" s="8">
        <v>3.9</v>
      </c>
      <c r="U78" s="14">
        <v>96.507614213197996</v>
      </c>
      <c r="V78" s="20">
        <v>8868.99</v>
      </c>
      <c r="W78" s="48">
        <v>31.94</v>
      </c>
      <c r="X78" s="8">
        <v>30.77</v>
      </c>
      <c r="Y78" s="16">
        <v>57.748040224879198</v>
      </c>
      <c r="Z78" s="8">
        <v>0.8</v>
      </c>
      <c r="AA78" s="17">
        <v>0.63872255489999996</v>
      </c>
      <c r="AB78" s="34">
        <v>8.7824351296999996</v>
      </c>
      <c r="AC78" s="34">
        <v>0</v>
      </c>
      <c r="AD78" s="42">
        <v>1</v>
      </c>
      <c r="AE78" s="43">
        <v>0.49342743714159681</v>
      </c>
      <c r="AF78" s="34">
        <v>0</v>
      </c>
      <c r="AG78" s="44">
        <v>0.45200000000000001</v>
      </c>
      <c r="AH78" s="8">
        <v>0.28100000000000003</v>
      </c>
      <c r="AI78" s="17">
        <v>0.52800000000000002</v>
      </c>
      <c r="AJ78" s="8">
        <v>0.54800000000000004</v>
      </c>
      <c r="AK78" s="45">
        <v>0.61299999999999999</v>
      </c>
      <c r="AL78" s="85">
        <v>7.6167664670658677E-2</v>
      </c>
      <c r="AM78" s="44"/>
      <c r="AN78" s="8">
        <v>0.98717948717948734</v>
      </c>
      <c r="AO78" s="44">
        <v>0.98717948717948723</v>
      </c>
      <c r="AP78" s="85">
        <v>0.13764471057884231</v>
      </c>
      <c r="AQ78" s="45">
        <v>399.20159680638722</v>
      </c>
      <c r="AR78" s="8">
        <v>399.20159680638722</v>
      </c>
      <c r="AS78" s="45">
        <v>55.88822355289421</v>
      </c>
      <c r="AT78" s="8">
        <v>23.952095808383234</v>
      </c>
      <c r="AU78" s="45"/>
      <c r="AV78" s="45"/>
      <c r="AW78" s="8"/>
      <c r="AX78" s="45"/>
      <c r="AY78" s="8"/>
      <c r="AZ78" s="45"/>
      <c r="BA78" s="8"/>
      <c r="BB78" s="45"/>
      <c r="BC78" s="8"/>
      <c r="BD78" s="45"/>
      <c r="BE78" s="8"/>
      <c r="BF78" s="45"/>
      <c r="BG78" s="8"/>
      <c r="BH78" s="45"/>
      <c r="BI78" s="8"/>
      <c r="BJ78" s="45"/>
      <c r="BK78" s="8"/>
      <c r="BL78" s="45"/>
      <c r="BM78" s="8"/>
      <c r="BN78" s="8"/>
      <c r="BO78" s="45"/>
      <c r="BP78" s="8"/>
      <c r="BQ78" s="45"/>
      <c r="BR78" s="8"/>
      <c r="BS78" s="45"/>
      <c r="BT78" s="8"/>
      <c r="BU78" s="45"/>
      <c r="BV78" s="8"/>
      <c r="BW78" s="45"/>
      <c r="BX78" s="8"/>
      <c r="BY78" s="45"/>
      <c r="BZ78" s="8"/>
      <c r="CA78" s="45"/>
      <c r="CB78" s="8"/>
      <c r="CC78" s="45"/>
      <c r="CD78" s="8"/>
      <c r="CE78" s="45"/>
      <c r="CF78" s="8"/>
      <c r="CG78" s="45"/>
      <c r="CH78" s="8"/>
      <c r="CI78" s="45"/>
      <c r="CJ78" s="8"/>
      <c r="CK78" s="45"/>
      <c r="CL78" s="8"/>
      <c r="CM78" s="45"/>
      <c r="CN78" s="8"/>
      <c r="CO78" s="45"/>
      <c r="CP78" s="8"/>
      <c r="CQ78" s="45"/>
      <c r="CR78" s="8"/>
      <c r="CS78" s="45"/>
      <c r="CT78" s="8"/>
      <c r="CU78" s="45"/>
      <c r="CV78" s="8"/>
      <c r="CW78" s="45"/>
      <c r="CX78" s="8"/>
      <c r="CY78" s="45"/>
      <c r="CZ78" s="8"/>
      <c r="DA78" s="45"/>
      <c r="DB78" s="8"/>
      <c r="DC78" s="45"/>
      <c r="DD78" s="8"/>
      <c r="DE78" s="45"/>
      <c r="DF78" s="8"/>
      <c r="DG78" s="45"/>
      <c r="DH78" s="8"/>
      <c r="DI78" s="45"/>
      <c r="DJ78" s="8"/>
      <c r="DK78" s="45"/>
      <c r="DL78" s="8"/>
      <c r="DM78" s="45"/>
      <c r="DN78" s="8"/>
      <c r="DO78" s="45"/>
      <c r="DP78" s="8"/>
      <c r="DQ78" s="45"/>
      <c r="DR78" s="8"/>
    </row>
    <row r="79" spans="1:122" s="38" customFormat="1" x14ac:dyDescent="0.3">
      <c r="A79" s="21" t="s">
        <v>163</v>
      </c>
      <c r="B79" s="8">
        <v>2305357</v>
      </c>
      <c r="C79" s="61">
        <v>315</v>
      </c>
      <c r="D79" s="14">
        <v>1580.214708538176</v>
      </c>
      <c r="E79" s="18">
        <v>7</v>
      </c>
      <c r="F79" s="18">
        <v>35.115882411959468</v>
      </c>
      <c r="G79" s="7">
        <v>2.2222222222222223E-2</v>
      </c>
      <c r="H79" s="63">
        <v>19934</v>
      </c>
      <c r="I79" s="19">
        <v>9376095.5653657056</v>
      </c>
      <c r="J79" s="6">
        <v>108002407.94622253</v>
      </c>
      <c r="K79" s="5">
        <v>421.44</v>
      </c>
      <c r="L79" s="4">
        <v>47.299734244495063</v>
      </c>
      <c r="M79" s="6">
        <v>17060.8</v>
      </c>
      <c r="N79" s="8">
        <v>0.61599999999999999</v>
      </c>
      <c r="O79" s="15">
        <v>24.97</v>
      </c>
      <c r="P79" s="90">
        <v>97372978.328483999</v>
      </c>
      <c r="Q79" s="91">
        <v>99447389.886625871</v>
      </c>
      <c r="R79" s="15">
        <v>6</v>
      </c>
      <c r="S79" s="8">
        <v>4.9000000000000004</v>
      </c>
      <c r="T79" s="8">
        <v>4.4000000000000004</v>
      </c>
      <c r="U79" s="14">
        <v>91.389290882778596</v>
      </c>
      <c r="V79" s="20">
        <v>38901.97</v>
      </c>
      <c r="W79" s="48">
        <v>25.08</v>
      </c>
      <c r="X79" s="8">
        <v>32.14</v>
      </c>
      <c r="Y79" s="16">
        <v>48.584247258225297</v>
      </c>
      <c r="Z79" s="8">
        <v>0.65</v>
      </c>
      <c r="AA79" s="17">
        <v>0.80264874080000004</v>
      </c>
      <c r="AB79" s="34">
        <v>9.6317848901000005</v>
      </c>
      <c r="AC79" s="34">
        <v>0</v>
      </c>
      <c r="AD79" s="42">
        <v>0</v>
      </c>
      <c r="AE79" s="43">
        <v>0.68535232709873861</v>
      </c>
      <c r="AF79" s="34">
        <v>1</v>
      </c>
      <c r="AG79" s="44">
        <v>0.45800000000000002</v>
      </c>
      <c r="AH79" s="8">
        <v>0.41199999999999998</v>
      </c>
      <c r="AI79" s="17">
        <v>0.497</v>
      </c>
      <c r="AJ79" s="8">
        <v>0.46500000000000002</v>
      </c>
      <c r="AK79" s="45">
        <v>0.503</v>
      </c>
      <c r="AL79" s="85">
        <v>0.15496137252934686</v>
      </c>
      <c r="AM79" s="44">
        <v>6.2111801242236</v>
      </c>
      <c r="AN79" s="8">
        <v>0.8968401486988844</v>
      </c>
      <c r="AO79" s="44">
        <v>0.89684014869888451</v>
      </c>
      <c r="AP79" s="85">
        <v>0.12260459516404133</v>
      </c>
      <c r="AQ79" s="45">
        <v>295.97672318651547</v>
      </c>
      <c r="AR79" s="8">
        <v>260.86084077455604</v>
      </c>
      <c r="AS79" s="45">
        <v>50.165546302799243</v>
      </c>
      <c r="AT79" s="8">
        <v>0</v>
      </c>
      <c r="AU79" s="45"/>
      <c r="AV79" s="45"/>
      <c r="AW79" s="8"/>
      <c r="AX79" s="45"/>
      <c r="AY79" s="8"/>
      <c r="AZ79" s="45"/>
      <c r="BA79" s="8"/>
      <c r="BB79" s="45"/>
      <c r="BC79" s="8"/>
      <c r="BD79" s="45"/>
      <c r="BE79" s="8"/>
      <c r="BF79" s="45"/>
      <c r="BG79" s="8"/>
      <c r="BH79" s="45"/>
      <c r="BI79" s="8"/>
      <c r="BJ79" s="45"/>
      <c r="BK79" s="8"/>
      <c r="BL79" s="45"/>
      <c r="BM79" s="8"/>
      <c r="BN79" s="8"/>
      <c r="BO79" s="45"/>
      <c r="BP79" s="8"/>
      <c r="BQ79" s="45"/>
      <c r="BR79" s="8"/>
      <c r="BS79" s="45"/>
      <c r="BT79" s="8"/>
      <c r="BU79" s="45"/>
      <c r="BV79" s="8"/>
      <c r="BW79" s="45"/>
      <c r="BX79" s="8"/>
      <c r="BY79" s="45"/>
      <c r="BZ79" s="8"/>
      <c r="CA79" s="45"/>
      <c r="CB79" s="8"/>
      <c r="CC79" s="45"/>
      <c r="CD79" s="8"/>
      <c r="CE79" s="45"/>
      <c r="CF79" s="8"/>
      <c r="CG79" s="45"/>
      <c r="CH79" s="8"/>
      <c r="CI79" s="45"/>
      <c r="CJ79" s="8"/>
      <c r="CK79" s="45"/>
      <c r="CL79" s="8"/>
      <c r="CM79" s="45"/>
      <c r="CN79" s="8"/>
      <c r="CO79" s="45"/>
      <c r="CP79" s="8"/>
      <c r="CQ79" s="45"/>
      <c r="CR79" s="8"/>
      <c r="CS79" s="45"/>
      <c r="CT79" s="8"/>
      <c r="CU79" s="45"/>
      <c r="CV79" s="8"/>
      <c r="CW79" s="45"/>
      <c r="CX79" s="8"/>
      <c r="CY79" s="45"/>
      <c r="CZ79" s="8"/>
      <c r="DA79" s="45"/>
      <c r="DB79" s="8"/>
      <c r="DC79" s="45"/>
      <c r="DD79" s="8"/>
      <c r="DE79" s="45"/>
      <c r="DF79" s="8"/>
      <c r="DG79" s="45"/>
      <c r="DH79" s="8"/>
      <c r="DI79" s="45"/>
      <c r="DJ79" s="8"/>
      <c r="DK79" s="45"/>
      <c r="DL79" s="8"/>
      <c r="DM79" s="45"/>
      <c r="DN79" s="8"/>
      <c r="DO79" s="45"/>
      <c r="DP79" s="8"/>
      <c r="DQ79" s="45"/>
      <c r="DR79" s="8"/>
    </row>
    <row r="80" spans="1:122" s="38" customFormat="1" x14ac:dyDescent="0.3">
      <c r="A80" s="21" t="s">
        <v>164</v>
      </c>
      <c r="B80" s="8">
        <v>2305407</v>
      </c>
      <c r="C80" s="61">
        <v>414</v>
      </c>
      <c r="D80" s="14">
        <v>608.66241289070535</v>
      </c>
      <c r="E80" s="18">
        <v>8</v>
      </c>
      <c r="F80" s="18">
        <v>11.761592519627158</v>
      </c>
      <c r="G80" s="7">
        <v>1.932367149758454E-2</v>
      </c>
      <c r="H80" s="63">
        <v>68018</v>
      </c>
      <c r="I80" s="19">
        <v>6499726.5282719284</v>
      </c>
      <c r="J80" s="6">
        <v>99834749.625099242</v>
      </c>
      <c r="K80" s="5">
        <v>1865.8620000000001</v>
      </c>
      <c r="L80" s="4">
        <v>36.453928532763946</v>
      </c>
      <c r="M80" s="6">
        <v>8126.78</v>
      </c>
      <c r="N80" s="8">
        <v>0.60599999999999998</v>
      </c>
      <c r="O80" s="15">
        <v>14.69</v>
      </c>
      <c r="P80" s="90">
        <v>62873708.929989129</v>
      </c>
      <c r="Q80" s="91">
        <v>80387178.746802315</v>
      </c>
      <c r="R80" s="15">
        <v>5</v>
      </c>
      <c r="S80" s="8">
        <v>4.2</v>
      </c>
      <c r="T80" s="8">
        <v>4.2</v>
      </c>
      <c r="U80" s="14">
        <v>90.2992509501494</v>
      </c>
      <c r="V80" s="20">
        <v>63067.65</v>
      </c>
      <c r="W80" s="48">
        <v>19.11</v>
      </c>
      <c r="X80" s="8">
        <v>31.07</v>
      </c>
      <c r="Y80" s="16">
        <v>48.571051318916702</v>
      </c>
      <c r="Z80" s="8">
        <v>0.56999999999999995</v>
      </c>
      <c r="AA80" s="17">
        <v>0.79390749510000003</v>
      </c>
      <c r="AB80" s="34">
        <v>8.1302008291999996</v>
      </c>
      <c r="AC80" s="34">
        <v>0</v>
      </c>
      <c r="AD80" s="42">
        <v>1</v>
      </c>
      <c r="AE80" s="43">
        <v>0.53460339770227328</v>
      </c>
      <c r="AF80" s="34">
        <v>0</v>
      </c>
      <c r="AG80" s="44">
        <v>0.40300000000000002</v>
      </c>
      <c r="AH80" s="8">
        <v>0.16400000000000001</v>
      </c>
      <c r="AI80" s="17">
        <v>0.54200000000000004</v>
      </c>
      <c r="AJ80" s="8">
        <v>0.503</v>
      </c>
      <c r="AK80" s="45">
        <v>0.61399999999999999</v>
      </c>
      <c r="AL80" s="85">
        <v>6.4232997147813817E-2</v>
      </c>
      <c r="AM80" s="44">
        <v>6.7950169875424704</v>
      </c>
      <c r="AN80" s="8">
        <v>0.7502765486725661</v>
      </c>
      <c r="AO80" s="44">
        <v>0.75027654867256621</v>
      </c>
      <c r="AP80" s="85">
        <v>0.14632891293481137</v>
      </c>
      <c r="AQ80" s="45">
        <v>296.98021112058569</v>
      </c>
      <c r="AR80" s="8">
        <v>514.56967273368821</v>
      </c>
      <c r="AS80" s="45">
        <v>52.927166338322202</v>
      </c>
      <c r="AT80" s="8">
        <v>1.4701990649533947</v>
      </c>
      <c r="AU80" s="45"/>
      <c r="AV80" s="45"/>
      <c r="AW80" s="8"/>
      <c r="AX80" s="45"/>
      <c r="AY80" s="8"/>
      <c r="AZ80" s="45"/>
      <c r="BA80" s="8"/>
      <c r="BB80" s="45"/>
      <c r="BC80" s="8"/>
      <c r="BD80" s="45"/>
      <c r="BE80" s="8"/>
      <c r="BF80" s="45"/>
      <c r="BG80" s="8"/>
      <c r="BH80" s="45"/>
      <c r="BI80" s="8"/>
      <c r="BJ80" s="45"/>
      <c r="BK80" s="8"/>
      <c r="BL80" s="45"/>
      <c r="BM80" s="8"/>
      <c r="BN80" s="8"/>
      <c r="BO80" s="45"/>
      <c r="BP80" s="8"/>
      <c r="BQ80" s="45"/>
      <c r="BR80" s="8"/>
      <c r="BS80" s="45"/>
      <c r="BT80" s="8"/>
      <c r="BU80" s="45"/>
      <c r="BV80" s="8"/>
      <c r="BW80" s="45"/>
      <c r="BX80" s="8"/>
      <c r="BY80" s="45"/>
      <c r="BZ80" s="8"/>
      <c r="CA80" s="45"/>
      <c r="CB80" s="8"/>
      <c r="CC80" s="45"/>
      <c r="CD80" s="8"/>
      <c r="CE80" s="45"/>
      <c r="CF80" s="8"/>
      <c r="CG80" s="45"/>
      <c r="CH80" s="8"/>
      <c r="CI80" s="45"/>
      <c r="CJ80" s="8"/>
      <c r="CK80" s="45"/>
      <c r="CL80" s="8"/>
      <c r="CM80" s="45"/>
      <c r="CN80" s="8"/>
      <c r="CO80" s="45"/>
      <c r="CP80" s="8"/>
      <c r="CQ80" s="45"/>
      <c r="CR80" s="8"/>
      <c r="CS80" s="45"/>
      <c r="CT80" s="8"/>
      <c r="CU80" s="45"/>
      <c r="CV80" s="8"/>
      <c r="CW80" s="45"/>
      <c r="CX80" s="8"/>
      <c r="CY80" s="45"/>
      <c r="CZ80" s="8"/>
      <c r="DA80" s="45"/>
      <c r="DB80" s="8"/>
      <c r="DC80" s="45"/>
      <c r="DD80" s="8"/>
      <c r="DE80" s="45"/>
      <c r="DF80" s="8"/>
      <c r="DG80" s="45"/>
      <c r="DH80" s="8"/>
      <c r="DI80" s="45"/>
      <c r="DJ80" s="8"/>
      <c r="DK80" s="45"/>
      <c r="DL80" s="8"/>
      <c r="DM80" s="45"/>
      <c r="DN80" s="8"/>
      <c r="DO80" s="45"/>
      <c r="DP80" s="8"/>
      <c r="DQ80" s="45"/>
      <c r="DR80" s="8"/>
    </row>
    <row r="81" spans="1:122" s="38" customFormat="1" x14ac:dyDescent="0.3">
      <c r="A81" s="21" t="s">
        <v>165</v>
      </c>
      <c r="B81" s="8">
        <v>2305506</v>
      </c>
      <c r="C81" s="61">
        <v>1945</v>
      </c>
      <c r="D81" s="14">
        <v>1897.5980019122326</v>
      </c>
      <c r="E81" s="18">
        <v>46</v>
      </c>
      <c r="F81" s="18">
        <v>44.878924466818866</v>
      </c>
      <c r="G81" s="7">
        <v>2.365038560411311E-2</v>
      </c>
      <c r="H81" s="63">
        <v>102498</v>
      </c>
      <c r="I81" s="19">
        <v>15490684.745068196</v>
      </c>
      <c r="J81" s="6">
        <v>84335304.103494704</v>
      </c>
      <c r="K81" s="5">
        <v>992.20799999999997</v>
      </c>
      <c r="L81" s="4">
        <v>103.30293648106043</v>
      </c>
      <c r="M81" s="6">
        <v>15624.21</v>
      </c>
      <c r="N81" s="8">
        <v>0.67700000000000005</v>
      </c>
      <c r="O81" s="15">
        <v>37.020000000000003</v>
      </c>
      <c r="P81" s="90">
        <v>88268757.097699478</v>
      </c>
      <c r="Q81" s="91">
        <v>67904527.337118775</v>
      </c>
      <c r="R81" s="15">
        <v>5.7</v>
      </c>
      <c r="S81" s="8">
        <v>5.0999999999999996</v>
      </c>
      <c r="T81" s="8">
        <v>4.8</v>
      </c>
      <c r="U81" s="14">
        <v>99.729413077438096</v>
      </c>
      <c r="V81" s="20">
        <v>188943.8</v>
      </c>
      <c r="W81" s="48">
        <v>16.59</v>
      </c>
      <c r="X81" s="8">
        <v>31.25</v>
      </c>
      <c r="Y81" s="16">
        <v>31.555969497642501</v>
      </c>
      <c r="Z81" s="8">
        <v>0.54</v>
      </c>
      <c r="AA81" s="17">
        <v>1.9317450097</v>
      </c>
      <c r="AB81" s="34">
        <v>10.2538586119</v>
      </c>
      <c r="AC81" s="34">
        <v>0</v>
      </c>
      <c r="AD81" s="42">
        <v>1</v>
      </c>
      <c r="AE81" s="43">
        <v>0.22662314109539355</v>
      </c>
      <c r="AF81" s="34">
        <v>0</v>
      </c>
      <c r="AG81" s="44">
        <v>0.33100000000000002</v>
      </c>
      <c r="AH81" s="8">
        <v>0.104</v>
      </c>
      <c r="AI81" s="17">
        <v>0.44600000000000001</v>
      </c>
      <c r="AJ81" s="8">
        <v>0.442</v>
      </c>
      <c r="AK81" s="45">
        <v>0.52500000000000002</v>
      </c>
      <c r="AL81" s="85">
        <v>0.13619777946886769</v>
      </c>
      <c r="AM81" s="44">
        <v>8.7719298245614006</v>
      </c>
      <c r="AN81" s="8">
        <v>0.85403726708074534</v>
      </c>
      <c r="AO81" s="44">
        <v>0.85403726708074523</v>
      </c>
      <c r="AP81" s="85">
        <v>0.14544674042420339</v>
      </c>
      <c r="AQ81" s="45">
        <v>451.71613104645945</v>
      </c>
      <c r="AR81" s="8">
        <v>870.26088313918331</v>
      </c>
      <c r="AS81" s="45">
        <v>68.294015492985224</v>
      </c>
      <c r="AT81" s="8">
        <v>4.8781439637846598</v>
      </c>
      <c r="AU81" s="45"/>
      <c r="AV81" s="45"/>
      <c r="AW81" s="8"/>
      <c r="AX81" s="45"/>
      <c r="AY81" s="8"/>
      <c r="AZ81" s="45"/>
      <c r="BA81" s="8"/>
      <c r="BB81" s="45"/>
      <c r="BC81" s="8"/>
      <c r="BD81" s="45"/>
      <c r="BE81" s="8"/>
      <c r="BF81" s="45"/>
      <c r="BG81" s="8"/>
      <c r="BH81" s="45"/>
      <c r="BI81" s="8"/>
      <c r="BJ81" s="45"/>
      <c r="BK81" s="8"/>
      <c r="BL81" s="45"/>
      <c r="BM81" s="8"/>
      <c r="BN81" s="8"/>
      <c r="BO81" s="45"/>
      <c r="BP81" s="8"/>
      <c r="BQ81" s="45"/>
      <c r="BR81" s="8"/>
      <c r="BS81" s="45"/>
      <c r="BT81" s="8"/>
      <c r="BU81" s="45"/>
      <c r="BV81" s="8"/>
      <c r="BW81" s="45"/>
      <c r="BX81" s="8"/>
      <c r="BY81" s="45"/>
      <c r="BZ81" s="8"/>
      <c r="CA81" s="45"/>
      <c r="CB81" s="8"/>
      <c r="CC81" s="45"/>
      <c r="CD81" s="8"/>
      <c r="CE81" s="45"/>
      <c r="CF81" s="8"/>
      <c r="CG81" s="45"/>
      <c r="CH81" s="8"/>
      <c r="CI81" s="45"/>
      <c r="CJ81" s="8"/>
      <c r="CK81" s="45"/>
      <c r="CL81" s="8"/>
      <c r="CM81" s="45"/>
      <c r="CN81" s="8"/>
      <c r="CO81" s="45"/>
      <c r="CP81" s="8"/>
      <c r="CQ81" s="45"/>
      <c r="CR81" s="8"/>
      <c r="CS81" s="45"/>
      <c r="CT81" s="8"/>
      <c r="CU81" s="45"/>
      <c r="CV81" s="8"/>
      <c r="CW81" s="45"/>
      <c r="CX81" s="8"/>
      <c r="CY81" s="45"/>
      <c r="CZ81" s="8"/>
      <c r="DA81" s="45"/>
      <c r="DB81" s="8"/>
      <c r="DC81" s="45"/>
      <c r="DD81" s="8"/>
      <c r="DE81" s="45"/>
      <c r="DF81" s="8"/>
      <c r="DG81" s="45"/>
      <c r="DH81" s="8"/>
      <c r="DI81" s="45"/>
      <c r="DJ81" s="8"/>
      <c r="DK81" s="45"/>
      <c r="DL81" s="8"/>
      <c r="DM81" s="45"/>
      <c r="DN81" s="8"/>
      <c r="DO81" s="45"/>
      <c r="DP81" s="8"/>
      <c r="DQ81" s="45"/>
      <c r="DR81" s="8"/>
    </row>
    <row r="82" spans="1:122" s="38" customFormat="1" x14ac:dyDescent="0.3">
      <c r="A82" s="21" t="s">
        <v>166</v>
      </c>
      <c r="B82" s="8">
        <v>2305605</v>
      </c>
      <c r="C82" s="61">
        <v>164</v>
      </c>
      <c r="D82" s="14">
        <v>626.48025059210022</v>
      </c>
      <c r="E82" s="18">
        <v>9</v>
      </c>
      <c r="F82" s="18">
        <v>34.380013752005503</v>
      </c>
      <c r="G82" s="7">
        <v>5.4878048780487805E-2</v>
      </c>
      <c r="H82" s="63">
        <v>26178</v>
      </c>
      <c r="I82" s="19">
        <v>1502954.1981816792</v>
      </c>
      <c r="J82" s="6">
        <v>105186798.07471924</v>
      </c>
      <c r="K82" s="5">
        <v>3222.3809999999999</v>
      </c>
      <c r="L82" s="4">
        <v>8.1238065889787716</v>
      </c>
      <c r="M82" s="6">
        <v>8950.81</v>
      </c>
      <c r="N82" s="8">
        <v>0.63200000000000001</v>
      </c>
      <c r="O82" s="15">
        <v>16.02</v>
      </c>
      <c r="P82" s="90">
        <v>51187240.927496366</v>
      </c>
      <c r="Q82" s="91">
        <v>82310572.350828931</v>
      </c>
      <c r="R82" s="15">
        <v>9.1</v>
      </c>
      <c r="S82" s="8">
        <v>5.9</v>
      </c>
      <c r="T82" s="8">
        <v>4.5</v>
      </c>
      <c r="U82" s="14">
        <v>99.830842965886703</v>
      </c>
      <c r="V82" s="20">
        <v>18014.14</v>
      </c>
      <c r="W82" s="48">
        <v>19.100000000000001</v>
      </c>
      <c r="X82" s="8">
        <v>28.85</v>
      </c>
      <c r="Y82" s="16">
        <v>54.110818344980302</v>
      </c>
      <c r="Z82" s="8">
        <v>1.03</v>
      </c>
      <c r="AA82" s="17">
        <v>0.72580029030000004</v>
      </c>
      <c r="AB82" s="34">
        <v>8.7860035144000008</v>
      </c>
      <c r="AC82" s="34">
        <v>0</v>
      </c>
      <c r="AD82" s="42">
        <v>1</v>
      </c>
      <c r="AE82" s="43">
        <v>0.55136276541665041</v>
      </c>
      <c r="AF82" s="34">
        <v>1</v>
      </c>
      <c r="AG82" s="44">
        <v>0.46600000000000003</v>
      </c>
      <c r="AH82" s="8">
        <v>0.27400000000000002</v>
      </c>
      <c r="AI82" s="17">
        <v>0.504</v>
      </c>
      <c r="AJ82" s="8">
        <v>0.621</v>
      </c>
      <c r="AK82" s="45">
        <v>0.496</v>
      </c>
      <c r="AL82" s="85">
        <v>6.0508824203529682E-2</v>
      </c>
      <c r="AM82" s="44">
        <v>22.556390977443598</v>
      </c>
      <c r="AN82" s="8">
        <v>0.70016891891891897</v>
      </c>
      <c r="AO82" s="44">
        <v>0.70016891891891908</v>
      </c>
      <c r="AP82" s="85">
        <v>0.16525326610130645</v>
      </c>
      <c r="AQ82" s="45">
        <v>362.90014516005806</v>
      </c>
      <c r="AR82" s="8">
        <v>790.74031629612648</v>
      </c>
      <c r="AS82" s="45">
        <v>114.60004584001834</v>
      </c>
      <c r="AT82" s="8">
        <v>57.30002292000917</v>
      </c>
      <c r="AU82" s="45"/>
      <c r="AV82" s="45"/>
      <c r="AW82" s="8"/>
      <c r="AX82" s="45"/>
      <c r="AY82" s="8"/>
      <c r="AZ82" s="45"/>
      <c r="BA82" s="8"/>
      <c r="BB82" s="45"/>
      <c r="BC82" s="8"/>
      <c r="BD82" s="45"/>
      <c r="BE82" s="8"/>
      <c r="BF82" s="45"/>
      <c r="BG82" s="8"/>
      <c r="BH82" s="45"/>
      <c r="BI82" s="8"/>
      <c r="BJ82" s="45"/>
      <c r="BK82" s="8"/>
      <c r="BL82" s="45"/>
      <c r="BM82" s="8"/>
      <c r="BN82" s="8"/>
      <c r="BO82" s="45"/>
      <c r="BP82" s="8"/>
      <c r="BQ82" s="45"/>
      <c r="BR82" s="8"/>
      <c r="BS82" s="45"/>
      <c r="BT82" s="8"/>
      <c r="BU82" s="45"/>
      <c r="BV82" s="8"/>
      <c r="BW82" s="45"/>
      <c r="BX82" s="8"/>
      <c r="BY82" s="45"/>
      <c r="BZ82" s="8"/>
      <c r="CA82" s="45"/>
      <c r="CB82" s="8"/>
      <c r="CC82" s="45"/>
      <c r="CD82" s="8"/>
      <c r="CE82" s="45"/>
      <c r="CF82" s="8"/>
      <c r="CG82" s="45"/>
      <c r="CH82" s="8"/>
      <c r="CI82" s="45"/>
      <c r="CJ82" s="8"/>
      <c r="CK82" s="45"/>
      <c r="CL82" s="8"/>
      <c r="CM82" s="45"/>
      <c r="CN82" s="8"/>
      <c r="CO82" s="45"/>
      <c r="CP82" s="8"/>
      <c r="CQ82" s="45"/>
      <c r="CR82" s="8"/>
      <c r="CS82" s="45"/>
      <c r="CT82" s="8"/>
      <c r="CU82" s="45"/>
      <c r="CV82" s="8"/>
      <c r="CW82" s="45"/>
      <c r="CX82" s="8"/>
      <c r="CY82" s="45"/>
      <c r="CZ82" s="8"/>
      <c r="DA82" s="45"/>
      <c r="DB82" s="8"/>
      <c r="DC82" s="45"/>
      <c r="DD82" s="8"/>
      <c r="DE82" s="45"/>
      <c r="DF82" s="8"/>
      <c r="DG82" s="45"/>
      <c r="DH82" s="8"/>
      <c r="DI82" s="45"/>
      <c r="DJ82" s="8"/>
      <c r="DK82" s="45"/>
      <c r="DL82" s="8"/>
      <c r="DM82" s="45"/>
      <c r="DN82" s="8"/>
      <c r="DO82" s="45"/>
      <c r="DP82" s="8"/>
      <c r="DQ82" s="45"/>
      <c r="DR82" s="8"/>
    </row>
    <row r="83" spans="1:122" s="38" customFormat="1" x14ac:dyDescent="0.3">
      <c r="A83" s="21" t="s">
        <v>167</v>
      </c>
      <c r="B83" s="8">
        <v>2305654</v>
      </c>
      <c r="C83" s="61">
        <v>123</v>
      </c>
      <c r="D83" s="14">
        <v>1060.9850772017596</v>
      </c>
      <c r="E83" s="18">
        <v>0</v>
      </c>
      <c r="F83" s="18">
        <v>0</v>
      </c>
      <c r="G83" s="7">
        <v>0</v>
      </c>
      <c r="H83" s="63">
        <v>11593</v>
      </c>
      <c r="I83" s="19">
        <v>5266249.3746226178</v>
      </c>
      <c r="J83" s="6">
        <v>98578452.514448375</v>
      </c>
      <c r="K83" s="5">
        <v>704.77300000000002</v>
      </c>
      <c r="L83" s="4">
        <v>16.449268062198751</v>
      </c>
      <c r="M83" s="6">
        <v>6478.06</v>
      </c>
      <c r="N83" s="8">
        <v>0.57899999999999996</v>
      </c>
      <c r="O83" s="15">
        <v>18.32</v>
      </c>
      <c r="P83" s="90">
        <v>78944487.794358671</v>
      </c>
      <c r="Q83" s="91">
        <v>106607916.07004228</v>
      </c>
      <c r="R83" s="15">
        <v>7.4</v>
      </c>
      <c r="S83" s="8">
        <v>5.2</v>
      </c>
      <c r="T83" s="8">
        <v>4.4000000000000004</v>
      </c>
      <c r="U83" s="14">
        <v>99.168975069252099</v>
      </c>
      <c r="V83" s="20">
        <v>7719.47</v>
      </c>
      <c r="W83" s="48">
        <v>17.25</v>
      </c>
      <c r="X83" s="8">
        <v>33.33</v>
      </c>
      <c r="Y83" s="16">
        <v>50.293204553294203</v>
      </c>
      <c r="Z83" s="8">
        <v>1.04</v>
      </c>
      <c r="AA83" s="17">
        <v>1.5526610886000001</v>
      </c>
      <c r="AB83" s="34">
        <v>10.3510739239</v>
      </c>
      <c r="AC83" s="34">
        <v>0</v>
      </c>
      <c r="AD83" s="42">
        <v>1</v>
      </c>
      <c r="AE83" s="43">
        <v>0.63536983161421146</v>
      </c>
      <c r="AF83" s="34">
        <v>0</v>
      </c>
      <c r="AG83" s="44">
        <v>0.45200000000000001</v>
      </c>
      <c r="AH83" s="8">
        <v>0.23699999999999999</v>
      </c>
      <c r="AI83" s="17">
        <v>0.55400000000000005</v>
      </c>
      <c r="AJ83" s="8">
        <v>0.56499999999999995</v>
      </c>
      <c r="AK83" s="45">
        <v>0.56399999999999995</v>
      </c>
      <c r="AL83" s="85">
        <v>6.6246873113085483E-2</v>
      </c>
      <c r="AM83" s="44"/>
      <c r="AN83" s="8">
        <v>0.91556291390728473</v>
      </c>
      <c r="AO83" s="44">
        <v>0.91556291390728473</v>
      </c>
      <c r="AP83" s="85">
        <v>0.17967739152937118</v>
      </c>
      <c r="AQ83" s="45">
        <v>483.05011644958165</v>
      </c>
      <c r="AR83" s="8">
        <v>1587.1646683343395</v>
      </c>
      <c r="AS83" s="45">
        <v>284.65453290778919</v>
      </c>
      <c r="AT83" s="8">
        <v>43.129474682998364</v>
      </c>
      <c r="AU83" s="45"/>
      <c r="AV83" s="45"/>
      <c r="AW83" s="8"/>
      <c r="AX83" s="45"/>
      <c r="AY83" s="8"/>
      <c r="AZ83" s="45"/>
      <c r="BA83" s="8"/>
      <c r="BB83" s="45"/>
      <c r="BC83" s="8"/>
      <c r="BD83" s="45"/>
      <c r="BE83" s="8"/>
      <c r="BF83" s="45"/>
      <c r="BG83" s="8"/>
      <c r="BH83" s="45"/>
      <c r="BI83" s="8"/>
      <c r="BJ83" s="45"/>
      <c r="BK83" s="8"/>
      <c r="BL83" s="45"/>
      <c r="BM83" s="8"/>
      <c r="BN83" s="8"/>
      <c r="BO83" s="45"/>
      <c r="BP83" s="8"/>
      <c r="BQ83" s="45"/>
      <c r="BR83" s="8"/>
      <c r="BS83" s="45"/>
      <c r="BT83" s="8"/>
      <c r="BU83" s="45"/>
      <c r="BV83" s="8"/>
      <c r="BW83" s="45"/>
      <c r="BX83" s="8"/>
      <c r="BY83" s="45"/>
      <c r="BZ83" s="8"/>
      <c r="CA83" s="45"/>
      <c r="CB83" s="8"/>
      <c r="CC83" s="45"/>
      <c r="CD83" s="8"/>
      <c r="CE83" s="45"/>
      <c r="CF83" s="8"/>
      <c r="CG83" s="45"/>
      <c r="CH83" s="8"/>
      <c r="CI83" s="45"/>
      <c r="CJ83" s="8"/>
      <c r="CK83" s="45"/>
      <c r="CL83" s="8"/>
      <c r="CM83" s="45"/>
      <c r="CN83" s="8"/>
      <c r="CO83" s="45"/>
      <c r="CP83" s="8"/>
      <c r="CQ83" s="45"/>
      <c r="CR83" s="8"/>
      <c r="CS83" s="45"/>
      <c r="CT83" s="8"/>
      <c r="CU83" s="45"/>
      <c r="CV83" s="8"/>
      <c r="CW83" s="45"/>
      <c r="CX83" s="8"/>
      <c r="CY83" s="45"/>
      <c r="CZ83" s="8"/>
      <c r="DA83" s="45"/>
      <c r="DB83" s="8"/>
      <c r="DC83" s="45"/>
      <c r="DD83" s="8"/>
      <c r="DE83" s="45"/>
      <c r="DF83" s="8"/>
      <c r="DG83" s="45"/>
      <c r="DH83" s="8"/>
      <c r="DI83" s="45"/>
      <c r="DJ83" s="8"/>
      <c r="DK83" s="45"/>
      <c r="DL83" s="8"/>
      <c r="DM83" s="45"/>
      <c r="DN83" s="8"/>
      <c r="DO83" s="45"/>
      <c r="DP83" s="8"/>
      <c r="DQ83" s="45"/>
      <c r="DR83" s="8"/>
    </row>
    <row r="84" spans="1:122" s="38" customFormat="1" x14ac:dyDescent="0.3">
      <c r="A84" s="21" t="s">
        <v>168</v>
      </c>
      <c r="B84" s="8">
        <v>2305704</v>
      </c>
      <c r="C84" s="61">
        <v>50</v>
      </c>
      <c r="D84" s="14">
        <v>401.18751504453184</v>
      </c>
      <c r="E84" s="18">
        <v>2</v>
      </c>
      <c r="F84" s="18">
        <v>16.047500601781273</v>
      </c>
      <c r="G84" s="7">
        <v>0.04</v>
      </c>
      <c r="H84" s="63">
        <v>12463</v>
      </c>
      <c r="I84" s="19">
        <v>5807625.2908609482</v>
      </c>
      <c r="J84" s="6">
        <v>98345502.687956348</v>
      </c>
      <c r="K84" s="5">
        <v>276.50799999999998</v>
      </c>
      <c r="L84" s="4">
        <v>45.072836952276248</v>
      </c>
      <c r="M84" s="6">
        <v>9122.59</v>
      </c>
      <c r="N84" s="8">
        <v>0.60599999999999998</v>
      </c>
      <c r="O84" s="15">
        <v>22.04</v>
      </c>
      <c r="P84" s="90">
        <v>63110218.486720689</v>
      </c>
      <c r="Q84" s="91">
        <v>78737060.49907726</v>
      </c>
      <c r="R84" s="15">
        <v>5.2</v>
      </c>
      <c r="S84" s="8">
        <v>3.9</v>
      </c>
      <c r="T84" s="8">
        <v>3.7</v>
      </c>
      <c r="U84" s="14">
        <v>99.061116031886598</v>
      </c>
      <c r="V84" s="20">
        <v>11691.2</v>
      </c>
      <c r="W84" s="48">
        <v>0</v>
      </c>
      <c r="X84" s="8">
        <v>33.33</v>
      </c>
      <c r="Y84" s="16">
        <v>52.855426511814201</v>
      </c>
      <c r="Z84" s="8">
        <v>0.4</v>
      </c>
      <c r="AA84" s="17">
        <v>2.0861750782000001</v>
      </c>
      <c r="AB84" s="34">
        <v>8.4249378158999999</v>
      </c>
      <c r="AC84" s="34">
        <v>0</v>
      </c>
      <c r="AD84" s="42">
        <v>1</v>
      </c>
      <c r="AE84" s="43">
        <v>0.40602881172453992</v>
      </c>
      <c r="AF84" s="34">
        <v>1</v>
      </c>
      <c r="AG84" s="44">
        <v>0.39</v>
      </c>
      <c r="AH84" s="8">
        <v>0.114</v>
      </c>
      <c r="AI84" s="17">
        <v>0.52600000000000002</v>
      </c>
      <c r="AJ84" s="8">
        <v>0.53100000000000003</v>
      </c>
      <c r="AK84" s="45">
        <v>0.495</v>
      </c>
      <c r="AL84" s="85">
        <v>7.6305865361469952E-2</v>
      </c>
      <c r="AM84" s="44">
        <v>7.19424460431655</v>
      </c>
      <c r="AN84" s="8">
        <v>0.94778481012658222</v>
      </c>
      <c r="AO84" s="44">
        <v>0.94778481012658222</v>
      </c>
      <c r="AP84" s="85">
        <v>0.16512878119232929</v>
      </c>
      <c r="AQ84" s="45">
        <v>176.522506619594</v>
      </c>
      <c r="AR84" s="8">
        <v>304.90251143384421</v>
      </c>
      <c r="AS84" s="45">
        <v>32.095001203562546</v>
      </c>
      <c r="AT84" s="8">
        <v>16.047500601781273</v>
      </c>
      <c r="AU84" s="45"/>
      <c r="AV84" s="45"/>
      <c r="AW84" s="8"/>
      <c r="AX84" s="45"/>
      <c r="AY84" s="8"/>
      <c r="AZ84" s="45"/>
      <c r="BA84" s="8"/>
      <c r="BB84" s="45"/>
      <c r="BC84" s="8"/>
      <c r="BD84" s="45"/>
      <c r="BE84" s="8"/>
      <c r="BF84" s="45"/>
      <c r="BG84" s="8"/>
      <c r="BH84" s="45"/>
      <c r="BI84" s="8"/>
      <c r="BJ84" s="45"/>
      <c r="BK84" s="8"/>
      <c r="BL84" s="45"/>
      <c r="BM84" s="8"/>
      <c r="BN84" s="8"/>
      <c r="BO84" s="45"/>
      <c r="BP84" s="8"/>
      <c r="BQ84" s="45"/>
      <c r="BR84" s="8"/>
      <c r="BS84" s="45"/>
      <c r="BT84" s="8"/>
      <c r="BU84" s="45"/>
      <c r="BV84" s="8"/>
      <c r="BW84" s="45"/>
      <c r="BX84" s="8"/>
      <c r="BY84" s="45"/>
      <c r="BZ84" s="8"/>
      <c r="CA84" s="45"/>
      <c r="CB84" s="8"/>
      <c r="CC84" s="45"/>
      <c r="CD84" s="8"/>
      <c r="CE84" s="45"/>
      <c r="CF84" s="8"/>
      <c r="CG84" s="45"/>
      <c r="CH84" s="8"/>
      <c r="CI84" s="45"/>
      <c r="CJ84" s="8"/>
      <c r="CK84" s="45"/>
      <c r="CL84" s="8"/>
      <c r="CM84" s="45"/>
      <c r="CN84" s="8"/>
      <c r="CO84" s="45"/>
      <c r="CP84" s="8"/>
      <c r="CQ84" s="45"/>
      <c r="CR84" s="8"/>
      <c r="CS84" s="45"/>
      <c r="CT84" s="8"/>
      <c r="CU84" s="45"/>
      <c r="CV84" s="8"/>
      <c r="CW84" s="45"/>
      <c r="CX84" s="8"/>
      <c r="CY84" s="45"/>
      <c r="CZ84" s="8"/>
      <c r="DA84" s="45"/>
      <c r="DB84" s="8"/>
      <c r="DC84" s="45"/>
      <c r="DD84" s="8"/>
      <c r="DE84" s="45"/>
      <c r="DF84" s="8"/>
      <c r="DG84" s="45"/>
      <c r="DH84" s="8"/>
      <c r="DI84" s="45"/>
      <c r="DJ84" s="8"/>
      <c r="DK84" s="45"/>
      <c r="DL84" s="8"/>
      <c r="DM84" s="45"/>
      <c r="DN84" s="8"/>
      <c r="DO84" s="45"/>
      <c r="DP84" s="8"/>
      <c r="DQ84" s="45"/>
      <c r="DR84" s="8"/>
    </row>
    <row r="85" spans="1:122" s="38" customFormat="1" x14ac:dyDescent="0.3">
      <c r="A85" s="21" t="s">
        <v>169</v>
      </c>
      <c r="B85" s="8">
        <v>2305803</v>
      </c>
      <c r="C85" s="61">
        <v>554</v>
      </c>
      <c r="D85" s="14">
        <v>1320.1792012200933</v>
      </c>
      <c r="E85" s="18">
        <v>13</v>
      </c>
      <c r="F85" s="18">
        <v>30.978934324659232</v>
      </c>
      <c r="G85" s="7">
        <v>2.3465703971119134E-2</v>
      </c>
      <c r="H85" s="63">
        <v>41964</v>
      </c>
      <c r="I85" s="19">
        <v>2600506.4579163091</v>
      </c>
      <c r="J85" s="6">
        <v>104017729.4824135</v>
      </c>
      <c r="K85" s="5">
        <v>626.04899999999998</v>
      </c>
      <c r="L85" s="4">
        <v>67.029897020840224</v>
      </c>
      <c r="M85" s="6">
        <v>9341.6</v>
      </c>
      <c r="N85" s="8">
        <v>0.61799999999999999</v>
      </c>
      <c r="O85" s="15">
        <v>29.06</v>
      </c>
      <c r="P85" s="90">
        <v>66025076.446477927</v>
      </c>
      <c r="Q85" s="91">
        <v>93915241.564197883</v>
      </c>
      <c r="R85" s="15">
        <v>5.9</v>
      </c>
      <c r="S85" s="8">
        <v>4.9000000000000004</v>
      </c>
      <c r="T85" s="8">
        <v>4.5999999999999996</v>
      </c>
      <c r="U85" s="14">
        <v>98.633785873861498</v>
      </c>
      <c r="V85" s="20">
        <v>42612.18</v>
      </c>
      <c r="W85" s="48">
        <v>4.7699999999999996</v>
      </c>
      <c r="X85" s="8">
        <v>33</v>
      </c>
      <c r="Y85" s="16">
        <v>49.9001379047981</v>
      </c>
      <c r="Z85" s="8">
        <v>0.6</v>
      </c>
      <c r="AA85" s="17">
        <v>1.0723477266000001</v>
      </c>
      <c r="AB85" s="34">
        <v>8.1498427223000007</v>
      </c>
      <c r="AC85" s="34">
        <v>0</v>
      </c>
      <c r="AD85" s="42">
        <v>1</v>
      </c>
      <c r="AE85" s="43">
        <v>0.36517272185824895</v>
      </c>
      <c r="AF85" s="34">
        <v>0</v>
      </c>
      <c r="AG85" s="44">
        <v>0.43099999999999999</v>
      </c>
      <c r="AH85" s="8">
        <v>0.252</v>
      </c>
      <c r="AI85" s="17">
        <v>0.51300000000000001</v>
      </c>
      <c r="AJ85" s="8">
        <v>0.52700000000000002</v>
      </c>
      <c r="AK85" s="45">
        <v>0.52</v>
      </c>
      <c r="AL85" s="85">
        <v>7.6756267276713377E-2</v>
      </c>
      <c r="AM85" s="44">
        <v>8.9418777943368095</v>
      </c>
      <c r="AN85" s="8">
        <v>0.73034188034188019</v>
      </c>
      <c r="AO85" s="44">
        <v>0.7303418803418803</v>
      </c>
      <c r="AP85" s="85">
        <v>0.15484701172433515</v>
      </c>
      <c r="AQ85" s="45">
        <v>331.2362977790487</v>
      </c>
      <c r="AR85" s="8">
        <v>1627.5855495186349</v>
      </c>
      <c r="AS85" s="45">
        <v>59.574873701267755</v>
      </c>
      <c r="AT85" s="8">
        <v>52.425888857115623</v>
      </c>
      <c r="AU85" s="45"/>
      <c r="AV85" s="45"/>
      <c r="AW85" s="8"/>
      <c r="AX85" s="45"/>
      <c r="AY85" s="8"/>
      <c r="AZ85" s="45"/>
      <c r="BA85" s="8"/>
      <c r="BB85" s="45"/>
      <c r="BC85" s="8"/>
      <c r="BD85" s="45"/>
      <c r="BE85" s="8"/>
      <c r="BF85" s="45"/>
      <c r="BG85" s="8"/>
      <c r="BH85" s="45"/>
      <c r="BI85" s="8"/>
      <c r="BJ85" s="45"/>
      <c r="BK85" s="8"/>
      <c r="BL85" s="45"/>
      <c r="BM85" s="8"/>
      <c r="BN85" s="8"/>
      <c r="BO85" s="45"/>
      <c r="BP85" s="8"/>
      <c r="BQ85" s="45"/>
      <c r="BR85" s="8"/>
      <c r="BS85" s="45"/>
      <c r="BT85" s="8"/>
      <c r="BU85" s="45"/>
      <c r="BV85" s="8"/>
      <c r="BW85" s="45"/>
      <c r="BX85" s="8"/>
      <c r="BY85" s="45"/>
      <c r="BZ85" s="8"/>
      <c r="CA85" s="45"/>
      <c r="CB85" s="8"/>
      <c r="CC85" s="45"/>
      <c r="CD85" s="8"/>
      <c r="CE85" s="45"/>
      <c r="CF85" s="8"/>
      <c r="CG85" s="45"/>
      <c r="CH85" s="8"/>
      <c r="CI85" s="45"/>
      <c r="CJ85" s="8"/>
      <c r="CK85" s="45"/>
      <c r="CL85" s="8"/>
      <c r="CM85" s="45"/>
      <c r="CN85" s="8"/>
      <c r="CO85" s="45"/>
      <c r="CP85" s="8"/>
      <c r="CQ85" s="45"/>
      <c r="CR85" s="8"/>
      <c r="CS85" s="45"/>
      <c r="CT85" s="8"/>
      <c r="CU85" s="45"/>
      <c r="CV85" s="8"/>
      <c r="CW85" s="45"/>
      <c r="CX85" s="8"/>
      <c r="CY85" s="45"/>
      <c r="CZ85" s="8"/>
      <c r="DA85" s="45"/>
      <c r="DB85" s="8"/>
      <c r="DC85" s="45"/>
      <c r="DD85" s="8"/>
      <c r="DE85" s="45"/>
      <c r="DF85" s="8"/>
      <c r="DG85" s="45"/>
      <c r="DH85" s="8"/>
      <c r="DI85" s="45"/>
      <c r="DJ85" s="8"/>
      <c r="DK85" s="45"/>
      <c r="DL85" s="8"/>
      <c r="DM85" s="45"/>
      <c r="DN85" s="8"/>
      <c r="DO85" s="45"/>
      <c r="DP85" s="8"/>
      <c r="DQ85" s="45"/>
      <c r="DR85" s="8"/>
    </row>
    <row r="86" spans="1:122" s="38" customFormat="1" x14ac:dyDescent="0.3">
      <c r="A86" s="21" t="s">
        <v>170</v>
      </c>
      <c r="B86" s="8">
        <v>2305902</v>
      </c>
      <c r="C86" s="61">
        <v>278</v>
      </c>
      <c r="D86" s="14">
        <v>728.39700256773051</v>
      </c>
      <c r="E86" s="18">
        <v>10</v>
      </c>
      <c r="F86" s="18">
        <v>26.201331027616202</v>
      </c>
      <c r="G86" s="7">
        <v>3.5971223021582732E-2</v>
      </c>
      <c r="H86" s="63">
        <v>38166</v>
      </c>
      <c r="I86" s="19">
        <v>2948481.9210815909</v>
      </c>
      <c r="J86" s="6">
        <v>94989781.48089923</v>
      </c>
      <c r="K86" s="5">
        <v>1483.258</v>
      </c>
      <c r="L86" s="4">
        <v>25.731194438189444</v>
      </c>
      <c r="M86" s="6">
        <v>6430.39</v>
      </c>
      <c r="N86" s="8">
        <v>0.57299999999999995</v>
      </c>
      <c r="O86" s="15">
        <v>18.989999999999998</v>
      </c>
      <c r="P86" s="90">
        <v>53432742.702929303</v>
      </c>
      <c r="Q86" s="91">
        <v>89862184.535974428</v>
      </c>
      <c r="R86" s="15">
        <v>6.3</v>
      </c>
      <c r="S86" s="8">
        <v>5.0999999999999996</v>
      </c>
      <c r="T86" s="8">
        <v>4.5999999999999996</v>
      </c>
      <c r="U86" s="14">
        <v>94.665281025374597</v>
      </c>
      <c r="V86" s="20">
        <v>29187.22</v>
      </c>
      <c r="W86" s="48">
        <v>15.72</v>
      </c>
      <c r="X86" s="8">
        <v>32.31</v>
      </c>
      <c r="Y86" s="16">
        <v>44.587290759300998</v>
      </c>
      <c r="Z86" s="8">
        <v>0.45</v>
      </c>
      <c r="AA86" s="17">
        <v>1.0480532411000001</v>
      </c>
      <c r="AB86" s="34">
        <v>7.2577686946000002</v>
      </c>
      <c r="AC86" s="34">
        <v>0</v>
      </c>
      <c r="AD86" s="42">
        <v>1</v>
      </c>
      <c r="AE86" s="43">
        <v>0.51513390734773656</v>
      </c>
      <c r="AF86" s="34">
        <v>0</v>
      </c>
      <c r="AG86" s="44">
        <v>0.45100000000000001</v>
      </c>
      <c r="AH86" s="8">
        <v>0.18099999999999999</v>
      </c>
      <c r="AI86" s="17">
        <v>0.56000000000000005</v>
      </c>
      <c r="AJ86" s="8">
        <v>0.61299999999999999</v>
      </c>
      <c r="AK86" s="45">
        <v>0.624</v>
      </c>
      <c r="AL86" s="85">
        <v>4.9887334276581249E-2</v>
      </c>
      <c r="AM86" s="44">
        <v>10.373443983402501</v>
      </c>
      <c r="AN86" s="8">
        <v>0.79329896907216513</v>
      </c>
      <c r="AO86" s="44">
        <v>0.79329896907216513</v>
      </c>
      <c r="AP86" s="85">
        <v>0.16032594455798355</v>
      </c>
      <c r="AQ86" s="45">
        <v>589.52994812136455</v>
      </c>
      <c r="AR86" s="8">
        <v>510.92595503851601</v>
      </c>
      <c r="AS86" s="45">
        <v>115.28585652151129</v>
      </c>
      <c r="AT86" s="8">
        <v>5.2402662055232403</v>
      </c>
      <c r="AU86" s="45"/>
      <c r="AV86" s="45"/>
      <c r="AW86" s="8"/>
      <c r="AX86" s="45"/>
      <c r="AY86" s="8"/>
      <c r="AZ86" s="45"/>
      <c r="BA86" s="8"/>
      <c r="BB86" s="45"/>
      <c r="BC86" s="8"/>
      <c r="BD86" s="45"/>
      <c r="BE86" s="8"/>
      <c r="BF86" s="45"/>
      <c r="BG86" s="8"/>
      <c r="BH86" s="45"/>
      <c r="BI86" s="8"/>
      <c r="BJ86" s="45"/>
      <c r="BK86" s="8"/>
      <c r="BL86" s="45"/>
      <c r="BM86" s="8"/>
      <c r="BN86" s="8"/>
      <c r="BO86" s="45"/>
      <c r="BP86" s="8"/>
      <c r="BQ86" s="45"/>
      <c r="BR86" s="8"/>
      <c r="BS86" s="45"/>
      <c r="BT86" s="8"/>
      <c r="BU86" s="45"/>
      <c r="BV86" s="8"/>
      <c r="BW86" s="45"/>
      <c r="BX86" s="8"/>
      <c r="BY86" s="45"/>
      <c r="BZ86" s="8"/>
      <c r="CA86" s="45"/>
      <c r="CB86" s="8"/>
      <c r="CC86" s="45"/>
      <c r="CD86" s="8"/>
      <c r="CE86" s="45"/>
      <c r="CF86" s="8"/>
      <c r="CG86" s="45"/>
      <c r="CH86" s="8"/>
      <c r="CI86" s="45"/>
      <c r="CJ86" s="8"/>
      <c r="CK86" s="45"/>
      <c r="CL86" s="8"/>
      <c r="CM86" s="45"/>
      <c r="CN86" s="8"/>
      <c r="CO86" s="45"/>
      <c r="CP86" s="8"/>
      <c r="CQ86" s="45"/>
      <c r="CR86" s="8"/>
      <c r="CS86" s="45"/>
      <c r="CT86" s="8"/>
      <c r="CU86" s="45"/>
      <c r="CV86" s="8"/>
      <c r="CW86" s="45"/>
      <c r="CX86" s="8"/>
      <c r="CY86" s="45"/>
      <c r="CZ86" s="8"/>
      <c r="DA86" s="45"/>
      <c r="DB86" s="8"/>
      <c r="DC86" s="45"/>
      <c r="DD86" s="8"/>
      <c r="DE86" s="45"/>
      <c r="DF86" s="8"/>
      <c r="DG86" s="45"/>
      <c r="DH86" s="8"/>
      <c r="DI86" s="45"/>
      <c r="DJ86" s="8"/>
      <c r="DK86" s="45"/>
      <c r="DL86" s="8"/>
      <c r="DM86" s="45"/>
      <c r="DN86" s="8"/>
      <c r="DO86" s="45"/>
      <c r="DP86" s="8"/>
      <c r="DQ86" s="45"/>
      <c r="DR86" s="8"/>
    </row>
    <row r="87" spans="1:122" s="38" customFormat="1" x14ac:dyDescent="0.3">
      <c r="A87" s="21" t="s">
        <v>171</v>
      </c>
      <c r="B87" s="8">
        <v>2306009</v>
      </c>
      <c r="C87" s="61">
        <v>169</v>
      </c>
      <c r="D87" s="14">
        <v>1182.0661677274952</v>
      </c>
      <c r="E87" s="18">
        <v>1</v>
      </c>
      <c r="F87" s="18">
        <v>6.9944743652514516</v>
      </c>
      <c r="G87" s="7">
        <v>5.9171597633136093E-3</v>
      </c>
      <c r="H87" s="63">
        <v>14297</v>
      </c>
      <c r="I87" s="19">
        <v>4601562.7754074289</v>
      </c>
      <c r="J87" s="6">
        <v>94748548.646569207</v>
      </c>
      <c r="K87" s="5">
        <v>839.17399999999998</v>
      </c>
      <c r="L87" s="4">
        <v>17.036991136522342</v>
      </c>
      <c r="M87" s="6">
        <v>9756.9599999999991</v>
      </c>
      <c r="N87" s="8">
        <v>0.65200000000000002</v>
      </c>
      <c r="O87" s="15">
        <v>26.31</v>
      </c>
      <c r="P87" s="90">
        <v>95422050.360215425</v>
      </c>
      <c r="Q87" s="91">
        <v>88587384.346366361</v>
      </c>
      <c r="R87" s="15">
        <v>6.5</v>
      </c>
      <c r="S87" s="8">
        <v>4.8</v>
      </c>
      <c r="T87" s="8">
        <v>4.4000000000000004</v>
      </c>
      <c r="U87" s="14">
        <v>99.205160695772406</v>
      </c>
      <c r="V87" s="20">
        <v>12812.4</v>
      </c>
      <c r="W87" s="48">
        <v>0</v>
      </c>
      <c r="X87" s="8">
        <v>34.880000000000003</v>
      </c>
      <c r="Y87" s="16">
        <v>40.039089766857501</v>
      </c>
      <c r="Z87" s="8">
        <v>0.77</v>
      </c>
      <c r="AA87" s="17">
        <v>2.3081765404999999</v>
      </c>
      <c r="AB87" s="34">
        <v>11.890606420899999</v>
      </c>
      <c r="AC87" s="34">
        <v>0</v>
      </c>
      <c r="AD87" s="42">
        <v>1</v>
      </c>
      <c r="AE87" s="43">
        <v>0.28443375601224313</v>
      </c>
      <c r="AF87" s="34">
        <v>0</v>
      </c>
      <c r="AG87" s="44">
        <v>0.36399999999999999</v>
      </c>
      <c r="AH87" s="8">
        <v>0.159</v>
      </c>
      <c r="AI87" s="17">
        <v>0.42899999999999999</v>
      </c>
      <c r="AJ87" s="8">
        <v>0.503</v>
      </c>
      <c r="AK87" s="45">
        <v>0.50700000000000001</v>
      </c>
      <c r="AL87" s="85">
        <v>6.3999440442050776E-2</v>
      </c>
      <c r="AM87" s="44">
        <v>6.6225165562913899</v>
      </c>
      <c r="AN87" s="8">
        <v>1</v>
      </c>
      <c r="AO87" s="44">
        <v>1</v>
      </c>
      <c r="AP87" s="85">
        <v>0.17066517451213542</v>
      </c>
      <c r="AQ87" s="45">
        <v>587.53584668112182</v>
      </c>
      <c r="AR87" s="8">
        <v>846.33139819542555</v>
      </c>
      <c r="AS87" s="45">
        <v>69.944743652514504</v>
      </c>
      <c r="AT87" s="8">
        <v>20.983423095754354</v>
      </c>
      <c r="AU87" s="45"/>
      <c r="AV87" s="45"/>
      <c r="AW87" s="8"/>
      <c r="AX87" s="45"/>
      <c r="AY87" s="8"/>
      <c r="AZ87" s="45"/>
      <c r="BA87" s="8"/>
      <c r="BB87" s="45"/>
      <c r="BC87" s="8"/>
      <c r="BD87" s="45"/>
      <c r="BE87" s="8"/>
      <c r="BF87" s="45"/>
      <c r="BG87" s="8"/>
      <c r="BH87" s="45"/>
      <c r="BI87" s="8"/>
      <c r="BJ87" s="45"/>
      <c r="BK87" s="8"/>
      <c r="BL87" s="45"/>
      <c r="BM87" s="8"/>
      <c r="BN87" s="8"/>
      <c r="BO87" s="45"/>
      <c r="BP87" s="8"/>
      <c r="BQ87" s="45"/>
      <c r="BR87" s="8"/>
      <c r="BS87" s="45"/>
      <c r="BT87" s="8"/>
      <c r="BU87" s="45"/>
      <c r="BV87" s="8"/>
      <c r="BW87" s="45"/>
      <c r="BX87" s="8"/>
      <c r="BY87" s="45"/>
      <c r="BZ87" s="8"/>
      <c r="CA87" s="45"/>
      <c r="CB87" s="8"/>
      <c r="CC87" s="45"/>
      <c r="CD87" s="8"/>
      <c r="CE87" s="45"/>
      <c r="CF87" s="8"/>
      <c r="CG87" s="45"/>
      <c r="CH87" s="8"/>
      <c r="CI87" s="45"/>
      <c r="CJ87" s="8"/>
      <c r="CK87" s="45"/>
      <c r="CL87" s="8"/>
      <c r="CM87" s="45"/>
      <c r="CN87" s="8"/>
      <c r="CO87" s="45"/>
      <c r="CP87" s="8"/>
      <c r="CQ87" s="45"/>
      <c r="CR87" s="8"/>
      <c r="CS87" s="45"/>
      <c r="CT87" s="8"/>
      <c r="CU87" s="45"/>
      <c r="CV87" s="8"/>
      <c r="CW87" s="45"/>
      <c r="CX87" s="8"/>
      <c r="CY87" s="45"/>
      <c r="CZ87" s="8"/>
      <c r="DA87" s="45"/>
      <c r="DB87" s="8"/>
      <c r="DC87" s="45"/>
      <c r="DD87" s="8"/>
      <c r="DE87" s="45"/>
      <c r="DF87" s="8"/>
      <c r="DG87" s="45"/>
      <c r="DH87" s="8"/>
      <c r="DI87" s="45"/>
      <c r="DJ87" s="8"/>
      <c r="DK87" s="45"/>
      <c r="DL87" s="8"/>
      <c r="DM87" s="45"/>
      <c r="DN87" s="8"/>
      <c r="DO87" s="45"/>
      <c r="DP87" s="8"/>
      <c r="DQ87" s="45"/>
      <c r="DR87" s="8"/>
    </row>
    <row r="88" spans="1:122" s="38" customFormat="1" x14ac:dyDescent="0.3">
      <c r="A88" s="21" t="s">
        <v>172</v>
      </c>
      <c r="B88" s="8">
        <v>2306108</v>
      </c>
      <c r="C88" s="61">
        <v>339</v>
      </c>
      <c r="D88" s="14">
        <v>1403.3780427223051</v>
      </c>
      <c r="E88" s="18">
        <v>23</v>
      </c>
      <c r="F88" s="18">
        <v>95.214439476734555</v>
      </c>
      <c r="G88" s="7">
        <v>6.7846607669616518E-2</v>
      </c>
      <c r="H88" s="63">
        <v>24156</v>
      </c>
      <c r="I88" s="19">
        <v>2697127.8771319753</v>
      </c>
      <c r="J88" s="6">
        <v>108897168.40536512</v>
      </c>
      <c r="K88" s="5">
        <v>1466.412</v>
      </c>
      <c r="L88" s="4">
        <v>16.472860287559023</v>
      </c>
      <c r="M88" s="6">
        <v>6665.39</v>
      </c>
      <c r="N88" s="8">
        <v>0.60499999999999998</v>
      </c>
      <c r="O88" s="15">
        <v>18.7</v>
      </c>
      <c r="P88" s="90">
        <v>51717696.721311472</v>
      </c>
      <c r="Q88" s="91">
        <v>95229256.085444614</v>
      </c>
      <c r="R88" s="15">
        <v>6.4</v>
      </c>
      <c r="S88" s="8">
        <v>5.7</v>
      </c>
      <c r="T88" s="8">
        <v>4.3</v>
      </c>
      <c r="U88" s="14">
        <v>99.5</v>
      </c>
      <c r="V88" s="20">
        <v>17706.27</v>
      </c>
      <c r="W88" s="48">
        <v>8.2799999999999994</v>
      </c>
      <c r="X88" s="8">
        <v>34.880000000000003</v>
      </c>
      <c r="Y88" s="16">
        <v>55.572927381197303</v>
      </c>
      <c r="Z88" s="8">
        <v>0.75</v>
      </c>
      <c r="AA88" s="17">
        <v>0.86934922999999997</v>
      </c>
      <c r="AB88" s="34">
        <v>7.6999503229000004</v>
      </c>
      <c r="AC88" s="34">
        <v>0</v>
      </c>
      <c r="AD88" s="42">
        <v>1</v>
      </c>
      <c r="AE88" s="43">
        <v>0.35750761512273788</v>
      </c>
      <c r="AF88" s="34">
        <v>1</v>
      </c>
      <c r="AG88" s="44">
        <v>0.502</v>
      </c>
      <c r="AH88" s="8">
        <v>0.29399999999999998</v>
      </c>
      <c r="AI88" s="17">
        <v>0.59899999999999998</v>
      </c>
      <c r="AJ88" s="8">
        <v>0.61399999999999999</v>
      </c>
      <c r="AK88" s="45">
        <v>0.497</v>
      </c>
      <c r="AL88" s="85">
        <v>7.3356515979466796E-2</v>
      </c>
      <c r="AM88" s="44">
        <v>11.1111111111111</v>
      </c>
      <c r="AN88" s="8">
        <v>0.48090277777777773</v>
      </c>
      <c r="AO88" s="44">
        <v>0.48090277777777779</v>
      </c>
      <c r="AP88" s="85">
        <v>0.11363636363636363</v>
      </c>
      <c r="AQ88" s="45">
        <v>314.62162609703591</v>
      </c>
      <c r="AR88" s="8">
        <v>467.792680907435</v>
      </c>
      <c r="AS88" s="45">
        <v>33.118065904951152</v>
      </c>
      <c r="AT88" s="8">
        <v>16.559032952475576</v>
      </c>
      <c r="AU88" s="45"/>
      <c r="AV88" s="45"/>
      <c r="AW88" s="8"/>
      <c r="AX88" s="45"/>
      <c r="AY88" s="8"/>
      <c r="AZ88" s="45"/>
      <c r="BA88" s="8"/>
      <c r="BB88" s="45"/>
      <c r="BC88" s="8"/>
      <c r="BD88" s="45"/>
      <c r="BE88" s="8"/>
      <c r="BF88" s="45"/>
      <c r="BG88" s="8"/>
      <c r="BH88" s="45"/>
      <c r="BI88" s="8"/>
      <c r="BJ88" s="45"/>
      <c r="BK88" s="8"/>
      <c r="BL88" s="45"/>
      <c r="BM88" s="8"/>
      <c r="BN88" s="8"/>
      <c r="BO88" s="45"/>
      <c r="BP88" s="8"/>
      <c r="BQ88" s="45"/>
      <c r="BR88" s="8"/>
      <c r="BS88" s="45"/>
      <c r="BT88" s="8"/>
      <c r="BU88" s="45"/>
      <c r="BV88" s="8"/>
      <c r="BW88" s="45"/>
      <c r="BX88" s="8"/>
      <c r="BY88" s="45"/>
      <c r="BZ88" s="8"/>
      <c r="CA88" s="45"/>
      <c r="CB88" s="8"/>
      <c r="CC88" s="45"/>
      <c r="CD88" s="8"/>
      <c r="CE88" s="45"/>
      <c r="CF88" s="8"/>
      <c r="CG88" s="45"/>
      <c r="CH88" s="8"/>
      <c r="CI88" s="45"/>
      <c r="CJ88" s="8"/>
      <c r="CK88" s="45"/>
      <c r="CL88" s="8"/>
      <c r="CM88" s="45"/>
      <c r="CN88" s="8"/>
      <c r="CO88" s="45"/>
      <c r="CP88" s="8"/>
      <c r="CQ88" s="45"/>
      <c r="CR88" s="8"/>
      <c r="CS88" s="45"/>
      <c r="CT88" s="8"/>
      <c r="CU88" s="45"/>
      <c r="CV88" s="8"/>
      <c r="CW88" s="45"/>
      <c r="CX88" s="8"/>
      <c r="CY88" s="45"/>
      <c r="CZ88" s="8"/>
      <c r="DA88" s="45"/>
      <c r="DB88" s="8"/>
      <c r="DC88" s="45"/>
      <c r="DD88" s="8"/>
      <c r="DE88" s="45"/>
      <c r="DF88" s="8"/>
      <c r="DG88" s="45"/>
      <c r="DH88" s="8"/>
      <c r="DI88" s="45"/>
      <c r="DJ88" s="8"/>
      <c r="DK88" s="45"/>
      <c r="DL88" s="8"/>
      <c r="DM88" s="45"/>
      <c r="DN88" s="8"/>
      <c r="DO88" s="45"/>
      <c r="DP88" s="8"/>
      <c r="DQ88" s="45"/>
      <c r="DR88" s="8"/>
    </row>
    <row r="89" spans="1:122" s="38" customFormat="1" x14ac:dyDescent="0.3">
      <c r="A89" s="21" t="s">
        <v>173</v>
      </c>
      <c r="B89" s="8">
        <v>2306207</v>
      </c>
      <c r="C89" s="61">
        <v>205</v>
      </c>
      <c r="D89" s="14">
        <v>2619.1388782419831</v>
      </c>
      <c r="E89" s="18">
        <v>5</v>
      </c>
      <c r="F89" s="18">
        <v>63.881436054682503</v>
      </c>
      <c r="G89" s="7">
        <v>2.4390243902439025E-2</v>
      </c>
      <c r="H89" s="63">
        <v>7827</v>
      </c>
      <c r="I89" s="19">
        <v>30948487.543119971</v>
      </c>
      <c r="J89" s="6">
        <v>496351092.37255657</v>
      </c>
      <c r="K89" s="5">
        <v>213.60400000000001</v>
      </c>
      <c r="L89" s="4">
        <v>36.642572236474969</v>
      </c>
      <c r="M89" s="6">
        <v>8245.31</v>
      </c>
      <c r="N89" s="8">
        <v>0.65600000000000003</v>
      </c>
      <c r="O89" s="15">
        <v>22.37</v>
      </c>
      <c r="P89" s="90">
        <v>82896827.392359778</v>
      </c>
      <c r="Q89" s="91">
        <v>87995112.175801709</v>
      </c>
      <c r="R89" s="15">
        <v>6.9</v>
      </c>
      <c r="S89" s="8">
        <v>5.9</v>
      </c>
      <c r="T89" s="8">
        <v>5.0999999999999996</v>
      </c>
      <c r="U89" s="14">
        <v>93.665356050677204</v>
      </c>
      <c r="V89" s="20">
        <v>21090.6</v>
      </c>
      <c r="W89" s="48">
        <v>0</v>
      </c>
      <c r="X89" s="8">
        <v>31.58</v>
      </c>
      <c r="Y89" s="16">
        <v>37.541317060767902</v>
      </c>
      <c r="Z89" s="8">
        <v>0.77</v>
      </c>
      <c r="AA89" s="17">
        <v>2.1719688259000001</v>
      </c>
      <c r="AB89" s="34">
        <v>12.6485243388</v>
      </c>
      <c r="AC89" s="34">
        <v>0</v>
      </c>
      <c r="AD89" s="42">
        <v>1</v>
      </c>
      <c r="AE89" s="43">
        <v>0.41511755057408423</v>
      </c>
      <c r="AF89" s="34">
        <v>1</v>
      </c>
      <c r="AG89" s="44">
        <v>0.41699999999999998</v>
      </c>
      <c r="AH89" s="8">
        <v>0.34100000000000003</v>
      </c>
      <c r="AI89" s="17">
        <v>0.38600000000000001</v>
      </c>
      <c r="AJ89" s="8">
        <v>0.52500000000000002</v>
      </c>
      <c r="AK89" s="45">
        <v>0.50800000000000001</v>
      </c>
      <c r="AL89" s="85">
        <v>8.0746135173118697E-2</v>
      </c>
      <c r="AM89" s="44">
        <v>21.978021978021999</v>
      </c>
      <c r="AN89" s="8">
        <v>0.97701149425287359</v>
      </c>
      <c r="AO89" s="44">
        <v>0.56996726677577725</v>
      </c>
      <c r="AP89" s="85">
        <v>0.17235211447553342</v>
      </c>
      <c r="AQ89" s="45">
        <v>344.95975469528554</v>
      </c>
      <c r="AR89" s="8">
        <v>498.27520122652356</v>
      </c>
      <c r="AS89" s="45">
        <v>51.105148843746008</v>
      </c>
      <c r="AT89" s="8">
        <v>0</v>
      </c>
      <c r="AU89" s="45"/>
      <c r="AV89" s="45"/>
      <c r="AW89" s="8"/>
      <c r="AX89" s="45"/>
      <c r="AY89" s="8"/>
      <c r="AZ89" s="45"/>
      <c r="BA89" s="8"/>
      <c r="BB89" s="45"/>
      <c r="BC89" s="8"/>
      <c r="BD89" s="45"/>
      <c r="BE89" s="8"/>
      <c r="BF89" s="45"/>
      <c r="BG89" s="8"/>
      <c r="BH89" s="45"/>
      <c r="BI89" s="8"/>
      <c r="BJ89" s="45"/>
      <c r="BK89" s="8"/>
      <c r="BL89" s="45"/>
      <c r="BM89" s="8"/>
      <c r="BN89" s="8"/>
      <c r="BO89" s="45"/>
      <c r="BP89" s="8"/>
      <c r="BQ89" s="45"/>
      <c r="BR89" s="8"/>
      <c r="BS89" s="45"/>
      <c r="BT89" s="8"/>
      <c r="BU89" s="45"/>
      <c r="BV89" s="8"/>
      <c r="BW89" s="45"/>
      <c r="BX89" s="8"/>
      <c r="BY89" s="45"/>
      <c r="BZ89" s="8"/>
      <c r="CA89" s="45"/>
      <c r="CB89" s="8"/>
      <c r="CC89" s="45"/>
      <c r="CD89" s="8"/>
      <c r="CE89" s="45"/>
      <c r="CF89" s="8"/>
      <c r="CG89" s="45"/>
      <c r="CH89" s="8"/>
      <c r="CI89" s="45"/>
      <c r="CJ89" s="8"/>
      <c r="CK89" s="45"/>
      <c r="CL89" s="8"/>
      <c r="CM89" s="45"/>
      <c r="CN89" s="8"/>
      <c r="CO89" s="45"/>
      <c r="CP89" s="8"/>
      <c r="CQ89" s="45"/>
      <c r="CR89" s="8"/>
      <c r="CS89" s="45"/>
      <c r="CT89" s="8"/>
      <c r="CU89" s="45"/>
      <c r="CV89" s="8"/>
      <c r="CW89" s="45"/>
      <c r="CX89" s="8"/>
      <c r="CY89" s="45"/>
      <c r="CZ89" s="8"/>
      <c r="DA89" s="45"/>
      <c r="DB89" s="8"/>
      <c r="DC89" s="45"/>
      <c r="DD89" s="8"/>
      <c r="DE89" s="45"/>
      <c r="DF89" s="8"/>
      <c r="DG89" s="45"/>
      <c r="DH89" s="8"/>
      <c r="DI89" s="45"/>
      <c r="DJ89" s="8"/>
      <c r="DK89" s="45"/>
      <c r="DL89" s="8"/>
      <c r="DM89" s="45"/>
      <c r="DN89" s="8"/>
      <c r="DO89" s="45"/>
      <c r="DP89" s="8"/>
      <c r="DQ89" s="45"/>
      <c r="DR89" s="8"/>
    </row>
    <row r="90" spans="1:122" s="38" customFormat="1" x14ac:dyDescent="0.3">
      <c r="A90" s="21" t="s">
        <v>174</v>
      </c>
      <c r="B90" s="8">
        <v>2306256</v>
      </c>
      <c r="C90" s="61">
        <v>597</v>
      </c>
      <c r="D90" s="14">
        <v>1571.8799368088469</v>
      </c>
      <c r="E90" s="18">
        <v>31</v>
      </c>
      <c r="F90" s="18">
        <v>81.621906266456023</v>
      </c>
      <c r="G90" s="7">
        <v>5.1926298157453935E-2</v>
      </c>
      <c r="H90" s="63">
        <v>37980</v>
      </c>
      <c r="I90" s="19">
        <v>814137.96735123731</v>
      </c>
      <c r="J90" s="6">
        <v>19132701.421800949</v>
      </c>
      <c r="K90" s="5">
        <v>153.68600000000001</v>
      </c>
      <c r="L90" s="4">
        <v>247.12725947711567</v>
      </c>
      <c r="M90" s="6">
        <v>17804.8</v>
      </c>
      <c r="N90" s="8">
        <v>0.626</v>
      </c>
      <c r="O90" s="15">
        <v>35.700000000000003</v>
      </c>
      <c r="P90" s="90">
        <v>52511941.311216421</v>
      </c>
      <c r="Q90" s="91">
        <v>88660056.319115326</v>
      </c>
      <c r="R90" s="15">
        <v>5.6</v>
      </c>
      <c r="S90" s="8">
        <v>4.8</v>
      </c>
      <c r="T90" s="8">
        <v>4.5</v>
      </c>
      <c r="U90" s="14">
        <v>97.952960517593397</v>
      </c>
      <c r="V90" s="20">
        <v>63259.26</v>
      </c>
      <c r="W90" s="48">
        <v>31.6</v>
      </c>
      <c r="X90" s="8">
        <v>33.11</v>
      </c>
      <c r="Y90" s="16">
        <v>29.698630136986299</v>
      </c>
      <c r="Z90" s="8">
        <v>0.71</v>
      </c>
      <c r="AA90" s="17">
        <v>0.68457082680000003</v>
      </c>
      <c r="AB90" s="34">
        <v>11.953659821</v>
      </c>
      <c r="AC90" s="34">
        <v>1</v>
      </c>
      <c r="AD90" s="42">
        <v>0</v>
      </c>
      <c r="AE90" s="43">
        <v>7.035765139458916E-3</v>
      </c>
      <c r="AF90" s="34">
        <v>1</v>
      </c>
      <c r="AG90" s="44">
        <v>0.47799999999999998</v>
      </c>
      <c r="AH90" s="8">
        <v>0.40799999999999997</v>
      </c>
      <c r="AI90" s="17">
        <v>0.57599999999999996</v>
      </c>
      <c r="AJ90" s="8">
        <v>0.44900000000000001</v>
      </c>
      <c r="AK90" s="45">
        <v>0.54400000000000004</v>
      </c>
      <c r="AL90" s="85">
        <v>0.14826224328593998</v>
      </c>
      <c r="AM90" s="44">
        <v>7.4294205052005902</v>
      </c>
      <c r="AN90" s="8">
        <v>0.56996726677577725</v>
      </c>
      <c r="AO90" s="44">
        <v>0.97701149425287348</v>
      </c>
      <c r="AP90" s="85">
        <v>9.0468667719852555E-2</v>
      </c>
      <c r="AQ90" s="45">
        <v>468.667719852554</v>
      </c>
      <c r="AR90" s="8">
        <v>547.65666140073722</v>
      </c>
      <c r="AS90" s="45">
        <v>63.191153238546597</v>
      </c>
      <c r="AT90" s="8">
        <v>28.962611901000528</v>
      </c>
      <c r="AU90" s="45"/>
      <c r="AV90" s="45"/>
      <c r="AW90" s="8"/>
      <c r="AX90" s="45"/>
      <c r="AY90" s="8"/>
      <c r="AZ90" s="45"/>
      <c r="BA90" s="8"/>
      <c r="BB90" s="45"/>
      <c r="BC90" s="8"/>
      <c r="BD90" s="45"/>
      <c r="BE90" s="8"/>
      <c r="BF90" s="45"/>
      <c r="BG90" s="8"/>
      <c r="BH90" s="45"/>
      <c r="BI90" s="8"/>
      <c r="BJ90" s="45"/>
      <c r="BK90" s="8"/>
      <c r="BL90" s="45"/>
      <c r="BM90" s="8"/>
      <c r="BN90" s="8"/>
      <c r="BO90" s="45"/>
      <c r="BP90" s="8"/>
      <c r="BQ90" s="45"/>
      <c r="BR90" s="8"/>
      <c r="BS90" s="45"/>
      <c r="BT90" s="8"/>
      <c r="BU90" s="45"/>
      <c r="BV90" s="8"/>
      <c r="BW90" s="45"/>
      <c r="BX90" s="8"/>
      <c r="BY90" s="45"/>
      <c r="BZ90" s="8"/>
      <c r="CA90" s="45"/>
      <c r="CB90" s="8"/>
      <c r="CC90" s="45"/>
      <c r="CD90" s="8"/>
      <c r="CE90" s="45"/>
      <c r="CF90" s="8"/>
      <c r="CG90" s="45"/>
      <c r="CH90" s="8"/>
      <c r="CI90" s="45"/>
      <c r="CJ90" s="8"/>
      <c r="CK90" s="45"/>
      <c r="CL90" s="8"/>
      <c r="CM90" s="45"/>
      <c r="CN90" s="8"/>
      <c r="CO90" s="45"/>
      <c r="CP90" s="8"/>
      <c r="CQ90" s="45"/>
      <c r="CR90" s="8"/>
      <c r="CS90" s="45"/>
      <c r="CT90" s="8"/>
      <c r="CU90" s="45"/>
      <c r="CV90" s="8"/>
      <c r="CW90" s="45"/>
      <c r="CX90" s="8"/>
      <c r="CY90" s="45"/>
      <c r="CZ90" s="8"/>
      <c r="DA90" s="45"/>
      <c r="DB90" s="8"/>
      <c r="DC90" s="45"/>
      <c r="DD90" s="8"/>
      <c r="DE90" s="45"/>
      <c r="DF90" s="8"/>
      <c r="DG90" s="45"/>
      <c r="DH90" s="8"/>
      <c r="DI90" s="45"/>
      <c r="DJ90" s="8"/>
      <c r="DK90" s="45"/>
      <c r="DL90" s="8"/>
      <c r="DM90" s="45"/>
      <c r="DN90" s="8"/>
      <c r="DO90" s="45"/>
      <c r="DP90" s="8"/>
      <c r="DQ90" s="45"/>
      <c r="DR90" s="8"/>
    </row>
    <row r="91" spans="1:122" s="38" customFormat="1" x14ac:dyDescent="0.3">
      <c r="A91" s="21" t="s">
        <v>175</v>
      </c>
      <c r="B91" s="8">
        <v>2306306</v>
      </c>
      <c r="C91" s="61">
        <v>968</v>
      </c>
      <c r="D91" s="14">
        <v>1837.6839107736118</v>
      </c>
      <c r="E91" s="18">
        <v>55</v>
      </c>
      <c r="F91" s="18">
        <v>104.41385856668249</v>
      </c>
      <c r="G91" s="7">
        <v>5.6818181818181816E-2</v>
      </c>
      <c r="H91" s="63">
        <v>52675</v>
      </c>
      <c r="I91" s="19">
        <v>1762822.0977693403</v>
      </c>
      <c r="J91" s="6">
        <v>92547508.305647835</v>
      </c>
      <c r="K91" s="5">
        <v>432.18799999999999</v>
      </c>
      <c r="L91" s="4">
        <v>121.87983007394931</v>
      </c>
      <c r="M91" s="6">
        <v>10664.27</v>
      </c>
      <c r="N91" s="8">
        <v>0.623</v>
      </c>
      <c r="O91" s="15">
        <v>23.77</v>
      </c>
      <c r="P91" s="90">
        <v>55923961.328903645</v>
      </c>
      <c r="Q91" s="91">
        <v>65907587.755102046</v>
      </c>
      <c r="R91" s="15">
        <v>6.2</v>
      </c>
      <c r="S91" s="8">
        <v>5.3</v>
      </c>
      <c r="T91" s="8">
        <v>4.7</v>
      </c>
      <c r="U91" s="14">
        <v>87.330757390129705</v>
      </c>
      <c r="V91" s="20">
        <v>41470.39</v>
      </c>
      <c r="W91" s="48">
        <v>11.39</v>
      </c>
      <c r="X91" s="8">
        <v>30.37</v>
      </c>
      <c r="Y91" s="16">
        <v>37.612829065144098</v>
      </c>
      <c r="Z91" s="8">
        <v>0.49</v>
      </c>
      <c r="AA91" s="17">
        <v>0.64546748929999997</v>
      </c>
      <c r="AB91" s="34">
        <v>7.4228761272000003</v>
      </c>
      <c r="AC91" s="34">
        <v>0</v>
      </c>
      <c r="AD91" s="42">
        <v>1</v>
      </c>
      <c r="AE91" s="43">
        <v>0.29700103412616341</v>
      </c>
      <c r="AF91" s="34">
        <v>1</v>
      </c>
      <c r="AG91" s="44">
        <v>0.40500000000000003</v>
      </c>
      <c r="AH91" s="8">
        <v>0.38600000000000001</v>
      </c>
      <c r="AI91" s="17">
        <v>0.189</v>
      </c>
      <c r="AJ91" s="8">
        <v>0.44700000000000001</v>
      </c>
      <c r="AK91" s="45">
        <v>0.52200000000000002</v>
      </c>
      <c r="AL91" s="85">
        <v>8.7916468913146653E-2</v>
      </c>
      <c r="AM91" s="44">
        <v>5.1347881899871597</v>
      </c>
      <c r="AN91" s="8">
        <v>0.89542936288088626</v>
      </c>
      <c r="AO91" s="44">
        <v>0.89542936288088626</v>
      </c>
      <c r="AP91" s="85">
        <v>0.10752728998576175</v>
      </c>
      <c r="AQ91" s="45">
        <v>298.05410536307545</v>
      </c>
      <c r="AR91" s="8">
        <v>267.67916468913148</v>
      </c>
      <c r="AS91" s="45">
        <v>68.343616516373999</v>
      </c>
      <c r="AT91" s="8">
        <v>1.8984337921214998</v>
      </c>
      <c r="AU91" s="45"/>
      <c r="AV91" s="45"/>
      <c r="AW91" s="8"/>
      <c r="AX91" s="45"/>
      <c r="AY91" s="8"/>
      <c r="AZ91" s="45"/>
      <c r="BA91" s="8"/>
      <c r="BB91" s="45"/>
      <c r="BC91" s="8"/>
      <c r="BD91" s="45"/>
      <c r="BE91" s="8"/>
      <c r="BF91" s="45"/>
      <c r="BG91" s="8"/>
      <c r="BH91" s="45"/>
      <c r="BI91" s="8"/>
      <c r="BJ91" s="45"/>
      <c r="BK91" s="8"/>
      <c r="BL91" s="45"/>
      <c r="BM91" s="8"/>
      <c r="BN91" s="8"/>
      <c r="BO91" s="45"/>
      <c r="BP91" s="8"/>
      <c r="BQ91" s="45"/>
      <c r="BR91" s="8"/>
      <c r="BS91" s="45"/>
      <c r="BT91" s="8"/>
      <c r="BU91" s="45"/>
      <c r="BV91" s="8"/>
      <c r="BW91" s="45"/>
      <c r="BX91" s="8"/>
      <c r="BY91" s="45"/>
      <c r="BZ91" s="8"/>
      <c r="CA91" s="45"/>
      <c r="CB91" s="8"/>
      <c r="CC91" s="45"/>
      <c r="CD91" s="8"/>
      <c r="CE91" s="45"/>
      <c r="CF91" s="8"/>
      <c r="CG91" s="45"/>
      <c r="CH91" s="8"/>
      <c r="CI91" s="45"/>
      <c r="CJ91" s="8"/>
      <c r="CK91" s="45"/>
      <c r="CL91" s="8"/>
      <c r="CM91" s="45"/>
      <c r="CN91" s="8"/>
      <c r="CO91" s="45"/>
      <c r="CP91" s="8"/>
      <c r="CQ91" s="45"/>
      <c r="CR91" s="8"/>
      <c r="CS91" s="45"/>
      <c r="CT91" s="8"/>
      <c r="CU91" s="45"/>
      <c r="CV91" s="8"/>
      <c r="CW91" s="45"/>
      <c r="CX91" s="8"/>
      <c r="CY91" s="45"/>
      <c r="CZ91" s="8"/>
      <c r="DA91" s="45"/>
      <c r="DB91" s="8"/>
      <c r="DC91" s="45"/>
      <c r="DD91" s="8"/>
      <c r="DE91" s="45"/>
      <c r="DF91" s="8"/>
      <c r="DG91" s="45"/>
      <c r="DH91" s="8"/>
      <c r="DI91" s="45"/>
      <c r="DJ91" s="8"/>
      <c r="DK91" s="45"/>
      <c r="DL91" s="8"/>
      <c r="DM91" s="45"/>
      <c r="DN91" s="8"/>
      <c r="DO91" s="45"/>
      <c r="DP91" s="8"/>
      <c r="DQ91" s="45"/>
      <c r="DR91" s="8"/>
    </row>
    <row r="92" spans="1:122" s="38" customFormat="1" x14ac:dyDescent="0.3">
      <c r="A92" s="21" t="s">
        <v>176</v>
      </c>
      <c r="B92" s="8">
        <v>2306405</v>
      </c>
      <c r="C92" s="61">
        <v>2193</v>
      </c>
      <c r="D92" s="14">
        <v>1695.2952271989361</v>
      </c>
      <c r="E92" s="18">
        <v>102</v>
      </c>
      <c r="F92" s="18">
        <v>78.850940799950521</v>
      </c>
      <c r="G92" s="7">
        <v>4.6511627906976744E-2</v>
      </c>
      <c r="H92" s="63">
        <v>129358</v>
      </c>
      <c r="I92" s="19">
        <v>16191100.944665192</v>
      </c>
      <c r="J92" s="6">
        <v>99100790.055504873</v>
      </c>
      <c r="K92" s="5">
        <v>1600.3579999999999</v>
      </c>
      <c r="L92" s="4">
        <v>80.830664138898925</v>
      </c>
      <c r="M92" s="6">
        <v>12863.49</v>
      </c>
      <c r="N92" s="8">
        <v>0.64</v>
      </c>
      <c r="O92" s="15">
        <v>35.549999999999997</v>
      </c>
      <c r="P92" s="90">
        <v>51850119.010807224</v>
      </c>
      <c r="Q92" s="91">
        <v>78951440.946829736</v>
      </c>
      <c r="R92" s="15">
        <v>6.2</v>
      </c>
      <c r="S92" s="8">
        <v>5.3</v>
      </c>
      <c r="T92" s="8">
        <v>4.7</v>
      </c>
      <c r="U92" s="14">
        <v>98.545160317938794</v>
      </c>
      <c r="V92" s="20">
        <v>103808.84</v>
      </c>
      <c r="W92" s="48">
        <v>19.329999999999998</v>
      </c>
      <c r="X92" s="8">
        <v>29.15</v>
      </c>
      <c r="Y92" s="16">
        <v>50.041749975103201</v>
      </c>
      <c r="Z92" s="8">
        <v>0.46</v>
      </c>
      <c r="AA92" s="17">
        <v>1.0822678149</v>
      </c>
      <c r="AB92" s="34">
        <v>8.4184975030999993</v>
      </c>
      <c r="AC92" s="34">
        <v>0</v>
      </c>
      <c r="AD92" s="42">
        <v>0</v>
      </c>
      <c r="AE92" s="43">
        <v>0.4235213027183044</v>
      </c>
      <c r="AF92" s="34">
        <v>1</v>
      </c>
      <c r="AG92" s="44">
        <v>0.44900000000000001</v>
      </c>
      <c r="AH92" s="8">
        <v>0.30099999999999999</v>
      </c>
      <c r="AI92" s="17">
        <v>0.48199999999999998</v>
      </c>
      <c r="AJ92" s="8">
        <v>0.56399999999999995</v>
      </c>
      <c r="AK92" s="45">
        <v>0.52700000000000002</v>
      </c>
      <c r="AL92" s="85">
        <v>9.2379288486216543E-2</v>
      </c>
      <c r="AM92" s="44">
        <v>10.1694915254237</v>
      </c>
      <c r="AN92" s="8">
        <v>0.99417740336967297</v>
      </c>
      <c r="AO92" s="44">
        <v>0.99417740336967297</v>
      </c>
      <c r="AP92" s="85">
        <v>0.10567572164071801</v>
      </c>
      <c r="AQ92" s="45">
        <v>341.68741013311893</v>
      </c>
      <c r="AR92" s="8">
        <v>462.28296665069035</v>
      </c>
      <c r="AS92" s="45">
        <v>35.560228203899257</v>
      </c>
      <c r="AT92" s="8">
        <v>6.9574359529368106</v>
      </c>
      <c r="AU92" s="45"/>
      <c r="AV92" s="45"/>
      <c r="AW92" s="8"/>
      <c r="AX92" s="45"/>
      <c r="AY92" s="8"/>
      <c r="AZ92" s="45"/>
      <c r="BA92" s="8"/>
      <c r="BB92" s="45"/>
      <c r="BC92" s="8"/>
      <c r="BD92" s="45"/>
      <c r="BE92" s="8"/>
      <c r="BF92" s="45"/>
      <c r="BG92" s="8"/>
      <c r="BH92" s="45"/>
      <c r="BI92" s="8"/>
      <c r="BJ92" s="45"/>
      <c r="BK92" s="8"/>
      <c r="BL92" s="45"/>
      <c r="BM92" s="8"/>
      <c r="BN92" s="8"/>
      <c r="BO92" s="45"/>
      <c r="BP92" s="8"/>
      <c r="BQ92" s="45"/>
      <c r="BR92" s="8"/>
      <c r="BS92" s="45"/>
      <c r="BT92" s="8"/>
      <c r="BU92" s="45"/>
      <c r="BV92" s="8"/>
      <c r="BW92" s="45"/>
      <c r="BX92" s="8"/>
      <c r="BY92" s="45"/>
      <c r="BZ92" s="8"/>
      <c r="CA92" s="45"/>
      <c r="CB92" s="8"/>
      <c r="CC92" s="45"/>
      <c r="CD92" s="8"/>
      <c r="CE92" s="45"/>
      <c r="CF92" s="8"/>
      <c r="CG92" s="45"/>
      <c r="CH92" s="8"/>
      <c r="CI92" s="45"/>
      <c r="CJ92" s="8"/>
      <c r="CK92" s="45"/>
      <c r="CL92" s="8"/>
      <c r="CM92" s="45"/>
      <c r="CN92" s="8"/>
      <c r="CO92" s="45"/>
      <c r="CP92" s="8"/>
      <c r="CQ92" s="45"/>
      <c r="CR92" s="8"/>
      <c r="CS92" s="45"/>
      <c r="CT92" s="8"/>
      <c r="CU92" s="45"/>
      <c r="CV92" s="8"/>
      <c r="CW92" s="45"/>
      <c r="CX92" s="8"/>
      <c r="CY92" s="45"/>
      <c r="CZ92" s="8"/>
      <c r="DA92" s="45"/>
      <c r="DB92" s="8"/>
      <c r="DC92" s="45"/>
      <c r="DD92" s="8"/>
      <c r="DE92" s="45"/>
      <c r="DF92" s="8"/>
      <c r="DG92" s="45"/>
      <c r="DH92" s="8"/>
      <c r="DI92" s="45"/>
      <c r="DJ92" s="8"/>
      <c r="DK92" s="45"/>
      <c r="DL92" s="8"/>
      <c r="DM92" s="45"/>
      <c r="DN92" s="8"/>
      <c r="DO92" s="45"/>
      <c r="DP92" s="8"/>
      <c r="DQ92" s="45"/>
      <c r="DR92" s="8"/>
    </row>
    <row r="93" spans="1:122" s="38" customFormat="1" x14ac:dyDescent="0.3">
      <c r="A93" s="21" t="s">
        <v>177</v>
      </c>
      <c r="B93" s="8">
        <v>2306504</v>
      </c>
      <c r="C93" s="61">
        <v>251</v>
      </c>
      <c r="D93" s="14">
        <v>1231.4787557648906</v>
      </c>
      <c r="E93" s="18">
        <v>8</v>
      </c>
      <c r="F93" s="18">
        <v>39.25031890884113</v>
      </c>
      <c r="G93" s="7">
        <v>3.1872509960159362E-2</v>
      </c>
      <c r="H93" s="63">
        <v>20382</v>
      </c>
      <c r="I93" s="19">
        <v>2640219.1149053085</v>
      </c>
      <c r="J93" s="6">
        <v>98286723.579629079</v>
      </c>
      <c r="K93" s="5">
        <v>593.23099999999999</v>
      </c>
      <c r="L93" s="4">
        <v>34.357611116074516</v>
      </c>
      <c r="M93" s="6">
        <v>6523.57</v>
      </c>
      <c r="N93" s="8">
        <v>0.60399999999999998</v>
      </c>
      <c r="O93" s="15">
        <v>19.46</v>
      </c>
      <c r="P93" s="90">
        <v>54311778.382886857</v>
      </c>
      <c r="Q93" s="91">
        <v>85193870.228633106</v>
      </c>
      <c r="R93" s="15">
        <v>6.1</v>
      </c>
      <c r="S93" s="8">
        <v>4.7</v>
      </c>
      <c r="T93" s="8">
        <v>4</v>
      </c>
      <c r="U93" s="14">
        <v>98.471539002108202</v>
      </c>
      <c r="V93" s="20">
        <v>10590.4</v>
      </c>
      <c r="W93" s="48">
        <v>29.44</v>
      </c>
      <c r="X93" s="8">
        <v>32.39</v>
      </c>
      <c r="Y93" s="16">
        <v>50.672514619883003</v>
      </c>
      <c r="Z93" s="8">
        <v>0.54</v>
      </c>
      <c r="AA93" s="17">
        <v>1.3737611618000001</v>
      </c>
      <c r="AB93" s="34">
        <v>8.4388185654000001</v>
      </c>
      <c r="AC93" s="34">
        <v>0</v>
      </c>
      <c r="AD93" s="42">
        <v>1</v>
      </c>
      <c r="AE93" s="43">
        <v>0.52652206592934603</v>
      </c>
      <c r="AF93" s="34">
        <v>1</v>
      </c>
      <c r="AG93" s="44">
        <v>0.47499999999999998</v>
      </c>
      <c r="AH93" s="8">
        <v>0.377</v>
      </c>
      <c r="AI93" s="17">
        <v>0.55400000000000005</v>
      </c>
      <c r="AJ93" s="8">
        <v>0.495</v>
      </c>
      <c r="AK93" s="45">
        <v>0.42499999999999999</v>
      </c>
      <c r="AL93" s="85">
        <v>4.0084388185654012E-2</v>
      </c>
      <c r="AM93" s="44">
        <v>22.5225225225225</v>
      </c>
      <c r="AN93" s="8">
        <v>0.86283185840707977</v>
      </c>
      <c r="AO93" s="44">
        <v>0.86283185840707988</v>
      </c>
      <c r="AP93" s="85">
        <v>0.12761259935236974</v>
      </c>
      <c r="AQ93" s="45">
        <v>392.50318908841137</v>
      </c>
      <c r="AR93" s="8">
        <v>471.00382690609365</v>
      </c>
      <c r="AS93" s="45">
        <v>107.93837699931312</v>
      </c>
      <c r="AT93" s="8">
        <v>14.718869590815427</v>
      </c>
      <c r="AU93" s="45"/>
      <c r="AV93" s="45"/>
      <c r="AW93" s="8"/>
      <c r="AX93" s="45"/>
      <c r="AY93" s="8"/>
      <c r="AZ93" s="45"/>
      <c r="BA93" s="8"/>
      <c r="BB93" s="45"/>
      <c r="BC93" s="8"/>
      <c r="BD93" s="45"/>
      <c r="BE93" s="8"/>
      <c r="BF93" s="45"/>
      <c r="BG93" s="8"/>
      <c r="BH93" s="45"/>
      <c r="BI93" s="8"/>
      <c r="BJ93" s="45"/>
      <c r="BK93" s="8"/>
      <c r="BL93" s="45"/>
      <c r="BM93" s="8"/>
      <c r="BN93" s="8"/>
      <c r="BO93" s="45"/>
      <c r="BP93" s="8"/>
      <c r="BQ93" s="45"/>
      <c r="BR93" s="8"/>
      <c r="BS93" s="45"/>
      <c r="BT93" s="8"/>
      <c r="BU93" s="45"/>
      <c r="BV93" s="8"/>
      <c r="BW93" s="45"/>
      <c r="BX93" s="8"/>
      <c r="BY93" s="45"/>
      <c r="BZ93" s="8"/>
      <c r="CA93" s="45"/>
      <c r="CB93" s="8"/>
      <c r="CC93" s="45"/>
      <c r="CD93" s="8"/>
      <c r="CE93" s="45"/>
      <c r="CF93" s="8"/>
      <c r="CG93" s="45"/>
      <c r="CH93" s="8"/>
      <c r="CI93" s="45"/>
      <c r="CJ93" s="8"/>
      <c r="CK93" s="45"/>
      <c r="CL93" s="8"/>
      <c r="CM93" s="45"/>
      <c r="CN93" s="8"/>
      <c r="CO93" s="45"/>
      <c r="CP93" s="8"/>
      <c r="CQ93" s="45"/>
      <c r="CR93" s="8"/>
      <c r="CS93" s="45"/>
      <c r="CT93" s="8"/>
      <c r="CU93" s="45"/>
      <c r="CV93" s="8"/>
      <c r="CW93" s="45"/>
      <c r="CX93" s="8"/>
      <c r="CY93" s="45"/>
      <c r="CZ93" s="8"/>
      <c r="DA93" s="45"/>
      <c r="DB93" s="8"/>
      <c r="DC93" s="45"/>
      <c r="DD93" s="8"/>
      <c r="DE93" s="45"/>
      <c r="DF93" s="8"/>
      <c r="DG93" s="45"/>
      <c r="DH93" s="8"/>
      <c r="DI93" s="45"/>
      <c r="DJ93" s="8"/>
      <c r="DK93" s="45"/>
      <c r="DL93" s="8"/>
      <c r="DM93" s="45"/>
      <c r="DN93" s="8"/>
      <c r="DO93" s="45"/>
      <c r="DP93" s="8"/>
      <c r="DQ93" s="45"/>
      <c r="DR93" s="8"/>
    </row>
    <row r="94" spans="1:122" s="38" customFormat="1" x14ac:dyDescent="0.3">
      <c r="A94" s="21" t="s">
        <v>178</v>
      </c>
      <c r="B94" s="8">
        <v>2306553</v>
      </c>
      <c r="C94" s="61">
        <v>1593</v>
      </c>
      <c r="D94" s="14">
        <v>3808.635776789557</v>
      </c>
      <c r="E94" s="18">
        <v>24</v>
      </c>
      <c r="F94" s="18">
        <v>57.380576674795584</v>
      </c>
      <c r="G94" s="7">
        <v>1.5065913370998116E-2</v>
      </c>
      <c r="H94" s="63">
        <v>41826</v>
      </c>
      <c r="I94" s="19">
        <v>8857195.3091378566</v>
      </c>
      <c r="J94" s="6">
        <v>109390331.37283029</v>
      </c>
      <c r="K94" s="5">
        <v>714.83299999999997</v>
      </c>
      <c r="L94" s="4">
        <v>58.511568436264135</v>
      </c>
      <c r="M94" s="6">
        <v>17804.2</v>
      </c>
      <c r="N94" s="8">
        <v>0.60599999999999998</v>
      </c>
      <c r="O94" s="15">
        <v>33.909999999999997</v>
      </c>
      <c r="P94" s="90">
        <v>53232912.422894843</v>
      </c>
      <c r="Q94" s="91">
        <v>103006524.60192226</v>
      </c>
      <c r="R94" s="15">
        <v>6.5</v>
      </c>
      <c r="S94" s="8">
        <v>4.8</v>
      </c>
      <c r="T94" s="8">
        <v>4</v>
      </c>
      <c r="U94" s="14">
        <v>95.710594315245501</v>
      </c>
      <c r="V94" s="20">
        <v>66286.31</v>
      </c>
      <c r="W94" s="48">
        <v>21.52</v>
      </c>
      <c r="X94" s="8">
        <v>32.35</v>
      </c>
      <c r="Y94" s="16">
        <v>60.419282245647302</v>
      </c>
      <c r="Z94" s="8">
        <v>0.55000000000000004</v>
      </c>
      <c r="AA94" s="17">
        <v>0.74116578200000005</v>
      </c>
      <c r="AB94" s="34">
        <v>6.6944006120999999</v>
      </c>
      <c r="AC94" s="34">
        <v>0</v>
      </c>
      <c r="AD94" s="42">
        <v>0</v>
      </c>
      <c r="AE94" s="43">
        <v>0.5746577353153105</v>
      </c>
      <c r="AF94" s="34">
        <v>0</v>
      </c>
      <c r="AG94" s="44">
        <v>0.51900000000000002</v>
      </c>
      <c r="AH94" s="8">
        <v>0.48799999999999999</v>
      </c>
      <c r="AI94" s="17">
        <v>0.54900000000000004</v>
      </c>
      <c r="AJ94" s="8">
        <v>0.52</v>
      </c>
      <c r="AK94" s="45">
        <v>0.42299999999999999</v>
      </c>
      <c r="AL94" s="85">
        <v>6.2234017118538709E-2</v>
      </c>
      <c r="AM94" s="44">
        <v>14.064697609001399</v>
      </c>
      <c r="AN94" s="8">
        <v>0.86602209944751363</v>
      </c>
      <c r="AO94" s="44">
        <v>0.86602209944751385</v>
      </c>
      <c r="AP94" s="85">
        <v>9.0613493998948025E-2</v>
      </c>
      <c r="AQ94" s="45">
        <v>212.78630516903362</v>
      </c>
      <c r="AR94" s="8">
        <v>571.414909386506</v>
      </c>
      <c r="AS94" s="45">
        <v>47.817147228996319</v>
      </c>
      <c r="AT94" s="8">
        <v>9.5634294457992635</v>
      </c>
      <c r="AU94" s="45"/>
      <c r="AV94" s="45"/>
      <c r="AW94" s="8"/>
      <c r="AX94" s="45"/>
      <c r="AY94" s="8"/>
      <c r="AZ94" s="45"/>
      <c r="BA94" s="8"/>
      <c r="BB94" s="45"/>
      <c r="BC94" s="8"/>
      <c r="BD94" s="45"/>
      <c r="BE94" s="8"/>
      <c r="BF94" s="45"/>
      <c r="BG94" s="8"/>
      <c r="BH94" s="45"/>
      <c r="BI94" s="8"/>
      <c r="BJ94" s="45"/>
      <c r="BK94" s="8"/>
      <c r="BL94" s="45"/>
      <c r="BM94" s="8"/>
      <c r="BN94" s="8"/>
      <c r="BO94" s="45"/>
      <c r="BP94" s="8"/>
      <c r="BQ94" s="45"/>
      <c r="BR94" s="8"/>
      <c r="BS94" s="45"/>
      <c r="BT94" s="8"/>
      <c r="BU94" s="45"/>
      <c r="BV94" s="8"/>
      <c r="BW94" s="45"/>
      <c r="BX94" s="8"/>
      <c r="BY94" s="45"/>
      <c r="BZ94" s="8"/>
      <c r="CA94" s="45"/>
      <c r="CB94" s="8"/>
      <c r="CC94" s="45"/>
      <c r="CD94" s="8"/>
      <c r="CE94" s="45"/>
      <c r="CF94" s="8"/>
      <c r="CG94" s="45"/>
      <c r="CH94" s="8"/>
      <c r="CI94" s="45"/>
      <c r="CJ94" s="8"/>
      <c r="CK94" s="45"/>
      <c r="CL94" s="8"/>
      <c r="CM94" s="45"/>
      <c r="CN94" s="8"/>
      <c r="CO94" s="45"/>
      <c r="CP94" s="8"/>
      <c r="CQ94" s="45"/>
      <c r="CR94" s="8"/>
      <c r="CS94" s="45"/>
      <c r="CT94" s="8"/>
      <c r="CU94" s="45"/>
      <c r="CV94" s="8"/>
      <c r="CW94" s="45"/>
      <c r="CX94" s="8"/>
      <c r="CY94" s="45"/>
      <c r="CZ94" s="8"/>
      <c r="DA94" s="45"/>
      <c r="DB94" s="8"/>
      <c r="DC94" s="45"/>
      <c r="DD94" s="8"/>
      <c r="DE94" s="45"/>
      <c r="DF94" s="8"/>
      <c r="DG94" s="45"/>
      <c r="DH94" s="8"/>
      <c r="DI94" s="45"/>
      <c r="DJ94" s="8"/>
      <c r="DK94" s="45"/>
      <c r="DL94" s="8"/>
      <c r="DM94" s="45"/>
      <c r="DN94" s="8"/>
      <c r="DO94" s="45"/>
      <c r="DP94" s="8"/>
      <c r="DQ94" s="45"/>
      <c r="DR94" s="8"/>
    </row>
    <row r="95" spans="1:122" s="38" customFormat="1" x14ac:dyDescent="0.3">
      <c r="A95" s="21" t="s">
        <v>179</v>
      </c>
      <c r="B95" s="8">
        <v>2306603</v>
      </c>
      <c r="C95" s="61">
        <v>818</v>
      </c>
      <c r="D95" s="14">
        <v>3778.8146163440661</v>
      </c>
      <c r="E95" s="18">
        <v>18</v>
      </c>
      <c r="F95" s="18">
        <v>83.15239987065182</v>
      </c>
      <c r="G95" s="7">
        <v>2.2004889975550123E-2</v>
      </c>
      <c r="H95" s="63">
        <v>21647</v>
      </c>
      <c r="I95" s="19">
        <v>11742381.854298515</v>
      </c>
      <c r="J95" s="6">
        <v>106249364.80805655</v>
      </c>
      <c r="K95" s="5">
        <v>829.62599999999998</v>
      </c>
      <c r="L95" s="4">
        <v>26.092480226029561</v>
      </c>
      <c r="M95" s="6">
        <v>5888.14</v>
      </c>
      <c r="N95" s="8">
        <v>0.56200000000000006</v>
      </c>
      <c r="O95" s="15">
        <v>21.19</v>
      </c>
      <c r="P95" s="90">
        <v>56490904.328544378</v>
      </c>
      <c r="Q95" s="91">
        <v>178948843.90446714</v>
      </c>
      <c r="R95" s="15">
        <v>7.8</v>
      </c>
      <c r="S95" s="8">
        <v>5.9</v>
      </c>
      <c r="T95" s="8">
        <v>3.9</v>
      </c>
      <c r="U95" s="14">
        <v>99.370805369127496</v>
      </c>
      <c r="V95" s="20">
        <v>12907.41</v>
      </c>
      <c r="W95" s="48">
        <v>18.48</v>
      </c>
      <c r="X95" s="8">
        <v>33.93</v>
      </c>
      <c r="Y95" s="16">
        <v>58.508884411064301</v>
      </c>
      <c r="Z95" s="8">
        <v>0.74</v>
      </c>
      <c r="AA95" s="17">
        <v>0</v>
      </c>
      <c r="AB95" s="34">
        <v>9.1467639857999998</v>
      </c>
      <c r="AC95" s="34">
        <v>0</v>
      </c>
      <c r="AD95" s="42">
        <v>1</v>
      </c>
      <c r="AE95" s="43">
        <v>0.49603048586852971</v>
      </c>
      <c r="AF95" s="34">
        <v>0</v>
      </c>
      <c r="AG95" s="44">
        <v>0.56399999999999995</v>
      </c>
      <c r="AH95" s="8">
        <v>0.48899999999999999</v>
      </c>
      <c r="AI95" s="17">
        <v>0.57799999999999996</v>
      </c>
      <c r="AJ95" s="8">
        <v>0.624</v>
      </c>
      <c r="AK95" s="45">
        <v>0.61699999999999999</v>
      </c>
      <c r="AL95" s="85">
        <v>5.8483854575691781E-2</v>
      </c>
      <c r="AM95" s="44">
        <v>15.243902439024399</v>
      </c>
      <c r="AN95" s="8">
        <v>0.97779605263157909</v>
      </c>
      <c r="AO95" s="44">
        <v>0.97779605263157898</v>
      </c>
      <c r="AP95" s="85">
        <v>0.12094054603409249</v>
      </c>
      <c r="AQ95" s="45">
        <v>351.08791056497432</v>
      </c>
      <c r="AR95" s="8">
        <v>452.71862151799326</v>
      </c>
      <c r="AS95" s="45">
        <v>36.956622164734142</v>
      </c>
      <c r="AT95" s="8">
        <v>23.097888852958839</v>
      </c>
      <c r="AU95" s="45"/>
      <c r="AV95" s="45"/>
      <c r="AW95" s="8"/>
      <c r="AX95" s="45"/>
      <c r="AY95" s="8"/>
      <c r="AZ95" s="45"/>
      <c r="BA95" s="8"/>
      <c r="BB95" s="45"/>
      <c r="BC95" s="8"/>
      <c r="BD95" s="45"/>
      <c r="BE95" s="8"/>
      <c r="BF95" s="45"/>
      <c r="BG95" s="8"/>
      <c r="BH95" s="45"/>
      <c r="BI95" s="8"/>
      <c r="BJ95" s="45"/>
      <c r="BK95" s="8"/>
      <c r="BL95" s="45"/>
      <c r="BM95" s="8"/>
      <c r="BN95" s="8"/>
      <c r="BO95" s="45"/>
      <c r="BP95" s="8"/>
      <c r="BQ95" s="45"/>
      <c r="BR95" s="8"/>
      <c r="BS95" s="45"/>
      <c r="BT95" s="8"/>
      <c r="BU95" s="45"/>
      <c r="BV95" s="8"/>
      <c r="BW95" s="45"/>
      <c r="BX95" s="8"/>
      <c r="BY95" s="45"/>
      <c r="BZ95" s="8"/>
      <c r="CA95" s="45"/>
      <c r="CB95" s="8"/>
      <c r="CC95" s="45"/>
      <c r="CD95" s="8"/>
      <c r="CE95" s="45"/>
      <c r="CF95" s="8"/>
      <c r="CG95" s="45"/>
      <c r="CH95" s="8"/>
      <c r="CI95" s="45"/>
      <c r="CJ95" s="8"/>
      <c r="CK95" s="45"/>
      <c r="CL95" s="8"/>
      <c r="CM95" s="45"/>
      <c r="CN95" s="8"/>
      <c r="CO95" s="45"/>
      <c r="CP95" s="8"/>
      <c r="CQ95" s="45"/>
      <c r="CR95" s="8"/>
      <c r="CS95" s="45"/>
      <c r="CT95" s="8"/>
      <c r="CU95" s="45"/>
      <c r="CV95" s="8"/>
      <c r="CW95" s="45"/>
      <c r="CX95" s="8"/>
      <c r="CY95" s="45"/>
      <c r="CZ95" s="8"/>
      <c r="DA95" s="45"/>
      <c r="DB95" s="8"/>
      <c r="DC95" s="45"/>
      <c r="DD95" s="8"/>
      <c r="DE95" s="45"/>
      <c r="DF95" s="8"/>
      <c r="DG95" s="45"/>
      <c r="DH95" s="8"/>
      <c r="DI95" s="45"/>
      <c r="DJ95" s="8"/>
      <c r="DK95" s="45"/>
      <c r="DL95" s="8"/>
      <c r="DM95" s="45"/>
      <c r="DN95" s="8"/>
      <c r="DO95" s="45"/>
      <c r="DP95" s="8"/>
      <c r="DQ95" s="45"/>
      <c r="DR95" s="8"/>
    </row>
    <row r="96" spans="1:122" s="38" customFormat="1" x14ac:dyDescent="0.3">
      <c r="A96" s="21" t="s">
        <v>180</v>
      </c>
      <c r="B96" s="8">
        <v>2306702</v>
      </c>
      <c r="C96" s="61">
        <v>328</v>
      </c>
      <c r="D96" s="14">
        <v>1805.9685056711814</v>
      </c>
      <c r="E96" s="18">
        <v>6</v>
      </c>
      <c r="F96" s="18">
        <v>33.036009250082586</v>
      </c>
      <c r="G96" s="7">
        <v>1.8292682926829267E-2</v>
      </c>
      <c r="H96" s="63">
        <v>18162</v>
      </c>
      <c r="I96" s="19">
        <v>19793131.263076752</v>
      </c>
      <c r="J96" s="6">
        <v>104905847.37363726</v>
      </c>
      <c r="K96" s="5">
        <v>1826.826</v>
      </c>
      <c r="L96" s="4">
        <v>9.9418335407969884</v>
      </c>
      <c r="M96" s="6">
        <v>8548.15</v>
      </c>
      <c r="N96" s="8">
        <v>0.61199999999999999</v>
      </c>
      <c r="O96" s="15">
        <v>18.239999999999998</v>
      </c>
      <c r="P96" s="90">
        <v>72337303.160444885</v>
      </c>
      <c r="Q96" s="91">
        <v>85399125.371655107</v>
      </c>
      <c r="R96" s="15">
        <v>6.1</v>
      </c>
      <c r="S96" s="8">
        <v>5.3</v>
      </c>
      <c r="T96" s="8">
        <v>4.0999999999999996</v>
      </c>
      <c r="U96" s="14">
        <v>98.199976773893894</v>
      </c>
      <c r="V96" s="20">
        <v>14759.7</v>
      </c>
      <c r="W96" s="48">
        <v>22.02</v>
      </c>
      <c r="X96" s="8">
        <v>32</v>
      </c>
      <c r="Y96" s="16">
        <v>53.033559265994398</v>
      </c>
      <c r="Z96" s="8">
        <v>0.77</v>
      </c>
      <c r="AA96" s="17">
        <v>1.1012003082999999</v>
      </c>
      <c r="AB96" s="34">
        <v>10.6265829754</v>
      </c>
      <c r="AC96" s="34">
        <v>0</v>
      </c>
      <c r="AD96" s="42">
        <v>1</v>
      </c>
      <c r="AE96" s="43">
        <v>0.52589150758551195</v>
      </c>
      <c r="AF96" s="34">
        <v>1</v>
      </c>
      <c r="AG96" s="44">
        <v>0.42399999999999999</v>
      </c>
      <c r="AH96" s="8">
        <v>0.26700000000000002</v>
      </c>
      <c r="AI96" s="17">
        <v>0.499</v>
      </c>
      <c r="AJ96" s="8">
        <v>0.50700000000000001</v>
      </c>
      <c r="AK96" s="45">
        <v>0.54300000000000004</v>
      </c>
      <c r="AL96" s="85">
        <v>6.2107697390155273E-2</v>
      </c>
      <c r="AM96" s="44">
        <v>18.691588785046701</v>
      </c>
      <c r="AN96" s="8">
        <v>1</v>
      </c>
      <c r="AO96" s="44">
        <v>1</v>
      </c>
      <c r="AP96" s="85">
        <v>0.16341812575707521</v>
      </c>
      <c r="AQ96" s="45">
        <v>363.39610175090849</v>
      </c>
      <c r="AR96" s="8">
        <v>545.09415262636276</v>
      </c>
      <c r="AS96" s="45">
        <v>11.012003083360863</v>
      </c>
      <c r="AT96" s="8">
        <v>11.012003083360863</v>
      </c>
      <c r="AU96" s="45"/>
      <c r="AV96" s="45"/>
      <c r="AW96" s="8"/>
      <c r="AX96" s="45"/>
      <c r="AY96" s="8"/>
      <c r="AZ96" s="45"/>
      <c r="BA96" s="8"/>
      <c r="BB96" s="45"/>
      <c r="BC96" s="8"/>
      <c r="BD96" s="45"/>
      <c r="BE96" s="8"/>
      <c r="BF96" s="45"/>
      <c r="BG96" s="8"/>
      <c r="BH96" s="45"/>
      <c r="BI96" s="8"/>
      <c r="BJ96" s="45"/>
      <c r="BK96" s="8"/>
      <c r="BL96" s="45"/>
      <c r="BM96" s="8"/>
      <c r="BN96" s="8"/>
      <c r="BO96" s="45"/>
      <c r="BP96" s="8"/>
      <c r="BQ96" s="45"/>
      <c r="BR96" s="8"/>
      <c r="BS96" s="45"/>
      <c r="BT96" s="8"/>
      <c r="BU96" s="45"/>
      <c r="BV96" s="8"/>
      <c r="BW96" s="45"/>
      <c r="BX96" s="8"/>
      <c r="BY96" s="45"/>
      <c r="BZ96" s="8"/>
      <c r="CA96" s="45"/>
      <c r="CB96" s="8"/>
      <c r="CC96" s="45"/>
      <c r="CD96" s="8"/>
      <c r="CE96" s="45"/>
      <c r="CF96" s="8"/>
      <c r="CG96" s="45"/>
      <c r="CH96" s="8"/>
      <c r="CI96" s="45"/>
      <c r="CJ96" s="8"/>
      <c r="CK96" s="45"/>
      <c r="CL96" s="8"/>
      <c r="CM96" s="45"/>
      <c r="CN96" s="8"/>
      <c r="CO96" s="45"/>
      <c r="CP96" s="8"/>
      <c r="CQ96" s="45"/>
      <c r="CR96" s="8"/>
      <c r="CS96" s="45"/>
      <c r="CT96" s="8"/>
      <c r="CU96" s="45"/>
      <c r="CV96" s="8"/>
      <c r="CW96" s="45"/>
      <c r="CX96" s="8"/>
      <c r="CY96" s="45"/>
      <c r="CZ96" s="8"/>
      <c r="DA96" s="45"/>
      <c r="DB96" s="8"/>
      <c r="DC96" s="45"/>
      <c r="DD96" s="8"/>
      <c r="DE96" s="45"/>
      <c r="DF96" s="8"/>
      <c r="DG96" s="45"/>
      <c r="DH96" s="8"/>
      <c r="DI96" s="45"/>
      <c r="DJ96" s="8"/>
      <c r="DK96" s="45"/>
      <c r="DL96" s="8"/>
      <c r="DM96" s="45"/>
      <c r="DN96" s="8"/>
      <c r="DO96" s="45"/>
      <c r="DP96" s="8"/>
      <c r="DQ96" s="45"/>
      <c r="DR96" s="8"/>
    </row>
    <row r="97" spans="1:122" s="38" customFormat="1" x14ac:dyDescent="0.3">
      <c r="A97" s="21" t="s">
        <v>181</v>
      </c>
      <c r="B97" s="8">
        <v>2306801</v>
      </c>
      <c r="C97" s="61">
        <v>211</v>
      </c>
      <c r="D97" s="14">
        <v>1850.7148495745987</v>
      </c>
      <c r="E97" s="18">
        <v>8</v>
      </c>
      <c r="F97" s="18">
        <v>70.169283396193308</v>
      </c>
      <c r="G97" s="7">
        <v>3.7914691943127965E-2</v>
      </c>
      <c r="H97" s="63">
        <v>11401</v>
      </c>
      <c r="I97" s="19">
        <v>4939337.0756951142</v>
      </c>
      <c r="J97" s="6">
        <v>91228839.575475827</v>
      </c>
      <c r="K97" s="5">
        <v>622.96299999999997</v>
      </c>
      <c r="L97" s="4">
        <v>18.301247425609549</v>
      </c>
      <c r="M97" s="6">
        <v>11343.44</v>
      </c>
      <c r="N97" s="8">
        <v>0.61799999999999999</v>
      </c>
      <c r="O97" s="15">
        <v>28.61</v>
      </c>
      <c r="P97" s="90">
        <v>87385052.890097365</v>
      </c>
      <c r="Q97" s="91">
        <v>104191720.37540565</v>
      </c>
      <c r="R97" s="15">
        <v>6.2</v>
      </c>
      <c r="S97" s="8">
        <v>5.0999999999999996</v>
      </c>
      <c r="T97" s="8">
        <v>4</v>
      </c>
      <c r="U97" s="14">
        <v>99.810294675603899</v>
      </c>
      <c r="V97" s="20">
        <v>13612.3</v>
      </c>
      <c r="W97" s="48">
        <v>43.86</v>
      </c>
      <c r="X97" s="8">
        <v>29.17</v>
      </c>
      <c r="Y97" s="16">
        <v>42.507831534980902</v>
      </c>
      <c r="Z97" s="8">
        <v>0.7</v>
      </c>
      <c r="AA97" s="17">
        <v>3.5961757741000002</v>
      </c>
      <c r="AB97" s="34">
        <v>9.8236996755000003</v>
      </c>
      <c r="AC97" s="34">
        <v>0</v>
      </c>
      <c r="AD97" s="42">
        <v>1</v>
      </c>
      <c r="AE97" s="43">
        <v>0.30647177613232041</v>
      </c>
      <c r="AF97" s="34">
        <v>1</v>
      </c>
      <c r="AG97" s="44">
        <v>0.39700000000000002</v>
      </c>
      <c r="AH97" s="8">
        <v>0.17899999999999999</v>
      </c>
      <c r="AI97" s="17">
        <v>0.51500000000000001</v>
      </c>
      <c r="AJ97" s="8">
        <v>0.497</v>
      </c>
      <c r="AK97" s="45">
        <v>0.39800000000000002</v>
      </c>
      <c r="AL97" s="85">
        <v>7.1484957459871948E-2</v>
      </c>
      <c r="AM97" s="44">
        <v>13.8888888888889</v>
      </c>
      <c r="AN97" s="8">
        <v>0.93978102189781021</v>
      </c>
      <c r="AO97" s="44">
        <v>0.93978102189781021</v>
      </c>
      <c r="AP97" s="85">
        <v>0.14375931935795105</v>
      </c>
      <c r="AQ97" s="45">
        <v>421.01570037715993</v>
      </c>
      <c r="AR97" s="8">
        <v>596.43890886764325</v>
      </c>
      <c r="AS97" s="45">
        <v>26.313481273572496</v>
      </c>
      <c r="AT97" s="8">
        <v>26.313481273572496</v>
      </c>
      <c r="AU97" s="45"/>
      <c r="AV97" s="45"/>
      <c r="AW97" s="8"/>
      <c r="AX97" s="45"/>
      <c r="AY97" s="8"/>
      <c r="AZ97" s="45"/>
      <c r="BA97" s="8"/>
      <c r="BB97" s="45"/>
      <c r="BC97" s="8"/>
      <c r="BD97" s="45"/>
      <c r="BE97" s="8"/>
      <c r="BF97" s="45"/>
      <c r="BG97" s="8"/>
      <c r="BH97" s="45"/>
      <c r="BI97" s="8"/>
      <c r="BJ97" s="45"/>
      <c r="BK97" s="8"/>
      <c r="BL97" s="45"/>
      <c r="BM97" s="8"/>
      <c r="BN97" s="8"/>
      <c r="BO97" s="45"/>
      <c r="BP97" s="8"/>
      <c r="BQ97" s="45"/>
      <c r="BR97" s="8"/>
      <c r="BS97" s="45"/>
      <c r="BT97" s="8"/>
      <c r="BU97" s="45"/>
      <c r="BV97" s="8"/>
      <c r="BW97" s="45"/>
      <c r="BX97" s="8"/>
      <c r="BY97" s="45"/>
      <c r="BZ97" s="8"/>
      <c r="CA97" s="45"/>
      <c r="CB97" s="8"/>
      <c r="CC97" s="45"/>
      <c r="CD97" s="8"/>
      <c r="CE97" s="45"/>
      <c r="CF97" s="8"/>
      <c r="CG97" s="45"/>
      <c r="CH97" s="8"/>
      <c r="CI97" s="45"/>
      <c r="CJ97" s="8"/>
      <c r="CK97" s="45"/>
      <c r="CL97" s="8"/>
      <c r="CM97" s="45"/>
      <c r="CN97" s="8"/>
      <c r="CO97" s="45"/>
      <c r="CP97" s="8"/>
      <c r="CQ97" s="45"/>
      <c r="CR97" s="8"/>
      <c r="CS97" s="45"/>
      <c r="CT97" s="8"/>
      <c r="CU97" s="45"/>
      <c r="CV97" s="8"/>
      <c r="CW97" s="45"/>
      <c r="CX97" s="8"/>
      <c r="CY97" s="45"/>
      <c r="CZ97" s="8"/>
      <c r="DA97" s="45"/>
      <c r="DB97" s="8"/>
      <c r="DC97" s="45"/>
      <c r="DD97" s="8"/>
      <c r="DE97" s="45"/>
      <c r="DF97" s="8"/>
      <c r="DG97" s="45"/>
      <c r="DH97" s="8"/>
      <c r="DI97" s="45"/>
      <c r="DJ97" s="8"/>
      <c r="DK97" s="45"/>
      <c r="DL97" s="8"/>
      <c r="DM97" s="45"/>
      <c r="DN97" s="8"/>
      <c r="DO97" s="45"/>
      <c r="DP97" s="8"/>
      <c r="DQ97" s="45"/>
      <c r="DR97" s="8"/>
    </row>
    <row r="98" spans="1:122" s="38" customFormat="1" x14ac:dyDescent="0.3">
      <c r="A98" s="21" t="s">
        <v>182</v>
      </c>
      <c r="B98" s="8">
        <v>2306900</v>
      </c>
      <c r="C98" s="61">
        <v>724</v>
      </c>
      <c r="D98" s="14">
        <v>2087.5382042558099</v>
      </c>
      <c r="E98" s="18">
        <v>19</v>
      </c>
      <c r="F98" s="18">
        <v>54.783461161409377</v>
      </c>
      <c r="G98" s="7">
        <v>2.6243093922651933E-2</v>
      </c>
      <c r="H98" s="63">
        <v>34682</v>
      </c>
      <c r="I98" s="19">
        <v>7375387.4632374132</v>
      </c>
      <c r="J98" s="6">
        <v>93202237.471887425</v>
      </c>
      <c r="K98" s="5">
        <v>1877.0619999999999</v>
      </c>
      <c r="L98" s="4">
        <v>18.476747171910144</v>
      </c>
      <c r="M98" s="6">
        <v>16763.71</v>
      </c>
      <c r="N98" s="8">
        <v>0.621</v>
      </c>
      <c r="O98" s="15">
        <v>27.71</v>
      </c>
      <c r="P98" s="90">
        <v>75160700.334467441</v>
      </c>
      <c r="Q98" s="91">
        <v>88910397.122426614</v>
      </c>
      <c r="R98" s="15">
        <v>6.3</v>
      </c>
      <c r="S98" s="8">
        <v>5.3</v>
      </c>
      <c r="T98" s="8">
        <v>4.7</v>
      </c>
      <c r="U98" s="14">
        <v>99.483298538622094</v>
      </c>
      <c r="V98" s="20">
        <v>54713.86</v>
      </c>
      <c r="W98" s="48">
        <v>8.65</v>
      </c>
      <c r="X98" s="8">
        <v>33</v>
      </c>
      <c r="Y98" s="16">
        <v>37.282018708857798</v>
      </c>
      <c r="Z98" s="8">
        <v>0.69</v>
      </c>
      <c r="AA98" s="17">
        <v>0.86500201830000001</v>
      </c>
      <c r="AB98" s="34">
        <v>9.7456894066000004</v>
      </c>
      <c r="AC98" s="34">
        <v>0</v>
      </c>
      <c r="AD98" s="42">
        <v>1</v>
      </c>
      <c r="AE98" s="43">
        <v>0.32378156877561104</v>
      </c>
      <c r="AF98" s="34">
        <v>0</v>
      </c>
      <c r="AG98" s="44">
        <v>0.42499999999999999</v>
      </c>
      <c r="AH98" s="8">
        <v>0.26300000000000001</v>
      </c>
      <c r="AI98" s="17">
        <v>0.503</v>
      </c>
      <c r="AJ98" s="8">
        <v>0.50800000000000001</v>
      </c>
      <c r="AK98" s="45">
        <v>0.52100000000000002</v>
      </c>
      <c r="AL98" s="85">
        <v>8.2550025950060543E-2</v>
      </c>
      <c r="AM98" s="44">
        <v>15.317286652078799</v>
      </c>
      <c r="AN98" s="8">
        <v>0.93685831622176607</v>
      </c>
      <c r="AO98" s="44">
        <v>0.93685831622176596</v>
      </c>
      <c r="AP98" s="85">
        <v>0.16654172193068451</v>
      </c>
      <c r="AQ98" s="45">
        <v>461.33440978028955</v>
      </c>
      <c r="AR98" s="8">
        <v>729.48503546508277</v>
      </c>
      <c r="AS98" s="45">
        <v>17.300040366760857</v>
      </c>
      <c r="AT98" s="8">
        <v>5.7666801222536188</v>
      </c>
      <c r="AU98" s="45"/>
      <c r="AV98" s="45"/>
      <c r="AW98" s="8"/>
      <c r="AX98" s="45"/>
      <c r="AY98" s="8"/>
      <c r="AZ98" s="45"/>
      <c r="BA98" s="8"/>
      <c r="BB98" s="45"/>
      <c r="BC98" s="8"/>
      <c r="BD98" s="45"/>
      <c r="BE98" s="8"/>
      <c r="BF98" s="45"/>
      <c r="BG98" s="8"/>
      <c r="BH98" s="45"/>
      <c r="BI98" s="8"/>
      <c r="BJ98" s="45"/>
      <c r="BK98" s="8"/>
      <c r="BL98" s="45"/>
      <c r="BM98" s="8"/>
      <c r="BN98" s="8"/>
      <c r="BO98" s="45"/>
      <c r="BP98" s="8"/>
      <c r="BQ98" s="45"/>
      <c r="BR98" s="8"/>
      <c r="BS98" s="45"/>
      <c r="BT98" s="8"/>
      <c r="BU98" s="45"/>
      <c r="BV98" s="8"/>
      <c r="BW98" s="45"/>
      <c r="BX98" s="8"/>
      <c r="BY98" s="45"/>
      <c r="BZ98" s="8"/>
      <c r="CA98" s="45"/>
      <c r="CB98" s="8"/>
      <c r="CC98" s="45"/>
      <c r="CD98" s="8"/>
      <c r="CE98" s="45"/>
      <c r="CF98" s="8"/>
      <c r="CG98" s="45"/>
      <c r="CH98" s="8"/>
      <c r="CI98" s="45"/>
      <c r="CJ98" s="8"/>
      <c r="CK98" s="45"/>
      <c r="CL98" s="8"/>
      <c r="CM98" s="45"/>
      <c r="CN98" s="8"/>
      <c r="CO98" s="45"/>
      <c r="CP98" s="8"/>
      <c r="CQ98" s="45"/>
      <c r="CR98" s="8"/>
      <c r="CS98" s="45"/>
      <c r="CT98" s="8"/>
      <c r="CU98" s="45"/>
      <c r="CV98" s="8"/>
      <c r="CW98" s="45"/>
      <c r="CX98" s="8"/>
      <c r="CY98" s="45"/>
      <c r="CZ98" s="8"/>
      <c r="DA98" s="45"/>
      <c r="DB98" s="8"/>
      <c r="DC98" s="45"/>
      <c r="DD98" s="8"/>
      <c r="DE98" s="45"/>
      <c r="DF98" s="8"/>
      <c r="DG98" s="45"/>
      <c r="DH98" s="8"/>
      <c r="DI98" s="45"/>
      <c r="DJ98" s="8"/>
      <c r="DK98" s="45"/>
      <c r="DL98" s="8"/>
      <c r="DM98" s="45"/>
      <c r="DN98" s="8"/>
      <c r="DO98" s="45"/>
      <c r="DP98" s="8"/>
      <c r="DQ98" s="45"/>
      <c r="DR98" s="8"/>
    </row>
    <row r="99" spans="1:122" s="38" customFormat="1" x14ac:dyDescent="0.3">
      <c r="A99" s="21" t="s">
        <v>183</v>
      </c>
      <c r="B99" s="8">
        <v>2307007</v>
      </c>
      <c r="C99" s="61">
        <v>606</v>
      </c>
      <c r="D99" s="14">
        <v>1797.952825990209</v>
      </c>
      <c r="E99" s="18">
        <v>17</v>
      </c>
      <c r="F99" s="18">
        <v>50.437620531078473</v>
      </c>
      <c r="G99" s="7">
        <v>2.8052805280528052E-2</v>
      </c>
      <c r="H99" s="63">
        <v>33705</v>
      </c>
      <c r="I99" s="19">
        <v>4964910.8440884138</v>
      </c>
      <c r="J99" s="6">
        <v>107282599.02091677</v>
      </c>
      <c r="K99" s="5">
        <v>854.36199999999997</v>
      </c>
      <c r="L99" s="4">
        <v>39.450490541480079</v>
      </c>
      <c r="M99" s="6">
        <v>11683.11</v>
      </c>
      <c r="N99" s="8">
        <v>0.624</v>
      </c>
      <c r="O99" s="15">
        <v>27.05</v>
      </c>
      <c r="P99" s="90">
        <v>52876825.604509711</v>
      </c>
      <c r="Q99" s="91">
        <v>68261564.278296992</v>
      </c>
      <c r="R99" s="15">
        <v>6.4</v>
      </c>
      <c r="S99" s="8">
        <v>5.3</v>
      </c>
      <c r="T99" s="8">
        <v>4.5</v>
      </c>
      <c r="U99" s="14">
        <v>98.892111368909497</v>
      </c>
      <c r="V99" s="20">
        <v>105585.23</v>
      </c>
      <c r="W99" s="48">
        <v>20.77</v>
      </c>
      <c r="X99" s="8">
        <v>30.36</v>
      </c>
      <c r="Y99" s="16">
        <v>48.752733936277103</v>
      </c>
      <c r="Z99" s="8">
        <v>1.1000000000000001</v>
      </c>
      <c r="AA99" s="17">
        <v>0.71206052509999995</v>
      </c>
      <c r="AB99" s="34">
        <v>8.4557187360999997</v>
      </c>
      <c r="AC99" s="34">
        <v>0</v>
      </c>
      <c r="AD99" s="42">
        <v>1</v>
      </c>
      <c r="AE99" s="43">
        <v>0.40640898374488149</v>
      </c>
      <c r="AF99" s="34">
        <v>1</v>
      </c>
      <c r="AG99" s="44">
        <v>0.42699999999999999</v>
      </c>
      <c r="AH99" s="8">
        <v>0.23400000000000001</v>
      </c>
      <c r="AI99" s="17">
        <v>0.504</v>
      </c>
      <c r="AJ99" s="8">
        <v>0.54400000000000004</v>
      </c>
      <c r="AK99" s="45">
        <v>0.53</v>
      </c>
      <c r="AL99" s="85">
        <v>0.10449488206497552</v>
      </c>
      <c r="AM99" s="44">
        <v>10.958904109589</v>
      </c>
      <c r="AN99" s="8">
        <v>0.89100985221674878</v>
      </c>
      <c r="AO99" s="44">
        <v>0.89100985221674878</v>
      </c>
      <c r="AP99" s="85">
        <v>0.13273994956237947</v>
      </c>
      <c r="AQ99" s="45">
        <v>424.26939623201304</v>
      </c>
      <c r="AR99" s="8">
        <v>827.77036048064087</v>
      </c>
      <c r="AS99" s="45">
        <v>56.371458240617123</v>
      </c>
      <c r="AT99" s="8">
        <v>53.404539385847798</v>
      </c>
      <c r="AU99" s="45"/>
      <c r="AV99" s="45"/>
      <c r="AW99" s="8"/>
      <c r="AX99" s="45"/>
      <c r="AY99" s="8"/>
      <c r="AZ99" s="45"/>
      <c r="BA99" s="8"/>
      <c r="BB99" s="45"/>
      <c r="BC99" s="8"/>
      <c r="BD99" s="45"/>
      <c r="BE99" s="8"/>
      <c r="BF99" s="45"/>
      <c r="BG99" s="8"/>
      <c r="BH99" s="45"/>
      <c r="BI99" s="8"/>
      <c r="BJ99" s="45"/>
      <c r="BK99" s="8"/>
      <c r="BL99" s="45"/>
      <c r="BM99" s="8"/>
      <c r="BN99" s="8"/>
      <c r="BO99" s="45"/>
      <c r="BP99" s="8"/>
      <c r="BQ99" s="45"/>
      <c r="BR99" s="8"/>
      <c r="BS99" s="45"/>
      <c r="BT99" s="8"/>
      <c r="BU99" s="45"/>
      <c r="BV99" s="8"/>
      <c r="BW99" s="45"/>
      <c r="BX99" s="8"/>
      <c r="BY99" s="45"/>
      <c r="BZ99" s="8"/>
      <c r="CA99" s="45"/>
      <c r="CB99" s="8"/>
      <c r="CC99" s="45"/>
      <c r="CD99" s="8"/>
      <c r="CE99" s="45"/>
      <c r="CF99" s="8"/>
      <c r="CG99" s="45"/>
      <c r="CH99" s="8"/>
      <c r="CI99" s="45"/>
      <c r="CJ99" s="8"/>
      <c r="CK99" s="45"/>
      <c r="CL99" s="8"/>
      <c r="CM99" s="45"/>
      <c r="CN99" s="8"/>
      <c r="CO99" s="45"/>
      <c r="CP99" s="8"/>
      <c r="CQ99" s="45"/>
      <c r="CR99" s="8"/>
      <c r="CS99" s="45"/>
      <c r="CT99" s="8"/>
      <c r="CU99" s="45"/>
      <c r="CV99" s="8"/>
      <c r="CW99" s="45"/>
      <c r="CX99" s="8"/>
      <c r="CY99" s="45"/>
      <c r="CZ99" s="8"/>
      <c r="DA99" s="45"/>
      <c r="DB99" s="8"/>
      <c r="DC99" s="45"/>
      <c r="DD99" s="8"/>
      <c r="DE99" s="45"/>
      <c r="DF99" s="8"/>
      <c r="DG99" s="45"/>
      <c r="DH99" s="8"/>
      <c r="DI99" s="45"/>
      <c r="DJ99" s="8"/>
      <c r="DK99" s="45"/>
      <c r="DL99" s="8"/>
      <c r="DM99" s="45"/>
      <c r="DN99" s="8"/>
      <c r="DO99" s="45"/>
      <c r="DP99" s="8"/>
      <c r="DQ99" s="45"/>
      <c r="DR99" s="8"/>
    </row>
    <row r="100" spans="1:122" s="38" customFormat="1" x14ac:dyDescent="0.3">
      <c r="A100" s="21" t="s">
        <v>184</v>
      </c>
      <c r="B100" s="8">
        <v>2307106</v>
      </c>
      <c r="C100" s="61">
        <v>105</v>
      </c>
      <c r="D100" s="14">
        <v>386.39876352395675</v>
      </c>
      <c r="E100" s="18">
        <v>3</v>
      </c>
      <c r="F100" s="18">
        <v>11.039964672113049</v>
      </c>
      <c r="G100" s="7">
        <v>2.8571428571428571E-2</v>
      </c>
      <c r="H100" s="63">
        <v>27174</v>
      </c>
      <c r="I100" s="19">
        <v>3430069.5517774345</v>
      </c>
      <c r="J100" s="6">
        <v>103258997.57120778</v>
      </c>
      <c r="K100" s="5">
        <v>544.98</v>
      </c>
      <c r="L100" s="4">
        <v>49.862380270835622</v>
      </c>
      <c r="M100" s="6">
        <v>7529.39</v>
      </c>
      <c r="N100" s="8">
        <v>0.61399999999999999</v>
      </c>
      <c r="O100" s="15">
        <v>19.38</v>
      </c>
      <c r="P100" s="90">
        <v>61094716.493707225</v>
      </c>
      <c r="Q100" s="91">
        <v>95136182.122617215</v>
      </c>
      <c r="R100" s="15">
        <v>5.7</v>
      </c>
      <c r="S100" s="8">
        <v>4.9000000000000004</v>
      </c>
      <c r="T100" s="8">
        <v>4.4000000000000004</v>
      </c>
      <c r="U100" s="14">
        <v>99.358586469805203</v>
      </c>
      <c r="V100" s="20">
        <v>18774.46</v>
      </c>
      <c r="W100" s="48">
        <v>7.36</v>
      </c>
      <c r="X100" s="8">
        <v>32.26</v>
      </c>
      <c r="Y100" s="16">
        <v>53.555792649277102</v>
      </c>
      <c r="Z100" s="8">
        <v>0.66</v>
      </c>
      <c r="AA100" s="17">
        <v>2.3551924633999999</v>
      </c>
      <c r="AB100" s="34">
        <v>8.5375726798000002</v>
      </c>
      <c r="AC100" s="34">
        <v>0</v>
      </c>
      <c r="AD100" s="42">
        <v>1</v>
      </c>
      <c r="AE100" s="43">
        <v>0.66299460431654678</v>
      </c>
      <c r="AF100" s="34">
        <v>0</v>
      </c>
      <c r="AG100" s="44">
        <v>0.38600000000000001</v>
      </c>
      <c r="AH100" s="8">
        <v>0.189</v>
      </c>
      <c r="AI100" s="17">
        <v>0.44700000000000001</v>
      </c>
      <c r="AJ100" s="8">
        <v>0.52200000000000002</v>
      </c>
      <c r="AK100" s="45">
        <v>0.51300000000000001</v>
      </c>
      <c r="AL100" s="85">
        <v>5.7849414881872376E-2</v>
      </c>
      <c r="AM100" s="44">
        <v>4.8426150121065401</v>
      </c>
      <c r="AN100" s="8">
        <v>0.61590909090909074</v>
      </c>
      <c r="AO100" s="44">
        <v>0.61590909090909074</v>
      </c>
      <c r="AP100" s="85">
        <v>0.13774195922573049</v>
      </c>
      <c r="AQ100" s="45">
        <v>563.03819827776556</v>
      </c>
      <c r="AR100" s="8">
        <v>853.75726797674247</v>
      </c>
      <c r="AS100" s="45">
        <v>147.19952896150733</v>
      </c>
      <c r="AT100" s="8">
        <v>33.119894016339146</v>
      </c>
      <c r="AU100" s="45"/>
      <c r="AV100" s="45"/>
      <c r="AW100" s="8"/>
      <c r="AX100" s="45"/>
      <c r="AY100" s="8"/>
      <c r="AZ100" s="45"/>
      <c r="BA100" s="8"/>
      <c r="BB100" s="45"/>
      <c r="BC100" s="8"/>
      <c r="BD100" s="45"/>
      <c r="BE100" s="8"/>
      <c r="BF100" s="45"/>
      <c r="BG100" s="8"/>
      <c r="BH100" s="45"/>
      <c r="BI100" s="8"/>
      <c r="BJ100" s="45"/>
      <c r="BK100" s="8"/>
      <c r="BL100" s="45"/>
      <c r="BM100" s="8"/>
      <c r="BN100" s="8"/>
      <c r="BO100" s="45"/>
      <c r="BP100" s="8"/>
      <c r="BQ100" s="45"/>
      <c r="BR100" s="8"/>
      <c r="BS100" s="45"/>
      <c r="BT100" s="8"/>
      <c r="BU100" s="45"/>
      <c r="BV100" s="8"/>
      <c r="BW100" s="45"/>
      <c r="BX100" s="8"/>
      <c r="BY100" s="45"/>
      <c r="BZ100" s="8"/>
      <c r="CA100" s="45"/>
      <c r="CB100" s="8"/>
      <c r="CC100" s="45"/>
      <c r="CD100" s="8"/>
      <c r="CE100" s="45"/>
      <c r="CF100" s="8"/>
      <c r="CG100" s="45"/>
      <c r="CH100" s="8"/>
      <c r="CI100" s="45"/>
      <c r="CJ100" s="8"/>
      <c r="CK100" s="45"/>
      <c r="CL100" s="8"/>
      <c r="CM100" s="45"/>
      <c r="CN100" s="8"/>
      <c r="CO100" s="45"/>
      <c r="CP100" s="8"/>
      <c r="CQ100" s="45"/>
      <c r="CR100" s="8"/>
      <c r="CS100" s="45"/>
      <c r="CT100" s="8"/>
      <c r="CU100" s="45"/>
      <c r="CV100" s="8"/>
      <c r="CW100" s="45"/>
      <c r="CX100" s="8"/>
      <c r="CY100" s="45"/>
      <c r="CZ100" s="8"/>
      <c r="DA100" s="45"/>
      <c r="DB100" s="8"/>
      <c r="DC100" s="45"/>
      <c r="DD100" s="8"/>
      <c r="DE100" s="45"/>
      <c r="DF100" s="8"/>
      <c r="DG100" s="45"/>
      <c r="DH100" s="8"/>
      <c r="DI100" s="45"/>
      <c r="DJ100" s="8"/>
      <c r="DK100" s="45"/>
      <c r="DL100" s="8"/>
      <c r="DM100" s="45"/>
      <c r="DN100" s="8"/>
      <c r="DO100" s="45"/>
      <c r="DP100" s="8"/>
      <c r="DQ100" s="45"/>
      <c r="DR100" s="8"/>
    </row>
    <row r="101" spans="1:122" s="38" customFormat="1" x14ac:dyDescent="0.3">
      <c r="A101" s="21" t="s">
        <v>185</v>
      </c>
      <c r="B101" s="8">
        <v>2307205</v>
      </c>
      <c r="C101" s="61">
        <v>28</v>
      </c>
      <c r="D101" s="14">
        <v>345.21020835901862</v>
      </c>
      <c r="E101" s="18">
        <v>1</v>
      </c>
      <c r="F101" s="18">
        <v>12.328936012822092</v>
      </c>
      <c r="G101" s="7">
        <v>3.5714285714285712E-2</v>
      </c>
      <c r="H101" s="63">
        <v>8111</v>
      </c>
      <c r="I101" s="19">
        <v>5532366.4159783004</v>
      </c>
      <c r="J101" s="6">
        <v>89848354.087042287</v>
      </c>
      <c r="K101" s="5">
        <v>368.35899999999998</v>
      </c>
      <c r="L101" s="4">
        <v>22.019280104463309</v>
      </c>
      <c r="M101" s="6">
        <v>12184.14</v>
      </c>
      <c r="N101" s="8">
        <v>0.65100000000000002</v>
      </c>
      <c r="O101" s="15">
        <v>21.87</v>
      </c>
      <c r="P101" s="90">
        <v>91293253.606213778</v>
      </c>
      <c r="Q101" s="91">
        <v>129544305.01787697</v>
      </c>
      <c r="R101" s="15">
        <v>5.6</v>
      </c>
      <c r="S101" s="8">
        <v>4.9000000000000004</v>
      </c>
      <c r="T101" s="8">
        <v>3.8</v>
      </c>
      <c r="U101" s="14">
        <v>98.9350372736954</v>
      </c>
      <c r="V101" s="20">
        <v>8368.2900000000009</v>
      </c>
      <c r="W101" s="48">
        <v>0</v>
      </c>
      <c r="X101" s="8">
        <v>38.89</v>
      </c>
      <c r="Y101" s="16">
        <v>41.549815498154999</v>
      </c>
      <c r="Z101" s="8">
        <v>1.48</v>
      </c>
      <c r="AA101" s="17">
        <v>4.0685488842000002</v>
      </c>
      <c r="AB101" s="34">
        <v>15.411170016</v>
      </c>
      <c r="AC101" s="34">
        <v>0</v>
      </c>
      <c r="AD101" s="42">
        <v>1</v>
      </c>
      <c r="AE101" s="43">
        <v>0.41396866840731072</v>
      </c>
      <c r="AF101" s="34">
        <v>1</v>
      </c>
      <c r="AG101" s="44">
        <v>0.38100000000000001</v>
      </c>
      <c r="AH101" s="8">
        <v>0.19600000000000001</v>
      </c>
      <c r="AI101" s="17">
        <v>0.42</v>
      </c>
      <c r="AJ101" s="8">
        <v>0.52700000000000002</v>
      </c>
      <c r="AK101" s="45">
        <v>0.55500000000000005</v>
      </c>
      <c r="AL101" s="85">
        <v>8.235729256565158E-2</v>
      </c>
      <c r="AM101" s="44">
        <v>16</v>
      </c>
      <c r="AN101" s="8">
        <v>0.91603053435114501</v>
      </c>
      <c r="AO101" s="44">
        <v>0.91603053435114501</v>
      </c>
      <c r="AP101" s="85">
        <v>0.14942670447540377</v>
      </c>
      <c r="AQ101" s="45">
        <v>530.14424855134996</v>
      </c>
      <c r="AR101" s="8">
        <v>1109.6042411539884</v>
      </c>
      <c r="AS101" s="45">
        <v>110.96042411539884</v>
      </c>
      <c r="AT101" s="8">
        <v>12.328936012822092</v>
      </c>
      <c r="AU101" s="45"/>
      <c r="AV101" s="45"/>
      <c r="AW101" s="8"/>
      <c r="AX101" s="45"/>
      <c r="AY101" s="8"/>
      <c r="AZ101" s="45"/>
      <c r="BA101" s="8"/>
      <c r="BB101" s="45"/>
      <c r="BC101" s="8"/>
      <c r="BD101" s="45"/>
      <c r="BE101" s="8"/>
      <c r="BF101" s="45"/>
      <c r="BG101" s="8"/>
      <c r="BH101" s="45"/>
      <c r="BI101" s="8"/>
      <c r="BJ101" s="45"/>
      <c r="BK101" s="8"/>
      <c r="BL101" s="45"/>
      <c r="BM101" s="8"/>
      <c r="BN101" s="8"/>
      <c r="BO101" s="45"/>
      <c r="BP101" s="8"/>
      <c r="BQ101" s="45"/>
      <c r="BR101" s="8"/>
      <c r="BS101" s="45"/>
      <c r="BT101" s="8"/>
      <c r="BU101" s="45"/>
      <c r="BV101" s="8"/>
      <c r="BW101" s="45"/>
      <c r="BX101" s="8"/>
      <c r="BY101" s="45"/>
      <c r="BZ101" s="8"/>
      <c r="CA101" s="45"/>
      <c r="CB101" s="8"/>
      <c r="CC101" s="45"/>
      <c r="CD101" s="8"/>
      <c r="CE101" s="45"/>
      <c r="CF101" s="8"/>
      <c r="CG101" s="45"/>
      <c r="CH101" s="8"/>
      <c r="CI101" s="45"/>
      <c r="CJ101" s="8"/>
      <c r="CK101" s="45"/>
      <c r="CL101" s="8"/>
      <c r="CM101" s="45"/>
      <c r="CN101" s="8"/>
      <c r="CO101" s="45"/>
      <c r="CP101" s="8"/>
      <c r="CQ101" s="45"/>
      <c r="CR101" s="8"/>
      <c r="CS101" s="45"/>
      <c r="CT101" s="8"/>
      <c r="CU101" s="45"/>
      <c r="CV101" s="8"/>
      <c r="CW101" s="45"/>
      <c r="CX101" s="8"/>
      <c r="CY101" s="45"/>
      <c r="CZ101" s="8"/>
      <c r="DA101" s="45"/>
      <c r="DB101" s="8"/>
      <c r="DC101" s="45"/>
      <c r="DD101" s="8"/>
      <c r="DE101" s="45"/>
      <c r="DF101" s="8"/>
      <c r="DG101" s="45"/>
      <c r="DH101" s="8"/>
      <c r="DI101" s="45"/>
      <c r="DJ101" s="8"/>
      <c r="DK101" s="45"/>
      <c r="DL101" s="8"/>
      <c r="DM101" s="45"/>
      <c r="DN101" s="8"/>
      <c r="DO101" s="45"/>
      <c r="DP101" s="8"/>
      <c r="DQ101" s="45"/>
      <c r="DR101" s="8"/>
    </row>
    <row r="102" spans="1:122" s="38" customFormat="1" x14ac:dyDescent="0.3">
      <c r="A102" s="21" t="s">
        <v>186</v>
      </c>
      <c r="B102" s="8">
        <v>2307254</v>
      </c>
      <c r="C102" s="61">
        <v>582</v>
      </c>
      <c r="D102" s="14">
        <v>2937.0205894226888</v>
      </c>
      <c r="E102" s="18">
        <v>8</v>
      </c>
      <c r="F102" s="18">
        <v>40.371417036737988</v>
      </c>
      <c r="G102" s="7">
        <v>1.3745704467353952E-2</v>
      </c>
      <c r="H102" s="63">
        <v>19816</v>
      </c>
      <c r="I102" s="19">
        <v>3104639.0290674204</v>
      </c>
      <c r="J102" s="6">
        <v>110537949.13201453</v>
      </c>
      <c r="K102" s="5">
        <v>209.029</v>
      </c>
      <c r="L102" s="4">
        <v>94.800243028479301</v>
      </c>
      <c r="M102" s="6">
        <v>17740.75</v>
      </c>
      <c r="N102" s="8">
        <v>0.65200000000000002</v>
      </c>
      <c r="O102" s="15">
        <v>23.69</v>
      </c>
      <c r="P102" s="90">
        <v>96352594.519580141</v>
      </c>
      <c r="Q102" s="91">
        <v>129626409.66895437</v>
      </c>
      <c r="R102" s="15">
        <v>8.3000000000000007</v>
      </c>
      <c r="S102" s="8">
        <v>7</v>
      </c>
      <c r="T102" s="8">
        <v>4.5999999999999996</v>
      </c>
      <c r="U102" s="14">
        <v>98.702903026559596</v>
      </c>
      <c r="V102" s="20">
        <v>43226.79</v>
      </c>
      <c r="W102" s="48">
        <v>35.32</v>
      </c>
      <c r="X102" s="8">
        <v>31.25</v>
      </c>
      <c r="Y102" s="16">
        <v>36.212475730572002</v>
      </c>
      <c r="Z102" s="8">
        <v>0.91</v>
      </c>
      <c r="AA102" s="17">
        <v>1.2111425111</v>
      </c>
      <c r="AB102" s="34">
        <v>10.5974969721</v>
      </c>
      <c r="AC102" s="34">
        <v>0</v>
      </c>
      <c r="AD102" s="42">
        <v>0</v>
      </c>
      <c r="AE102" s="43">
        <v>0.67321491589224802</v>
      </c>
      <c r="AF102" s="34">
        <v>0</v>
      </c>
      <c r="AG102" s="44">
        <v>0.40100000000000002</v>
      </c>
      <c r="AH102" s="8">
        <v>0.32400000000000001</v>
      </c>
      <c r="AI102" s="17">
        <v>0.45400000000000001</v>
      </c>
      <c r="AJ102" s="8">
        <v>0.42499999999999999</v>
      </c>
      <c r="AK102" s="45">
        <v>0.53600000000000003</v>
      </c>
      <c r="AL102" s="85">
        <v>0.22522204279370206</v>
      </c>
      <c r="AM102" s="44">
        <v>14.3884892086331</v>
      </c>
      <c r="AN102" s="8">
        <v>1</v>
      </c>
      <c r="AO102" s="44">
        <v>1</v>
      </c>
      <c r="AP102" s="85">
        <v>8.3266047638272098E-2</v>
      </c>
      <c r="AQ102" s="45">
        <v>252.32135647961243</v>
      </c>
      <c r="AR102" s="8">
        <v>201.85708518368995</v>
      </c>
      <c r="AS102" s="45">
        <v>30.278562777553493</v>
      </c>
      <c r="AT102" s="8">
        <v>0</v>
      </c>
      <c r="AU102" s="45"/>
      <c r="AV102" s="45"/>
      <c r="AW102" s="8"/>
      <c r="AX102" s="45"/>
      <c r="AY102" s="8"/>
      <c r="AZ102" s="45"/>
      <c r="BA102" s="8"/>
      <c r="BB102" s="45"/>
      <c r="BC102" s="8"/>
      <c r="BD102" s="45"/>
      <c r="BE102" s="8"/>
      <c r="BF102" s="45"/>
      <c r="BG102" s="8"/>
      <c r="BH102" s="45"/>
      <c r="BI102" s="8"/>
      <c r="BJ102" s="45"/>
      <c r="BK102" s="8"/>
      <c r="BL102" s="45"/>
      <c r="BM102" s="8"/>
      <c r="BN102" s="8"/>
      <c r="BO102" s="45"/>
      <c r="BP102" s="8"/>
      <c r="BQ102" s="45"/>
      <c r="BR102" s="8"/>
      <c r="BS102" s="45"/>
      <c r="BT102" s="8"/>
      <c r="BU102" s="45"/>
      <c r="BV102" s="8"/>
      <c r="BW102" s="45"/>
      <c r="BX102" s="8"/>
      <c r="BY102" s="45"/>
      <c r="BZ102" s="8"/>
      <c r="CA102" s="45"/>
      <c r="CB102" s="8"/>
      <c r="CC102" s="45"/>
      <c r="CD102" s="8"/>
      <c r="CE102" s="45"/>
      <c r="CF102" s="8"/>
      <c r="CG102" s="45"/>
      <c r="CH102" s="8"/>
      <c r="CI102" s="45"/>
      <c r="CJ102" s="8"/>
      <c r="CK102" s="45"/>
      <c r="CL102" s="8"/>
      <c r="CM102" s="45"/>
      <c r="CN102" s="8"/>
      <c r="CO102" s="45"/>
      <c r="CP102" s="8"/>
      <c r="CQ102" s="45"/>
      <c r="CR102" s="8"/>
      <c r="CS102" s="45"/>
      <c r="CT102" s="8"/>
      <c r="CU102" s="45"/>
      <c r="CV102" s="8"/>
      <c r="CW102" s="45"/>
      <c r="CX102" s="8"/>
      <c r="CY102" s="45"/>
      <c r="CZ102" s="8"/>
      <c r="DA102" s="45"/>
      <c r="DB102" s="8"/>
      <c r="DC102" s="45"/>
      <c r="DD102" s="8"/>
      <c r="DE102" s="45"/>
      <c r="DF102" s="8"/>
      <c r="DG102" s="45"/>
      <c r="DH102" s="8"/>
      <c r="DI102" s="45"/>
      <c r="DJ102" s="8"/>
      <c r="DK102" s="45"/>
      <c r="DL102" s="8"/>
      <c r="DM102" s="45"/>
      <c r="DN102" s="8"/>
      <c r="DO102" s="45"/>
      <c r="DP102" s="8"/>
      <c r="DQ102" s="45"/>
      <c r="DR102" s="8"/>
    </row>
    <row r="103" spans="1:122" s="38" customFormat="1" x14ac:dyDescent="0.3">
      <c r="A103" s="21" t="s">
        <v>187</v>
      </c>
      <c r="B103" s="8">
        <v>2307304</v>
      </c>
      <c r="C103" s="61">
        <v>8995</v>
      </c>
      <c r="D103" s="14">
        <v>3280.3684807462978</v>
      </c>
      <c r="E103" s="18">
        <v>219</v>
      </c>
      <c r="F103" s="18">
        <v>79.86667007042125</v>
      </c>
      <c r="G103" s="7">
        <v>2.4346859366314619E-2</v>
      </c>
      <c r="H103" s="63">
        <v>274207</v>
      </c>
      <c r="I103" s="19">
        <v>4951070.6364170136</v>
      </c>
      <c r="J103" s="6">
        <v>85393006.01370497</v>
      </c>
      <c r="K103" s="5">
        <v>258.78800000000001</v>
      </c>
      <c r="L103" s="4">
        <v>1059.5815880179914</v>
      </c>
      <c r="M103" s="6">
        <v>17725.62</v>
      </c>
      <c r="N103" s="8">
        <v>0.69399999999999995</v>
      </c>
      <c r="O103" s="15">
        <v>32.49</v>
      </c>
      <c r="P103" s="90">
        <v>50112637.82470908</v>
      </c>
      <c r="Q103" s="91">
        <v>60637884.058393843</v>
      </c>
      <c r="R103" s="15">
        <v>5.5</v>
      </c>
      <c r="S103" s="8">
        <v>5</v>
      </c>
      <c r="T103" s="8">
        <v>4.4000000000000004</v>
      </c>
      <c r="U103" s="14">
        <v>98.720139773707004</v>
      </c>
      <c r="V103" s="20">
        <v>414221.97</v>
      </c>
      <c r="W103" s="48">
        <v>27.72</v>
      </c>
      <c r="X103" s="8">
        <v>32.479999999999997</v>
      </c>
      <c r="Y103" s="16">
        <v>26.742174152260201</v>
      </c>
      <c r="Z103" s="8">
        <v>0.54</v>
      </c>
      <c r="AA103" s="17">
        <v>1.739561718</v>
      </c>
      <c r="AB103" s="34">
        <v>9.5037690504000008</v>
      </c>
      <c r="AC103" s="34">
        <v>0</v>
      </c>
      <c r="AD103" s="42">
        <v>1</v>
      </c>
      <c r="AE103" s="43">
        <v>3.925357787300101E-2</v>
      </c>
      <c r="AF103" s="34">
        <v>1</v>
      </c>
      <c r="AG103" s="44">
        <v>0.312</v>
      </c>
      <c r="AH103" s="8">
        <v>0.129</v>
      </c>
      <c r="AI103" s="17">
        <v>0.38300000000000001</v>
      </c>
      <c r="AJ103" s="8">
        <v>0.42299999999999999</v>
      </c>
      <c r="AK103" s="45">
        <v>0.499</v>
      </c>
      <c r="AL103" s="85">
        <v>0.1845321235417039</v>
      </c>
      <c r="AM103" s="44">
        <v>12.5210691066699</v>
      </c>
      <c r="AN103" s="8">
        <v>0.88524987869966043</v>
      </c>
      <c r="AO103" s="44">
        <v>0.88524987869966054</v>
      </c>
      <c r="AP103" s="85">
        <v>0.11197015393480109</v>
      </c>
      <c r="AQ103" s="45">
        <v>483.21158832560798</v>
      </c>
      <c r="AR103" s="8">
        <v>488.68190819344511</v>
      </c>
      <c r="AS103" s="45">
        <v>50.326942784101064</v>
      </c>
      <c r="AT103" s="8">
        <v>34.64535916296812</v>
      </c>
      <c r="AU103" s="45"/>
      <c r="AV103" s="45"/>
      <c r="AW103" s="8"/>
      <c r="AX103" s="45"/>
      <c r="AY103" s="8"/>
      <c r="AZ103" s="45"/>
      <c r="BA103" s="8"/>
      <c r="BB103" s="45"/>
      <c r="BC103" s="8"/>
      <c r="BD103" s="45"/>
      <c r="BE103" s="8"/>
      <c r="BF103" s="45"/>
      <c r="BG103" s="8"/>
      <c r="BH103" s="45"/>
      <c r="BI103" s="8"/>
      <c r="BJ103" s="45"/>
      <c r="BK103" s="8"/>
      <c r="BL103" s="45"/>
      <c r="BM103" s="8"/>
      <c r="BN103" s="8"/>
      <c r="BO103" s="45"/>
      <c r="BP103" s="8"/>
      <c r="BQ103" s="45"/>
      <c r="BR103" s="8"/>
      <c r="BS103" s="45"/>
      <c r="BT103" s="8"/>
      <c r="BU103" s="45"/>
      <c r="BV103" s="8"/>
      <c r="BW103" s="45"/>
      <c r="BX103" s="8"/>
      <c r="BY103" s="45"/>
      <c r="BZ103" s="8"/>
      <c r="CA103" s="45"/>
      <c r="CB103" s="8"/>
      <c r="CC103" s="45"/>
      <c r="CD103" s="8"/>
      <c r="CE103" s="45"/>
      <c r="CF103" s="8"/>
      <c r="CG103" s="45"/>
      <c r="CH103" s="8"/>
      <c r="CI103" s="45"/>
      <c r="CJ103" s="8"/>
      <c r="CK103" s="45"/>
      <c r="CL103" s="8"/>
      <c r="CM103" s="45"/>
      <c r="CN103" s="8"/>
      <c r="CO103" s="45"/>
      <c r="CP103" s="8"/>
      <c r="CQ103" s="45"/>
      <c r="CR103" s="8"/>
      <c r="CS103" s="45"/>
      <c r="CT103" s="8"/>
      <c r="CU103" s="45"/>
      <c r="CV103" s="8"/>
      <c r="CW103" s="45"/>
      <c r="CX103" s="8"/>
      <c r="CY103" s="45"/>
      <c r="CZ103" s="8"/>
      <c r="DA103" s="45"/>
      <c r="DB103" s="8"/>
      <c r="DC103" s="45"/>
      <c r="DD103" s="8"/>
      <c r="DE103" s="45"/>
      <c r="DF103" s="8"/>
      <c r="DG103" s="45"/>
      <c r="DH103" s="8"/>
      <c r="DI103" s="45"/>
      <c r="DJ103" s="8"/>
      <c r="DK103" s="45"/>
      <c r="DL103" s="8"/>
      <c r="DM103" s="45"/>
      <c r="DN103" s="8"/>
      <c r="DO103" s="45"/>
      <c r="DP103" s="8"/>
      <c r="DQ103" s="45"/>
      <c r="DR103" s="8"/>
    </row>
    <row r="104" spans="1:122" s="38" customFormat="1" x14ac:dyDescent="0.3">
      <c r="A104" s="21" t="s">
        <v>188</v>
      </c>
      <c r="B104" s="8">
        <v>2307403</v>
      </c>
      <c r="C104" s="61">
        <v>260</v>
      </c>
      <c r="D104" s="14">
        <v>1046.9939193814682</v>
      </c>
      <c r="E104" s="18">
        <v>6</v>
      </c>
      <c r="F104" s="18">
        <v>24.161398139572341</v>
      </c>
      <c r="G104" s="7">
        <v>2.3076923076923078E-2</v>
      </c>
      <c r="H104" s="63">
        <v>24833</v>
      </c>
      <c r="I104" s="19">
        <v>3608912.4149317443</v>
      </c>
      <c r="J104" s="6">
        <v>95795111.343776435</v>
      </c>
      <c r="K104" s="5">
        <v>940.33600000000001</v>
      </c>
      <c r="L104" s="4">
        <v>26.408645420360383</v>
      </c>
      <c r="M104" s="6">
        <v>9024.1299999999992</v>
      </c>
      <c r="N104" s="8">
        <v>0.59799999999999998</v>
      </c>
      <c r="O104" s="15">
        <v>22.89</v>
      </c>
      <c r="P104" s="90">
        <v>60038970.160673298</v>
      </c>
      <c r="Q104" s="91">
        <v>89738939.395159677</v>
      </c>
      <c r="R104" s="15">
        <v>6.4</v>
      </c>
      <c r="S104" s="8">
        <v>5.5</v>
      </c>
      <c r="T104" s="8">
        <v>4.5</v>
      </c>
      <c r="U104" s="14">
        <v>93.313165032338802</v>
      </c>
      <c r="V104" s="20">
        <v>46441.440000000002</v>
      </c>
      <c r="W104" s="48">
        <v>20.13</v>
      </c>
      <c r="X104" s="8">
        <v>32.5</v>
      </c>
      <c r="Y104" s="16">
        <v>49.236702555037802</v>
      </c>
      <c r="Z104" s="8">
        <v>0.64</v>
      </c>
      <c r="AA104" s="17">
        <v>1.0067249224999999</v>
      </c>
      <c r="AB104" s="34">
        <v>7.8121853984999996</v>
      </c>
      <c r="AC104" s="34">
        <v>0</v>
      </c>
      <c r="AD104" s="42">
        <v>1</v>
      </c>
      <c r="AE104" s="43">
        <v>0.40563699752173732</v>
      </c>
      <c r="AF104" s="34">
        <v>0</v>
      </c>
      <c r="AG104" s="44">
        <v>0.45700000000000002</v>
      </c>
      <c r="AH104" s="8">
        <v>0.192</v>
      </c>
      <c r="AI104" s="17">
        <v>0.56299999999999994</v>
      </c>
      <c r="AJ104" s="8">
        <v>0.61699999999999999</v>
      </c>
      <c r="AK104" s="45">
        <v>0.52500000000000002</v>
      </c>
      <c r="AL104" s="85">
        <v>6.1289413280715174E-2</v>
      </c>
      <c r="AM104" s="44">
        <v>19.7368421052632</v>
      </c>
      <c r="AN104" s="8">
        <v>0.74413489736070371</v>
      </c>
      <c r="AO104" s="44">
        <v>0.74413489736070382</v>
      </c>
      <c r="AP104" s="85">
        <v>0.16083437361575323</v>
      </c>
      <c r="AQ104" s="45">
        <v>366.44787178351385</v>
      </c>
      <c r="AR104" s="8">
        <v>897.99863085410539</v>
      </c>
      <c r="AS104" s="45">
        <v>40.268996899287238</v>
      </c>
      <c r="AT104" s="8">
        <v>4.0268996899287233</v>
      </c>
      <c r="AU104" s="45"/>
      <c r="AV104" s="45"/>
      <c r="AW104" s="8"/>
      <c r="AX104" s="45"/>
      <c r="AY104" s="8"/>
      <c r="AZ104" s="45"/>
      <c r="BA104" s="8"/>
      <c r="BB104" s="45"/>
      <c r="BC104" s="8"/>
      <c r="BD104" s="45"/>
      <c r="BE104" s="8"/>
      <c r="BF104" s="45"/>
      <c r="BG104" s="8"/>
      <c r="BH104" s="45"/>
      <c r="BI104" s="8"/>
      <c r="BJ104" s="45"/>
      <c r="BK104" s="8"/>
      <c r="BL104" s="45"/>
      <c r="BM104" s="8"/>
      <c r="BN104" s="8"/>
      <c r="BO104" s="45"/>
      <c r="BP104" s="8"/>
      <c r="BQ104" s="45"/>
      <c r="BR104" s="8"/>
      <c r="BS104" s="45"/>
      <c r="BT104" s="8"/>
      <c r="BU104" s="45"/>
      <c r="BV104" s="8"/>
      <c r="BW104" s="45"/>
      <c r="BX104" s="8"/>
      <c r="BY104" s="45"/>
      <c r="BZ104" s="8"/>
      <c r="CA104" s="45"/>
      <c r="CB104" s="8"/>
      <c r="CC104" s="45"/>
      <c r="CD104" s="8"/>
      <c r="CE104" s="45"/>
      <c r="CF104" s="8"/>
      <c r="CG104" s="45"/>
      <c r="CH104" s="8"/>
      <c r="CI104" s="45"/>
      <c r="CJ104" s="8"/>
      <c r="CK104" s="45"/>
      <c r="CL104" s="8"/>
      <c r="CM104" s="45"/>
      <c r="CN104" s="8"/>
      <c r="CO104" s="45"/>
      <c r="CP104" s="8"/>
      <c r="CQ104" s="45"/>
      <c r="CR104" s="8"/>
      <c r="CS104" s="45"/>
      <c r="CT104" s="8"/>
      <c r="CU104" s="45"/>
      <c r="CV104" s="8"/>
      <c r="CW104" s="45"/>
      <c r="CX104" s="8"/>
      <c r="CY104" s="45"/>
      <c r="CZ104" s="8"/>
      <c r="DA104" s="45"/>
      <c r="DB104" s="8"/>
      <c r="DC104" s="45"/>
      <c r="DD104" s="8"/>
      <c r="DE104" s="45"/>
      <c r="DF104" s="8"/>
      <c r="DG104" s="45"/>
      <c r="DH104" s="8"/>
      <c r="DI104" s="45"/>
      <c r="DJ104" s="8"/>
      <c r="DK104" s="45"/>
      <c r="DL104" s="8"/>
      <c r="DM104" s="45"/>
      <c r="DN104" s="8"/>
      <c r="DO104" s="45"/>
      <c r="DP104" s="8"/>
      <c r="DQ104" s="45"/>
      <c r="DR104" s="8"/>
    </row>
    <row r="105" spans="1:122" s="38" customFormat="1" x14ac:dyDescent="0.3">
      <c r="A105" s="21" t="s">
        <v>189</v>
      </c>
      <c r="B105" s="8">
        <v>2307502</v>
      </c>
      <c r="C105" s="61">
        <v>207</v>
      </c>
      <c r="D105" s="14">
        <v>656.97600609369044</v>
      </c>
      <c r="E105" s="18">
        <v>7</v>
      </c>
      <c r="F105" s="18">
        <v>22.216579916211757</v>
      </c>
      <c r="G105" s="7">
        <v>3.3816425120772944E-2</v>
      </c>
      <c r="H105" s="63">
        <v>31508</v>
      </c>
      <c r="I105" s="19">
        <v>6373796.9404595662</v>
      </c>
      <c r="J105" s="6">
        <v>93018281.071473911</v>
      </c>
      <c r="K105" s="5">
        <v>945.26300000000003</v>
      </c>
      <c r="L105" s="4">
        <v>33.332522271579442</v>
      </c>
      <c r="M105" s="6">
        <v>8139.37</v>
      </c>
      <c r="N105" s="8">
        <v>0.61299999999999999</v>
      </c>
      <c r="O105" s="15">
        <v>24.45</v>
      </c>
      <c r="P105" s="90">
        <v>89301294.528373733</v>
      </c>
      <c r="Q105" s="91">
        <v>76654478.894249082</v>
      </c>
      <c r="R105" s="15">
        <v>5.3</v>
      </c>
      <c r="S105" s="8">
        <v>4.4000000000000004</v>
      </c>
      <c r="T105" s="8">
        <v>4.5</v>
      </c>
      <c r="U105" s="14">
        <v>99.826086956521706</v>
      </c>
      <c r="V105" s="20">
        <v>26264.55</v>
      </c>
      <c r="W105" s="48">
        <v>9.52</v>
      </c>
      <c r="X105" s="8">
        <v>30.77</v>
      </c>
      <c r="Y105" s="16">
        <v>48.713959100723997</v>
      </c>
      <c r="Z105" s="8">
        <v>0.48</v>
      </c>
      <c r="AA105" s="17">
        <v>1.4282087089</v>
      </c>
      <c r="AB105" s="34">
        <v>7.7440649993999999</v>
      </c>
      <c r="AC105" s="34">
        <v>0</v>
      </c>
      <c r="AD105" s="42">
        <v>1</v>
      </c>
      <c r="AE105" s="43">
        <v>0.41678996461884849</v>
      </c>
      <c r="AF105" s="34">
        <v>1</v>
      </c>
      <c r="AG105" s="44">
        <v>0.42099999999999999</v>
      </c>
      <c r="AH105" s="8">
        <v>0.20699999999999999</v>
      </c>
      <c r="AI105" s="17">
        <v>0.51300000000000001</v>
      </c>
      <c r="AJ105" s="8">
        <v>0.54300000000000004</v>
      </c>
      <c r="AK105" s="45">
        <v>0.53100000000000003</v>
      </c>
      <c r="AL105" s="85">
        <v>4.8114764504252887E-2</v>
      </c>
      <c r="AM105" s="44">
        <v>17.1428571428571</v>
      </c>
      <c r="AN105" s="8">
        <v>0.94328358208955221</v>
      </c>
      <c r="AO105" s="44">
        <v>0.94328358208955232</v>
      </c>
      <c r="AP105" s="85">
        <v>0.16757648851085438</v>
      </c>
      <c r="AQ105" s="45">
        <v>396.72464136092424</v>
      </c>
      <c r="AR105" s="8">
        <v>2754.8559096102576</v>
      </c>
      <c r="AS105" s="45">
        <v>107.90910245017139</v>
      </c>
      <c r="AT105" s="8">
        <v>82.518725403072239</v>
      </c>
      <c r="AU105" s="45"/>
      <c r="AV105" s="45"/>
      <c r="AW105" s="8"/>
      <c r="AX105" s="45"/>
      <c r="AY105" s="8"/>
      <c r="AZ105" s="45"/>
      <c r="BA105" s="8"/>
      <c r="BB105" s="45"/>
      <c r="BC105" s="8"/>
      <c r="BD105" s="45"/>
      <c r="BE105" s="8"/>
      <c r="BF105" s="45"/>
      <c r="BG105" s="8"/>
      <c r="BH105" s="45"/>
      <c r="BI105" s="8"/>
      <c r="BJ105" s="45"/>
      <c r="BK105" s="8"/>
      <c r="BL105" s="45"/>
      <c r="BM105" s="8"/>
      <c r="BN105" s="8"/>
      <c r="BO105" s="45"/>
      <c r="BP105" s="8"/>
      <c r="BQ105" s="45"/>
      <c r="BR105" s="8"/>
      <c r="BS105" s="45"/>
      <c r="BT105" s="8"/>
      <c r="BU105" s="45"/>
      <c r="BV105" s="8"/>
      <c r="BW105" s="45"/>
      <c r="BX105" s="8"/>
      <c r="BY105" s="45"/>
      <c r="BZ105" s="8"/>
      <c r="CA105" s="45"/>
      <c r="CB105" s="8"/>
      <c r="CC105" s="45"/>
      <c r="CD105" s="8"/>
      <c r="CE105" s="45"/>
      <c r="CF105" s="8"/>
      <c r="CG105" s="45"/>
      <c r="CH105" s="8"/>
      <c r="CI105" s="45"/>
      <c r="CJ105" s="8"/>
      <c r="CK105" s="45"/>
      <c r="CL105" s="8"/>
      <c r="CM105" s="45"/>
      <c r="CN105" s="8"/>
      <c r="CO105" s="45"/>
      <c r="CP105" s="8"/>
      <c r="CQ105" s="45"/>
      <c r="CR105" s="8"/>
      <c r="CS105" s="45"/>
      <c r="CT105" s="8"/>
      <c r="CU105" s="45"/>
      <c r="CV105" s="8"/>
      <c r="CW105" s="45"/>
      <c r="CX105" s="8"/>
      <c r="CY105" s="45"/>
      <c r="CZ105" s="8"/>
      <c r="DA105" s="45"/>
      <c r="DB105" s="8"/>
      <c r="DC105" s="45"/>
      <c r="DD105" s="8"/>
      <c r="DE105" s="45"/>
      <c r="DF105" s="8"/>
      <c r="DG105" s="45"/>
      <c r="DH105" s="8"/>
      <c r="DI105" s="45"/>
      <c r="DJ105" s="8"/>
      <c r="DK105" s="45"/>
      <c r="DL105" s="8"/>
      <c r="DM105" s="45"/>
      <c r="DN105" s="8"/>
      <c r="DO105" s="45"/>
      <c r="DP105" s="8"/>
      <c r="DQ105" s="45"/>
      <c r="DR105" s="8"/>
    </row>
    <row r="106" spans="1:122" s="38" customFormat="1" x14ac:dyDescent="0.3">
      <c r="A106" s="21" t="s">
        <v>190</v>
      </c>
      <c r="B106" s="8">
        <v>2307601</v>
      </c>
      <c r="C106" s="61">
        <v>1052</v>
      </c>
      <c r="D106" s="14">
        <v>1766.879408800806</v>
      </c>
      <c r="E106" s="18">
        <v>33</v>
      </c>
      <c r="F106" s="18">
        <v>55.424924420557602</v>
      </c>
      <c r="G106" s="7">
        <v>3.1368821292775663E-2</v>
      </c>
      <c r="H106" s="63">
        <v>59540</v>
      </c>
      <c r="I106" s="19">
        <v>12257148.757138059</v>
      </c>
      <c r="J106" s="6">
        <v>90956331.877729252</v>
      </c>
      <c r="K106" s="5">
        <v>744.52499999999998</v>
      </c>
      <c r="L106" s="4">
        <v>79.970450958664927</v>
      </c>
      <c r="M106" s="6">
        <v>15961.09</v>
      </c>
      <c r="N106" s="8">
        <v>0.68200000000000005</v>
      </c>
      <c r="O106" s="15">
        <v>40.07</v>
      </c>
      <c r="P106" s="90">
        <v>75274869.247564659</v>
      </c>
      <c r="Q106" s="91">
        <v>65392630.836412489</v>
      </c>
      <c r="R106" s="15">
        <v>6.4</v>
      </c>
      <c r="S106" s="8">
        <v>5.6</v>
      </c>
      <c r="T106" s="8">
        <v>5.0999999999999996</v>
      </c>
      <c r="U106" s="14">
        <v>94.387302713246996</v>
      </c>
      <c r="V106" s="20">
        <v>193266.86</v>
      </c>
      <c r="W106" s="48">
        <v>26.87</v>
      </c>
      <c r="X106" s="8">
        <v>31</v>
      </c>
      <c r="Y106" s="16">
        <v>33.673401235598597</v>
      </c>
      <c r="Z106" s="8">
        <v>0.59</v>
      </c>
      <c r="AA106" s="17">
        <v>4.6691299965999997</v>
      </c>
      <c r="AB106" s="34">
        <v>9.6573731944999999</v>
      </c>
      <c r="AC106" s="34">
        <v>0</v>
      </c>
      <c r="AD106" s="42">
        <v>1</v>
      </c>
      <c r="AE106" s="43">
        <v>0.42266813593061281</v>
      </c>
      <c r="AF106" s="34">
        <v>1</v>
      </c>
      <c r="AG106" s="44">
        <v>0.30199999999999999</v>
      </c>
      <c r="AH106" s="8">
        <v>0.126</v>
      </c>
      <c r="AI106" s="17">
        <v>0.38200000000000001</v>
      </c>
      <c r="AJ106" s="8">
        <v>0.39800000000000002</v>
      </c>
      <c r="AK106" s="45">
        <v>0.64700000000000002</v>
      </c>
      <c r="AL106" s="85">
        <v>0.11854215653342291</v>
      </c>
      <c r="AM106" s="44">
        <v>16.528925619834698</v>
      </c>
      <c r="AN106" s="8">
        <v>0.75598991172761643</v>
      </c>
      <c r="AO106" s="44">
        <v>0.75598991172761643</v>
      </c>
      <c r="AP106" s="85">
        <v>0.13212966073228083</v>
      </c>
      <c r="AQ106" s="45">
        <v>822.97615048706757</v>
      </c>
      <c r="AR106" s="8">
        <v>923.74874034262689</v>
      </c>
      <c r="AS106" s="45">
        <v>65.502183406113531</v>
      </c>
      <c r="AT106" s="8">
        <v>21.834061135371179</v>
      </c>
      <c r="AU106" s="45"/>
      <c r="AV106" s="45"/>
      <c r="AW106" s="8"/>
      <c r="AX106" s="45"/>
      <c r="AY106" s="8"/>
      <c r="AZ106" s="45"/>
      <c r="BA106" s="8"/>
      <c r="BB106" s="45"/>
      <c r="BC106" s="8"/>
      <c r="BD106" s="45"/>
      <c r="BE106" s="8"/>
      <c r="BF106" s="45"/>
      <c r="BG106" s="8"/>
      <c r="BH106" s="45"/>
      <c r="BI106" s="8"/>
      <c r="BJ106" s="45"/>
      <c r="BK106" s="8"/>
      <c r="BL106" s="45"/>
      <c r="BM106" s="8"/>
      <c r="BN106" s="8"/>
      <c r="BO106" s="45"/>
      <c r="BP106" s="8"/>
      <c r="BQ106" s="45"/>
      <c r="BR106" s="8"/>
      <c r="BS106" s="45"/>
      <c r="BT106" s="8"/>
      <c r="BU106" s="45"/>
      <c r="BV106" s="8"/>
      <c r="BW106" s="45"/>
      <c r="BX106" s="8"/>
      <c r="BY106" s="45"/>
      <c r="BZ106" s="8"/>
      <c r="CA106" s="45"/>
      <c r="CB106" s="8"/>
      <c r="CC106" s="45"/>
      <c r="CD106" s="8"/>
      <c r="CE106" s="45"/>
      <c r="CF106" s="8"/>
      <c r="CG106" s="45"/>
      <c r="CH106" s="8"/>
      <c r="CI106" s="45"/>
      <c r="CJ106" s="8"/>
      <c r="CK106" s="45"/>
      <c r="CL106" s="8"/>
      <c r="CM106" s="45"/>
      <c r="CN106" s="8"/>
      <c r="CO106" s="45"/>
      <c r="CP106" s="8"/>
      <c r="CQ106" s="45"/>
      <c r="CR106" s="8"/>
      <c r="CS106" s="45"/>
      <c r="CT106" s="8"/>
      <c r="CU106" s="45"/>
      <c r="CV106" s="8"/>
      <c r="CW106" s="45"/>
      <c r="CX106" s="8"/>
      <c r="CY106" s="45"/>
      <c r="CZ106" s="8"/>
      <c r="DA106" s="45"/>
      <c r="DB106" s="8"/>
      <c r="DC106" s="45"/>
      <c r="DD106" s="8"/>
      <c r="DE106" s="45"/>
      <c r="DF106" s="8"/>
      <c r="DG106" s="45"/>
      <c r="DH106" s="8"/>
      <c r="DI106" s="45"/>
      <c r="DJ106" s="8"/>
      <c r="DK106" s="45"/>
      <c r="DL106" s="8"/>
      <c r="DM106" s="45"/>
      <c r="DN106" s="8"/>
      <c r="DO106" s="45"/>
      <c r="DP106" s="8"/>
      <c r="DQ106" s="45"/>
      <c r="DR106" s="8"/>
    </row>
    <row r="107" spans="1:122" s="38" customFormat="1" x14ac:dyDescent="0.3">
      <c r="A107" s="21" t="s">
        <v>191</v>
      </c>
      <c r="B107" s="8">
        <v>2307635</v>
      </c>
      <c r="C107" s="61">
        <v>358</v>
      </c>
      <c r="D107" s="14">
        <v>1818.0894825046976</v>
      </c>
      <c r="E107" s="18">
        <v>16</v>
      </c>
      <c r="F107" s="18">
        <v>81.255395866131735</v>
      </c>
      <c r="G107" s="7">
        <v>4.4692737430167599E-2</v>
      </c>
      <c r="H107" s="63">
        <v>19691</v>
      </c>
      <c r="I107" s="19">
        <v>6704248.2352343714</v>
      </c>
      <c r="J107" s="6">
        <v>88331725.153623477</v>
      </c>
      <c r="K107" s="5">
        <v>997.78099999999995</v>
      </c>
      <c r="L107" s="4">
        <v>19.7347915023437</v>
      </c>
      <c r="M107" s="6">
        <v>6435.63</v>
      </c>
      <c r="N107" s="8">
        <v>0.61</v>
      </c>
      <c r="O107" s="15">
        <v>15.59</v>
      </c>
      <c r="P107" s="90">
        <v>58036853.791072063</v>
      </c>
      <c r="Q107" s="91">
        <v>86585633.741303131</v>
      </c>
      <c r="R107" s="15">
        <v>5.3</v>
      </c>
      <c r="S107" s="8">
        <v>4.2</v>
      </c>
      <c r="T107" s="8">
        <v>4.0999999999999996</v>
      </c>
      <c r="U107" s="14">
        <v>96.354709120666598</v>
      </c>
      <c r="V107" s="20">
        <v>13723.01</v>
      </c>
      <c r="W107" s="48">
        <v>20.309999999999999</v>
      </c>
      <c r="X107" s="8">
        <v>32.729999999999997</v>
      </c>
      <c r="Y107" s="16">
        <v>47.296616995569899</v>
      </c>
      <c r="Z107" s="8">
        <v>0.56000000000000005</v>
      </c>
      <c r="AA107" s="17">
        <v>1.218830938</v>
      </c>
      <c r="AB107" s="34">
        <v>8.2271088314000007</v>
      </c>
      <c r="AC107" s="34">
        <v>0</v>
      </c>
      <c r="AD107" s="42">
        <v>1</v>
      </c>
      <c r="AE107" s="43">
        <v>0.50713180008845649</v>
      </c>
      <c r="AF107" s="34">
        <v>1</v>
      </c>
      <c r="AG107" s="44">
        <v>0.44600000000000001</v>
      </c>
      <c r="AH107" s="8">
        <v>0.317</v>
      </c>
      <c r="AI107" s="17">
        <v>0.5</v>
      </c>
      <c r="AJ107" s="8">
        <v>0.52100000000000002</v>
      </c>
      <c r="AK107" s="45">
        <v>0.47199999999999998</v>
      </c>
      <c r="AL107" s="85">
        <v>6.1043116144431468E-2</v>
      </c>
      <c r="AM107" s="44">
        <v>5.0505050505050502</v>
      </c>
      <c r="AN107" s="8">
        <v>0.88445378151260512</v>
      </c>
      <c r="AO107" s="44">
        <v>0.88445378151260523</v>
      </c>
      <c r="AP107" s="85">
        <v>0.12244172464577725</v>
      </c>
      <c r="AQ107" s="45">
        <v>269.15849880656134</v>
      </c>
      <c r="AR107" s="8">
        <v>248.84464984002841</v>
      </c>
      <c r="AS107" s="45">
        <v>25.39231120816617</v>
      </c>
      <c r="AT107" s="8">
        <v>15.235386724899699</v>
      </c>
      <c r="AU107" s="45"/>
      <c r="AV107" s="45"/>
      <c r="AW107" s="8"/>
      <c r="AX107" s="45"/>
      <c r="AY107" s="8"/>
      <c r="AZ107" s="45"/>
      <c r="BA107" s="8"/>
      <c r="BB107" s="45"/>
      <c r="BC107" s="8"/>
      <c r="BD107" s="45"/>
      <c r="BE107" s="8"/>
      <c r="BF107" s="45"/>
      <c r="BG107" s="8"/>
      <c r="BH107" s="45"/>
      <c r="BI107" s="8"/>
      <c r="BJ107" s="45"/>
      <c r="BK107" s="8"/>
      <c r="BL107" s="45"/>
      <c r="BM107" s="8"/>
      <c r="BN107" s="8"/>
      <c r="BO107" s="45"/>
      <c r="BP107" s="8"/>
      <c r="BQ107" s="45"/>
      <c r="BR107" s="8"/>
      <c r="BS107" s="45"/>
      <c r="BT107" s="8"/>
      <c r="BU107" s="45"/>
      <c r="BV107" s="8"/>
      <c r="BW107" s="45"/>
      <c r="BX107" s="8"/>
      <c r="BY107" s="45"/>
      <c r="BZ107" s="8"/>
      <c r="CA107" s="45"/>
      <c r="CB107" s="8"/>
      <c r="CC107" s="45"/>
      <c r="CD107" s="8"/>
      <c r="CE107" s="45"/>
      <c r="CF107" s="8"/>
      <c r="CG107" s="45"/>
      <c r="CH107" s="8"/>
      <c r="CI107" s="45"/>
      <c r="CJ107" s="8"/>
      <c r="CK107" s="45"/>
      <c r="CL107" s="8"/>
      <c r="CM107" s="45"/>
      <c r="CN107" s="8"/>
      <c r="CO107" s="45"/>
      <c r="CP107" s="8"/>
      <c r="CQ107" s="45"/>
      <c r="CR107" s="8"/>
      <c r="CS107" s="45"/>
      <c r="CT107" s="8"/>
      <c r="CU107" s="45"/>
      <c r="CV107" s="8"/>
      <c r="CW107" s="45"/>
      <c r="CX107" s="8"/>
      <c r="CY107" s="45"/>
      <c r="CZ107" s="8"/>
      <c r="DA107" s="45"/>
      <c r="DB107" s="8"/>
      <c r="DC107" s="45"/>
      <c r="DD107" s="8"/>
      <c r="DE107" s="45"/>
      <c r="DF107" s="8"/>
      <c r="DG107" s="45"/>
      <c r="DH107" s="8"/>
      <c r="DI107" s="45"/>
      <c r="DJ107" s="8"/>
      <c r="DK107" s="45"/>
      <c r="DL107" s="8"/>
      <c r="DM107" s="45"/>
      <c r="DN107" s="8"/>
      <c r="DO107" s="45"/>
      <c r="DP107" s="8"/>
      <c r="DQ107" s="45"/>
      <c r="DR107" s="8"/>
    </row>
    <row r="108" spans="1:122" s="38" customFormat="1" x14ac:dyDescent="0.3">
      <c r="A108" s="21" t="s">
        <v>192</v>
      </c>
      <c r="B108" s="8">
        <v>2307650</v>
      </c>
      <c r="C108" s="61">
        <v>5236</v>
      </c>
      <c r="D108" s="14">
        <v>2297.6400480942225</v>
      </c>
      <c r="E108" s="18">
        <v>231</v>
      </c>
      <c r="F108" s="18">
        <v>101.36647271003923</v>
      </c>
      <c r="G108" s="7">
        <v>4.4117647058823532E-2</v>
      </c>
      <c r="H108" s="63">
        <v>227886</v>
      </c>
      <c r="I108" s="19">
        <v>10572645.199792877</v>
      </c>
      <c r="J108" s="6">
        <v>88808878.123272166</v>
      </c>
      <c r="K108" s="5">
        <v>105.071</v>
      </c>
      <c r="L108" s="4">
        <v>2168.8762836558139</v>
      </c>
      <c r="M108" s="6">
        <v>46240.54</v>
      </c>
      <c r="N108" s="8">
        <v>0.68600000000000005</v>
      </c>
      <c r="O108" s="15">
        <v>51.26</v>
      </c>
      <c r="P108" s="90">
        <v>110281936.56477363</v>
      </c>
      <c r="Q108" s="91">
        <v>89997883.332016885</v>
      </c>
      <c r="R108" s="15">
        <v>6</v>
      </c>
      <c r="S108" s="8">
        <v>5.3</v>
      </c>
      <c r="T108" s="8">
        <v>4.2</v>
      </c>
      <c r="U108" s="14">
        <v>99.118131222074197</v>
      </c>
      <c r="V108" s="20">
        <v>540792.91</v>
      </c>
      <c r="W108" s="48">
        <v>51.34</v>
      </c>
      <c r="X108" s="8">
        <v>31.87</v>
      </c>
      <c r="Y108" s="16">
        <v>26.101944582450798</v>
      </c>
      <c r="Z108" s="8">
        <v>0.25</v>
      </c>
      <c r="AA108" s="17">
        <v>1.3603292874999999</v>
      </c>
      <c r="AB108" s="34">
        <v>9.0483838409999997</v>
      </c>
      <c r="AC108" s="34">
        <v>1</v>
      </c>
      <c r="AD108" s="42">
        <v>0</v>
      </c>
      <c r="AE108" s="43">
        <v>6.8019726677413335E-3</v>
      </c>
      <c r="AF108" s="34">
        <v>1</v>
      </c>
      <c r="AG108" s="44">
        <v>0.34399999999999997</v>
      </c>
      <c r="AH108" s="8">
        <v>0.27900000000000003</v>
      </c>
      <c r="AI108" s="17">
        <v>0.377</v>
      </c>
      <c r="AJ108" s="8">
        <v>0.377</v>
      </c>
      <c r="AK108" s="45">
        <v>0.56499999999999995</v>
      </c>
      <c r="AL108" s="85">
        <v>0.27368947631710594</v>
      </c>
      <c r="AM108" s="44">
        <v>7.9225352112676104</v>
      </c>
      <c r="AN108" s="8">
        <v>0.64756787330316723</v>
      </c>
      <c r="AO108" s="44">
        <v>0.64756787330316723</v>
      </c>
      <c r="AP108" s="85">
        <v>0.10458738141000325</v>
      </c>
      <c r="AQ108" s="45">
        <v>372.99351430101012</v>
      </c>
      <c r="AR108" s="8">
        <v>345.34811265281763</v>
      </c>
      <c r="AS108" s="45">
        <v>79.864493650333941</v>
      </c>
      <c r="AT108" s="8">
        <v>12.286845176974451</v>
      </c>
      <c r="AU108" s="45"/>
      <c r="AV108" s="45"/>
      <c r="AW108" s="8"/>
      <c r="AX108" s="45"/>
      <c r="AY108" s="8"/>
      <c r="AZ108" s="45"/>
      <c r="BA108" s="8"/>
      <c r="BB108" s="45"/>
      <c r="BC108" s="8"/>
      <c r="BD108" s="45"/>
      <c r="BE108" s="8"/>
      <c r="BF108" s="45"/>
      <c r="BG108" s="8"/>
      <c r="BH108" s="45"/>
      <c r="BI108" s="8"/>
      <c r="BJ108" s="45"/>
      <c r="BK108" s="8"/>
      <c r="BL108" s="45"/>
      <c r="BM108" s="8"/>
      <c r="BN108" s="8"/>
      <c r="BO108" s="45"/>
      <c r="BP108" s="8"/>
      <c r="BQ108" s="45"/>
      <c r="BR108" s="8"/>
      <c r="BS108" s="45"/>
      <c r="BT108" s="8"/>
      <c r="BU108" s="45"/>
      <c r="BV108" s="8"/>
      <c r="BW108" s="45"/>
      <c r="BX108" s="8"/>
      <c r="BY108" s="45"/>
      <c r="BZ108" s="8"/>
      <c r="CA108" s="45"/>
      <c r="CB108" s="8"/>
      <c r="CC108" s="45"/>
      <c r="CD108" s="8"/>
      <c r="CE108" s="45"/>
      <c r="CF108" s="8"/>
      <c r="CG108" s="45"/>
      <c r="CH108" s="8"/>
      <c r="CI108" s="45"/>
      <c r="CJ108" s="8"/>
      <c r="CK108" s="45"/>
      <c r="CL108" s="8"/>
      <c r="CM108" s="45"/>
      <c r="CN108" s="8"/>
      <c r="CO108" s="45"/>
      <c r="CP108" s="8"/>
      <c r="CQ108" s="45"/>
      <c r="CR108" s="8"/>
      <c r="CS108" s="45"/>
      <c r="CT108" s="8"/>
      <c r="CU108" s="45"/>
      <c r="CV108" s="8"/>
      <c r="CW108" s="45"/>
      <c r="CX108" s="8"/>
      <c r="CY108" s="45"/>
      <c r="CZ108" s="8"/>
      <c r="DA108" s="45"/>
      <c r="DB108" s="8"/>
      <c r="DC108" s="45"/>
      <c r="DD108" s="8"/>
      <c r="DE108" s="45"/>
      <c r="DF108" s="8"/>
      <c r="DG108" s="45"/>
      <c r="DH108" s="8"/>
      <c r="DI108" s="45"/>
      <c r="DJ108" s="8"/>
      <c r="DK108" s="45"/>
      <c r="DL108" s="8"/>
      <c r="DM108" s="45"/>
      <c r="DN108" s="8"/>
      <c r="DO108" s="45"/>
      <c r="DP108" s="8"/>
      <c r="DQ108" s="45"/>
      <c r="DR108" s="8"/>
    </row>
    <row r="109" spans="1:122" s="38" customFormat="1" x14ac:dyDescent="0.3">
      <c r="A109" s="21" t="s">
        <v>193</v>
      </c>
      <c r="B109" s="8">
        <v>2307700</v>
      </c>
      <c r="C109" s="61">
        <v>4077</v>
      </c>
      <c r="D109" s="14">
        <v>3161.0042022670532</v>
      </c>
      <c r="E109" s="18">
        <v>106</v>
      </c>
      <c r="F109" s="18">
        <v>82.1845586068942</v>
      </c>
      <c r="G109" s="7">
        <v>2.5999509443218053E-2</v>
      </c>
      <c r="H109" s="63">
        <v>128978</v>
      </c>
      <c r="I109" s="19">
        <v>7839578.6258121543</v>
      </c>
      <c r="J109" s="6">
        <v>80152274.031230122</v>
      </c>
      <c r="K109" s="5">
        <v>583.505</v>
      </c>
      <c r="L109" s="4">
        <v>221.04009391521924</v>
      </c>
      <c r="M109" s="6">
        <v>11788.59</v>
      </c>
      <c r="N109" s="8">
        <v>0.65900000000000003</v>
      </c>
      <c r="O109" s="15">
        <v>32.659999999999997</v>
      </c>
      <c r="P109" s="90">
        <v>45797730.721518397</v>
      </c>
      <c r="Q109" s="91">
        <v>58857797.903518431</v>
      </c>
      <c r="R109" s="15">
        <v>6.1</v>
      </c>
      <c r="S109" s="8">
        <v>5</v>
      </c>
      <c r="T109" s="8">
        <v>4.3</v>
      </c>
      <c r="U109" s="14">
        <v>99.097915313293598</v>
      </c>
      <c r="V109" s="20">
        <v>132705.18</v>
      </c>
      <c r="W109" s="48">
        <v>44.97</v>
      </c>
      <c r="X109" s="8">
        <v>32.1</v>
      </c>
      <c r="Y109" s="16">
        <v>31.9756647691529</v>
      </c>
      <c r="Z109" s="8">
        <v>0.37</v>
      </c>
      <c r="AA109" s="17">
        <v>0.3954162725</v>
      </c>
      <c r="AB109" s="34">
        <v>5.9389973484</v>
      </c>
      <c r="AC109" s="34">
        <v>1</v>
      </c>
      <c r="AD109" s="42">
        <v>0</v>
      </c>
      <c r="AE109" s="43">
        <v>0.2399767525823126</v>
      </c>
      <c r="AF109" s="34">
        <v>0</v>
      </c>
      <c r="AG109" s="44">
        <v>0.38300000000000001</v>
      </c>
      <c r="AH109" s="8">
        <v>0.27400000000000002</v>
      </c>
      <c r="AI109" s="17">
        <v>0.47</v>
      </c>
      <c r="AJ109" s="8">
        <v>0.40400000000000003</v>
      </c>
      <c r="AK109" s="45">
        <v>0.57899999999999996</v>
      </c>
      <c r="AL109" s="85">
        <v>0.11846981655786258</v>
      </c>
      <c r="AM109" s="44">
        <v>11.8733509234828</v>
      </c>
      <c r="AN109" s="8">
        <v>0.93647675180091683</v>
      </c>
      <c r="AO109" s="44">
        <v>0.93647675180091672</v>
      </c>
      <c r="AP109" s="85">
        <v>0.10378514165206469</v>
      </c>
      <c r="AQ109" s="45">
        <v>262.83552233714278</v>
      </c>
      <c r="AR109" s="8">
        <v>258.9588922141761</v>
      </c>
      <c r="AS109" s="45">
        <v>55.048147746127249</v>
      </c>
      <c r="AT109" s="8">
        <v>6.2026081967467324</v>
      </c>
      <c r="AU109" s="45"/>
      <c r="AV109" s="45"/>
      <c r="AW109" s="8"/>
      <c r="AX109" s="45"/>
      <c r="AY109" s="8"/>
      <c r="AZ109" s="45"/>
      <c r="BA109" s="8"/>
      <c r="BB109" s="45"/>
      <c r="BC109" s="8"/>
      <c r="BD109" s="45"/>
      <c r="BE109" s="8"/>
      <c r="BF109" s="45"/>
      <c r="BG109" s="8"/>
      <c r="BH109" s="45"/>
      <c r="BI109" s="8"/>
      <c r="BJ109" s="45"/>
      <c r="BK109" s="8"/>
      <c r="BL109" s="45"/>
      <c r="BM109" s="8"/>
      <c r="BN109" s="8"/>
      <c r="BO109" s="45"/>
      <c r="BP109" s="8"/>
      <c r="BQ109" s="45"/>
      <c r="BR109" s="8"/>
      <c r="BS109" s="45"/>
      <c r="BT109" s="8"/>
      <c r="BU109" s="45"/>
      <c r="BV109" s="8"/>
      <c r="BW109" s="45"/>
      <c r="BX109" s="8"/>
      <c r="BY109" s="45"/>
      <c r="BZ109" s="8"/>
      <c r="CA109" s="45"/>
      <c r="CB109" s="8"/>
      <c r="CC109" s="45"/>
      <c r="CD109" s="8"/>
      <c r="CE109" s="45"/>
      <c r="CF109" s="8"/>
      <c r="CG109" s="45"/>
      <c r="CH109" s="8"/>
      <c r="CI109" s="45"/>
      <c r="CJ109" s="8"/>
      <c r="CK109" s="45"/>
      <c r="CL109" s="8"/>
      <c r="CM109" s="45"/>
      <c r="CN109" s="8"/>
      <c r="CO109" s="45"/>
      <c r="CP109" s="8"/>
      <c r="CQ109" s="45"/>
      <c r="CR109" s="8"/>
      <c r="CS109" s="45"/>
      <c r="CT109" s="8"/>
      <c r="CU109" s="45"/>
      <c r="CV109" s="8"/>
      <c r="CW109" s="45"/>
      <c r="CX109" s="8"/>
      <c r="CY109" s="45"/>
      <c r="CZ109" s="8"/>
      <c r="DA109" s="45"/>
      <c r="DB109" s="8"/>
      <c r="DC109" s="45"/>
      <c r="DD109" s="8"/>
      <c r="DE109" s="45"/>
      <c r="DF109" s="8"/>
      <c r="DG109" s="45"/>
      <c r="DH109" s="8"/>
      <c r="DI109" s="45"/>
      <c r="DJ109" s="8"/>
      <c r="DK109" s="45"/>
      <c r="DL109" s="8"/>
      <c r="DM109" s="45"/>
      <c r="DN109" s="8"/>
      <c r="DO109" s="45"/>
      <c r="DP109" s="8"/>
      <c r="DQ109" s="45"/>
      <c r="DR109" s="8"/>
    </row>
    <row r="110" spans="1:122" s="38" customFormat="1" x14ac:dyDescent="0.3">
      <c r="A110" s="21" t="s">
        <v>194</v>
      </c>
      <c r="B110" s="8">
        <v>2307809</v>
      </c>
      <c r="C110" s="61">
        <v>408</v>
      </c>
      <c r="D110" s="14">
        <v>1491.1735682175358</v>
      </c>
      <c r="E110" s="18">
        <v>13</v>
      </c>
      <c r="F110" s="18">
        <v>47.512883301048937</v>
      </c>
      <c r="G110" s="7">
        <v>3.1862745098039214E-2</v>
      </c>
      <c r="H110" s="63">
        <v>27361</v>
      </c>
      <c r="I110" s="19">
        <v>2404458.5724205989</v>
      </c>
      <c r="J110" s="6">
        <v>107232922.77329044</v>
      </c>
      <c r="K110" s="5">
        <v>573.61</v>
      </c>
      <c r="L110" s="4">
        <v>47.699656561078086</v>
      </c>
      <c r="M110" s="6">
        <v>11895.32</v>
      </c>
      <c r="N110" s="8">
        <v>0.61199999999999999</v>
      </c>
      <c r="O110" s="15">
        <v>27.61</v>
      </c>
      <c r="P110" s="90">
        <v>51288525.236650705</v>
      </c>
      <c r="Q110" s="91">
        <v>102787035.92704944</v>
      </c>
      <c r="R110" s="15">
        <v>6</v>
      </c>
      <c r="S110" s="8">
        <v>5</v>
      </c>
      <c r="T110" s="8">
        <v>4.5</v>
      </c>
      <c r="U110" s="14">
        <v>99.516731346562196</v>
      </c>
      <c r="V110" s="20">
        <v>59783.42</v>
      </c>
      <c r="W110" s="48">
        <v>36.549999999999997</v>
      </c>
      <c r="X110" s="8">
        <v>28.75</v>
      </c>
      <c r="Y110" s="16">
        <v>54.1112520384128</v>
      </c>
      <c r="Z110" s="8">
        <v>0.51</v>
      </c>
      <c r="AA110" s="17">
        <v>1.2426446402</v>
      </c>
      <c r="AB110" s="34">
        <v>8.0771901612000008</v>
      </c>
      <c r="AC110" s="34">
        <v>0</v>
      </c>
      <c r="AD110" s="42">
        <v>0</v>
      </c>
      <c r="AE110" s="43">
        <v>0.37517710399546611</v>
      </c>
      <c r="AF110" s="34">
        <v>1</v>
      </c>
      <c r="AG110" s="44">
        <v>0.44</v>
      </c>
      <c r="AH110" s="8">
        <v>0.23599999999999999</v>
      </c>
      <c r="AI110" s="17">
        <v>0.55300000000000005</v>
      </c>
      <c r="AJ110" s="8">
        <v>0.53</v>
      </c>
      <c r="AK110" s="45">
        <v>0.503</v>
      </c>
      <c r="AL110" s="85">
        <v>0.1243741091334381</v>
      </c>
      <c r="AM110" s="44">
        <v>13.1086142322097</v>
      </c>
      <c r="AN110" s="8">
        <v>0.97244897959183674</v>
      </c>
      <c r="AO110" s="44">
        <v>0.97244897959183674</v>
      </c>
      <c r="AP110" s="85">
        <v>9.0274478271992989E-2</v>
      </c>
      <c r="AQ110" s="45">
        <v>233.90957932824091</v>
      </c>
      <c r="AR110" s="8">
        <v>614.01264573663241</v>
      </c>
      <c r="AS110" s="45">
        <v>62.132232009063998</v>
      </c>
      <c r="AT110" s="8">
        <v>7.3096743540075284</v>
      </c>
      <c r="AU110" s="45"/>
      <c r="AV110" s="45"/>
      <c r="AW110" s="8"/>
      <c r="AX110" s="45"/>
      <c r="AY110" s="8"/>
      <c r="AZ110" s="45"/>
      <c r="BA110" s="8"/>
      <c r="BB110" s="45"/>
      <c r="BC110" s="8"/>
      <c r="BD110" s="45"/>
      <c r="BE110" s="8"/>
      <c r="BF110" s="45"/>
      <c r="BG110" s="8"/>
      <c r="BH110" s="45"/>
      <c r="BI110" s="8"/>
      <c r="BJ110" s="45"/>
      <c r="BK110" s="8"/>
      <c r="BL110" s="45"/>
      <c r="BM110" s="8"/>
      <c r="BN110" s="8"/>
      <c r="BO110" s="45"/>
      <c r="BP110" s="8"/>
      <c r="BQ110" s="45"/>
      <c r="BR110" s="8"/>
      <c r="BS110" s="45"/>
      <c r="BT110" s="8"/>
      <c r="BU110" s="45"/>
      <c r="BV110" s="8"/>
      <c r="BW110" s="45"/>
      <c r="BX110" s="8"/>
      <c r="BY110" s="45"/>
      <c r="BZ110" s="8"/>
      <c r="CA110" s="45"/>
      <c r="CB110" s="8"/>
      <c r="CC110" s="45"/>
      <c r="CD110" s="8"/>
      <c r="CE110" s="45"/>
      <c r="CF110" s="8"/>
      <c r="CG110" s="45"/>
      <c r="CH110" s="8"/>
      <c r="CI110" s="45"/>
      <c r="CJ110" s="8"/>
      <c r="CK110" s="45"/>
      <c r="CL110" s="8"/>
      <c r="CM110" s="45"/>
      <c r="CN110" s="8"/>
      <c r="CO110" s="45"/>
      <c r="CP110" s="8"/>
      <c r="CQ110" s="45"/>
      <c r="CR110" s="8"/>
      <c r="CS110" s="45"/>
      <c r="CT110" s="8"/>
      <c r="CU110" s="45"/>
      <c r="CV110" s="8"/>
      <c r="CW110" s="45"/>
      <c r="CX110" s="8"/>
      <c r="CY110" s="45"/>
      <c r="CZ110" s="8"/>
      <c r="DA110" s="45"/>
      <c r="DB110" s="8"/>
      <c r="DC110" s="45"/>
      <c r="DD110" s="8"/>
      <c r="DE110" s="45"/>
      <c r="DF110" s="8"/>
      <c r="DG110" s="45"/>
      <c r="DH110" s="8"/>
      <c r="DI110" s="45"/>
      <c r="DJ110" s="8"/>
      <c r="DK110" s="45"/>
      <c r="DL110" s="8"/>
      <c r="DM110" s="45"/>
      <c r="DN110" s="8"/>
      <c r="DO110" s="45"/>
      <c r="DP110" s="8"/>
      <c r="DQ110" s="45"/>
      <c r="DR110" s="8"/>
    </row>
    <row r="111" spans="1:122" s="38" customFormat="1" x14ac:dyDescent="0.3">
      <c r="A111" s="21" t="s">
        <v>195</v>
      </c>
      <c r="B111" s="8">
        <v>2307908</v>
      </c>
      <c r="C111" s="61">
        <v>145</v>
      </c>
      <c r="D111" s="14">
        <v>1290.8394907860768</v>
      </c>
      <c r="E111" s="18">
        <v>6</v>
      </c>
      <c r="F111" s="18">
        <v>53.414047894596273</v>
      </c>
      <c r="G111" s="7">
        <v>4.1379310344827586E-2</v>
      </c>
      <c r="H111" s="63">
        <v>11233</v>
      </c>
      <c r="I111" s="19">
        <v>4938782.7828718945</v>
      </c>
      <c r="J111" s="6">
        <v>111053146.97765511</v>
      </c>
      <c r="K111" s="5">
        <v>303.44499999999999</v>
      </c>
      <c r="L111" s="4">
        <v>37.018240537823992</v>
      </c>
      <c r="M111" s="6">
        <v>6793.18</v>
      </c>
      <c r="N111" s="8">
        <v>0.59899999999999998</v>
      </c>
      <c r="O111" s="15">
        <v>15.78</v>
      </c>
      <c r="P111" s="90">
        <v>54977235.021810733</v>
      </c>
      <c r="Q111" s="91">
        <v>131221711.7421882</v>
      </c>
      <c r="R111" s="15">
        <v>8.6</v>
      </c>
      <c r="S111" s="8">
        <v>5.6</v>
      </c>
      <c r="T111" s="8">
        <v>4.0999999999999996</v>
      </c>
      <c r="U111" s="14">
        <v>95.3327276856689</v>
      </c>
      <c r="V111" s="20">
        <v>9185.91</v>
      </c>
      <c r="W111" s="48">
        <v>8.9</v>
      </c>
      <c r="X111" s="8">
        <v>28.26</v>
      </c>
      <c r="Y111" s="16">
        <v>57.009098136207101</v>
      </c>
      <c r="Z111" s="8">
        <v>0.53</v>
      </c>
      <c r="AA111" s="17">
        <v>0.80121071840000002</v>
      </c>
      <c r="AB111" s="34">
        <v>8.1901540105000006</v>
      </c>
      <c r="AC111" s="34">
        <v>0</v>
      </c>
      <c r="AD111" s="42">
        <v>0</v>
      </c>
      <c r="AE111" s="43">
        <v>0.21607597415312316</v>
      </c>
      <c r="AF111" s="34">
        <v>1</v>
      </c>
      <c r="AG111" s="44">
        <v>0.42599999999999999</v>
      </c>
      <c r="AH111" s="8">
        <v>0.19600000000000001</v>
      </c>
      <c r="AI111" s="17">
        <v>0.56899999999999995</v>
      </c>
      <c r="AJ111" s="8">
        <v>0.51300000000000001</v>
      </c>
      <c r="AK111" s="45">
        <v>0.56299999999999994</v>
      </c>
      <c r="AL111" s="85">
        <v>7.4868690465592455E-2</v>
      </c>
      <c r="AM111" s="44">
        <v>5.81395348837209</v>
      </c>
      <c r="AN111" s="8">
        <v>0.89403973509933754</v>
      </c>
      <c r="AO111" s="44">
        <v>0.89403973509933754</v>
      </c>
      <c r="AP111" s="85">
        <v>0.12347547404967507</v>
      </c>
      <c r="AQ111" s="45">
        <v>195.85150894685304</v>
      </c>
      <c r="AR111" s="8">
        <v>249.2655568414493</v>
      </c>
      <c r="AS111" s="45">
        <v>26.707023947298136</v>
      </c>
      <c r="AT111" s="8">
        <v>0</v>
      </c>
      <c r="AU111" s="45"/>
      <c r="AV111" s="45"/>
      <c r="AW111" s="8"/>
      <c r="AX111" s="45"/>
      <c r="AY111" s="8"/>
      <c r="AZ111" s="45"/>
      <c r="BA111" s="8"/>
      <c r="BB111" s="45"/>
      <c r="BC111" s="8"/>
      <c r="BD111" s="45"/>
      <c r="BE111" s="8"/>
      <c r="BF111" s="45"/>
      <c r="BG111" s="8"/>
      <c r="BH111" s="45"/>
      <c r="BI111" s="8"/>
      <c r="BJ111" s="45"/>
      <c r="BK111" s="8"/>
      <c r="BL111" s="45"/>
      <c r="BM111" s="8"/>
      <c r="BN111" s="8"/>
      <c r="BO111" s="45"/>
      <c r="BP111" s="8"/>
      <c r="BQ111" s="45"/>
      <c r="BR111" s="8"/>
      <c r="BS111" s="45"/>
      <c r="BT111" s="8"/>
      <c r="BU111" s="45"/>
      <c r="BV111" s="8"/>
      <c r="BW111" s="45"/>
      <c r="BX111" s="8"/>
      <c r="BY111" s="45"/>
      <c r="BZ111" s="8"/>
      <c r="CA111" s="45"/>
      <c r="CB111" s="8"/>
      <c r="CC111" s="45"/>
      <c r="CD111" s="8"/>
      <c r="CE111" s="45"/>
      <c r="CF111" s="8"/>
      <c r="CG111" s="45"/>
      <c r="CH111" s="8"/>
      <c r="CI111" s="45"/>
      <c r="CJ111" s="8"/>
      <c r="CK111" s="45"/>
      <c r="CL111" s="8"/>
      <c r="CM111" s="45"/>
      <c r="CN111" s="8"/>
      <c r="CO111" s="45"/>
      <c r="CP111" s="8"/>
      <c r="CQ111" s="45"/>
      <c r="CR111" s="8"/>
      <c r="CS111" s="45"/>
      <c r="CT111" s="8"/>
      <c r="CU111" s="45"/>
      <c r="CV111" s="8"/>
      <c r="CW111" s="45"/>
      <c r="CX111" s="8"/>
      <c r="CY111" s="45"/>
      <c r="CZ111" s="8"/>
      <c r="DA111" s="45"/>
      <c r="DB111" s="8"/>
      <c r="DC111" s="45"/>
      <c r="DD111" s="8"/>
      <c r="DE111" s="45"/>
      <c r="DF111" s="8"/>
      <c r="DG111" s="45"/>
      <c r="DH111" s="8"/>
      <c r="DI111" s="45"/>
      <c r="DJ111" s="8"/>
      <c r="DK111" s="45"/>
      <c r="DL111" s="8"/>
      <c r="DM111" s="45"/>
      <c r="DN111" s="8"/>
      <c r="DO111" s="45"/>
      <c r="DP111" s="8"/>
      <c r="DQ111" s="45"/>
      <c r="DR111" s="8"/>
    </row>
    <row r="112" spans="1:122" s="38" customFormat="1" x14ac:dyDescent="0.3">
      <c r="A112" s="21" t="s">
        <v>196</v>
      </c>
      <c r="B112" s="8">
        <v>2308005</v>
      </c>
      <c r="C112" s="61">
        <v>856</v>
      </c>
      <c r="D112" s="14">
        <v>2209.7736014662983</v>
      </c>
      <c r="E112" s="18">
        <v>50</v>
      </c>
      <c r="F112" s="18">
        <v>129.07556083331181</v>
      </c>
      <c r="G112" s="7">
        <v>5.8411214953271028E-2</v>
      </c>
      <c r="H112" s="63">
        <v>38737</v>
      </c>
      <c r="I112" s="19">
        <v>1782188.6310246019</v>
      </c>
      <c r="J112" s="6">
        <v>90961096.625964835</v>
      </c>
      <c r="K112" s="5">
        <v>567.78</v>
      </c>
      <c r="L112" s="4">
        <v>68.22536898094333</v>
      </c>
      <c r="M112" s="6">
        <v>7143.58</v>
      </c>
      <c r="N112" s="8">
        <v>0.61599999999999999</v>
      </c>
      <c r="O112" s="15">
        <v>21.18</v>
      </c>
      <c r="P112" s="90">
        <v>40548430.079768695</v>
      </c>
      <c r="Q112" s="91">
        <v>94198071.843457177</v>
      </c>
      <c r="R112" s="15">
        <v>7</v>
      </c>
      <c r="S112" s="8">
        <v>4.9000000000000004</v>
      </c>
      <c r="T112" s="8">
        <v>4.2</v>
      </c>
      <c r="U112" s="14">
        <v>98.435096281364395</v>
      </c>
      <c r="V112" s="20">
        <v>26742.45</v>
      </c>
      <c r="W112" s="48">
        <v>5.16</v>
      </c>
      <c r="X112" s="8">
        <v>28.81</v>
      </c>
      <c r="Y112" s="16">
        <v>41.107468497080198</v>
      </c>
      <c r="Z112" s="8">
        <v>0.41</v>
      </c>
      <c r="AA112" s="17">
        <v>0.77445336499999995</v>
      </c>
      <c r="AB112" s="34">
        <v>6.3763327052000003</v>
      </c>
      <c r="AC112" s="34">
        <v>0</v>
      </c>
      <c r="AD112" s="42">
        <v>1</v>
      </c>
      <c r="AE112" s="43">
        <v>0.31849052314512233</v>
      </c>
      <c r="AF112" s="34">
        <v>1</v>
      </c>
      <c r="AG112" s="44">
        <v>0.435</v>
      </c>
      <c r="AH112" s="8">
        <v>0.33</v>
      </c>
      <c r="AI112" s="17">
        <v>0.41899999999999998</v>
      </c>
      <c r="AJ112" s="8">
        <v>0.55500000000000005</v>
      </c>
      <c r="AK112" s="45">
        <v>0.54300000000000004</v>
      </c>
      <c r="AL112" s="85">
        <v>5.9658724217156726E-2</v>
      </c>
      <c r="AM112" s="44">
        <v>12.9032258064516</v>
      </c>
      <c r="AN112" s="8">
        <v>0.85385338345864659</v>
      </c>
      <c r="AO112" s="44">
        <v>0.85385338345864659</v>
      </c>
      <c r="AP112" s="85">
        <v>0.1084492862121486</v>
      </c>
      <c r="AQ112" s="45">
        <v>314.94436843328083</v>
      </c>
      <c r="AR112" s="8">
        <v>433.6938843999277</v>
      </c>
      <c r="AS112" s="45">
        <v>25.815112166662363</v>
      </c>
      <c r="AT112" s="8">
        <v>18.070578516663655</v>
      </c>
      <c r="AU112" s="45"/>
      <c r="AV112" s="45"/>
      <c r="AW112" s="8"/>
      <c r="AX112" s="45"/>
      <c r="AY112" s="8"/>
      <c r="AZ112" s="45"/>
      <c r="BA112" s="8"/>
      <c r="BB112" s="45"/>
      <c r="BC112" s="8"/>
      <c r="BD112" s="45"/>
      <c r="BE112" s="8"/>
      <c r="BF112" s="45"/>
      <c r="BG112" s="8"/>
      <c r="BH112" s="45"/>
      <c r="BI112" s="8"/>
      <c r="BJ112" s="45"/>
      <c r="BK112" s="8"/>
      <c r="BL112" s="45"/>
      <c r="BM112" s="8"/>
      <c r="BN112" s="8"/>
      <c r="BO112" s="45"/>
      <c r="BP112" s="8"/>
      <c r="BQ112" s="45"/>
      <c r="BR112" s="8"/>
      <c r="BS112" s="45"/>
      <c r="BT112" s="8"/>
      <c r="BU112" s="45"/>
      <c r="BV112" s="8"/>
      <c r="BW112" s="45"/>
      <c r="BX112" s="8"/>
      <c r="BY112" s="45"/>
      <c r="BZ112" s="8"/>
      <c r="CA112" s="45"/>
      <c r="CB112" s="8"/>
      <c r="CC112" s="45"/>
      <c r="CD112" s="8"/>
      <c r="CE112" s="45"/>
      <c r="CF112" s="8"/>
      <c r="CG112" s="45"/>
      <c r="CH112" s="8"/>
      <c r="CI112" s="45"/>
      <c r="CJ112" s="8"/>
      <c r="CK112" s="45"/>
      <c r="CL112" s="8"/>
      <c r="CM112" s="45"/>
      <c r="CN112" s="8"/>
      <c r="CO112" s="45"/>
      <c r="CP112" s="8"/>
      <c r="CQ112" s="45"/>
      <c r="CR112" s="8"/>
      <c r="CS112" s="45"/>
      <c r="CT112" s="8"/>
      <c r="CU112" s="45"/>
      <c r="CV112" s="8"/>
      <c r="CW112" s="45"/>
      <c r="CX112" s="8"/>
      <c r="CY112" s="45"/>
      <c r="CZ112" s="8"/>
      <c r="DA112" s="45"/>
      <c r="DB112" s="8"/>
      <c r="DC112" s="45"/>
      <c r="DD112" s="8"/>
      <c r="DE112" s="45"/>
      <c r="DF112" s="8"/>
      <c r="DG112" s="45"/>
      <c r="DH112" s="8"/>
      <c r="DI112" s="45"/>
      <c r="DJ112" s="8"/>
      <c r="DK112" s="45"/>
      <c r="DL112" s="8"/>
      <c r="DM112" s="45"/>
      <c r="DN112" s="8"/>
      <c r="DO112" s="45"/>
      <c r="DP112" s="8"/>
      <c r="DQ112" s="45"/>
      <c r="DR112" s="8"/>
    </row>
    <row r="113" spans="1:122" s="38" customFormat="1" x14ac:dyDescent="0.3">
      <c r="A113" s="21" t="s">
        <v>197</v>
      </c>
      <c r="B113" s="8">
        <v>2308104</v>
      </c>
      <c r="C113" s="61">
        <v>554</v>
      </c>
      <c r="D113" s="14">
        <v>1155.0811058754848</v>
      </c>
      <c r="E113" s="18">
        <v>18</v>
      </c>
      <c r="F113" s="18">
        <v>37.529711021225133</v>
      </c>
      <c r="G113" s="7">
        <v>3.2490974729241874E-2</v>
      </c>
      <c r="H113" s="63">
        <v>47962</v>
      </c>
      <c r="I113" s="19">
        <v>2639064.4260039199</v>
      </c>
      <c r="J113" s="6">
        <v>99287352.487385854</v>
      </c>
      <c r="K113" s="5">
        <v>1079.01</v>
      </c>
      <c r="L113" s="4">
        <v>44.450005097265084</v>
      </c>
      <c r="M113" s="6">
        <v>8624.33</v>
      </c>
      <c r="N113" s="8">
        <v>0.60499999999999998</v>
      </c>
      <c r="O113" s="15">
        <v>23.64</v>
      </c>
      <c r="P113" s="90">
        <v>46505695.779992491</v>
      </c>
      <c r="Q113" s="91">
        <v>87870653.892665029</v>
      </c>
      <c r="R113" s="15">
        <v>5.6</v>
      </c>
      <c r="S113" s="8">
        <v>4.8</v>
      </c>
      <c r="T113" s="8">
        <v>4.5</v>
      </c>
      <c r="U113" s="14">
        <v>91.504918904546699</v>
      </c>
      <c r="V113" s="20">
        <v>44228.58</v>
      </c>
      <c r="W113" s="48">
        <v>16.68</v>
      </c>
      <c r="X113" s="8">
        <v>31.43</v>
      </c>
      <c r="Y113" s="16">
        <v>51.557050323866498</v>
      </c>
      <c r="Z113" s="8">
        <v>0.75</v>
      </c>
      <c r="AA113" s="17">
        <v>1.5011884408</v>
      </c>
      <c r="AB113" s="34">
        <v>6.5051499103000001</v>
      </c>
      <c r="AC113" s="34">
        <v>0</v>
      </c>
      <c r="AD113" s="42">
        <v>1</v>
      </c>
      <c r="AE113" s="43">
        <v>0.47366636528028933</v>
      </c>
      <c r="AF113" s="34">
        <v>0</v>
      </c>
      <c r="AG113" s="44">
        <v>0.432</v>
      </c>
      <c r="AH113" s="8">
        <v>0.28599999999999998</v>
      </c>
      <c r="AI113" s="17">
        <v>0.47299999999999998</v>
      </c>
      <c r="AJ113" s="8">
        <v>0.53600000000000003</v>
      </c>
      <c r="AK113" s="45">
        <v>0.56299999999999994</v>
      </c>
      <c r="AL113" s="85">
        <v>5.5085275843376004E-2</v>
      </c>
      <c r="AM113" s="44">
        <v>12.6227208976157</v>
      </c>
      <c r="AN113" s="8">
        <v>0.88038942976356049</v>
      </c>
      <c r="AO113" s="44">
        <v>0.8803894297635606</v>
      </c>
      <c r="AP113" s="85">
        <v>0.12472373962720487</v>
      </c>
      <c r="AQ113" s="45">
        <v>481.63129143905593</v>
      </c>
      <c r="AR113" s="8">
        <v>1040.4069888661859</v>
      </c>
      <c r="AS113" s="45">
        <v>70.88945415120304</v>
      </c>
      <c r="AT113" s="8">
        <v>37.529711021225133</v>
      </c>
      <c r="AU113" s="45"/>
      <c r="AV113" s="45"/>
      <c r="AW113" s="8"/>
      <c r="AX113" s="45"/>
      <c r="AY113" s="8"/>
      <c r="AZ113" s="45"/>
      <c r="BA113" s="8"/>
      <c r="BB113" s="45"/>
      <c r="BC113" s="8"/>
      <c r="BD113" s="45"/>
      <c r="BE113" s="8"/>
      <c r="BF113" s="45"/>
      <c r="BG113" s="8"/>
      <c r="BH113" s="45"/>
      <c r="BI113" s="8"/>
      <c r="BJ113" s="45"/>
      <c r="BK113" s="8"/>
      <c r="BL113" s="45"/>
      <c r="BM113" s="8"/>
      <c r="BN113" s="8"/>
      <c r="BO113" s="45"/>
      <c r="BP113" s="8"/>
      <c r="BQ113" s="45"/>
      <c r="BR113" s="8"/>
      <c r="BS113" s="45"/>
      <c r="BT113" s="8"/>
      <c r="BU113" s="45"/>
      <c r="BV113" s="8"/>
      <c r="BW113" s="45"/>
      <c r="BX113" s="8"/>
      <c r="BY113" s="45"/>
      <c r="BZ113" s="8"/>
      <c r="CA113" s="45"/>
      <c r="CB113" s="8"/>
      <c r="CC113" s="45"/>
      <c r="CD113" s="8"/>
      <c r="CE113" s="45"/>
      <c r="CF113" s="8"/>
      <c r="CG113" s="45"/>
      <c r="CH113" s="8"/>
      <c r="CI113" s="45"/>
      <c r="CJ113" s="8"/>
      <c r="CK113" s="45"/>
      <c r="CL113" s="8"/>
      <c r="CM113" s="45"/>
      <c r="CN113" s="8"/>
      <c r="CO113" s="45"/>
      <c r="CP113" s="8"/>
      <c r="CQ113" s="45"/>
      <c r="CR113" s="8"/>
      <c r="CS113" s="45"/>
      <c r="CT113" s="8"/>
      <c r="CU113" s="45"/>
      <c r="CV113" s="8"/>
      <c r="CW113" s="45"/>
      <c r="CX113" s="8"/>
      <c r="CY113" s="45"/>
      <c r="CZ113" s="8"/>
      <c r="DA113" s="45"/>
      <c r="DB113" s="8"/>
      <c r="DC113" s="45"/>
      <c r="DD113" s="8"/>
      <c r="DE113" s="45"/>
      <c r="DF113" s="8"/>
      <c r="DG113" s="45"/>
      <c r="DH113" s="8"/>
      <c r="DI113" s="45"/>
      <c r="DJ113" s="8"/>
      <c r="DK113" s="45"/>
      <c r="DL113" s="8"/>
      <c r="DM113" s="45"/>
      <c r="DN113" s="8"/>
      <c r="DO113" s="45"/>
      <c r="DP113" s="8"/>
      <c r="DQ113" s="45"/>
      <c r="DR113" s="8"/>
    </row>
    <row r="114" spans="1:122" s="38" customFormat="1" x14ac:dyDescent="0.3">
      <c r="A114" s="21" t="s">
        <v>198</v>
      </c>
      <c r="B114" s="8">
        <v>2308203</v>
      </c>
      <c r="C114" s="61">
        <v>464</v>
      </c>
      <c r="D114" s="14">
        <v>3081.6231653051736</v>
      </c>
      <c r="E114" s="18">
        <v>14</v>
      </c>
      <c r="F114" s="18">
        <v>92.980009298000923</v>
      </c>
      <c r="G114" s="7">
        <v>3.017241379310345E-2</v>
      </c>
      <c r="H114" s="63">
        <v>15057</v>
      </c>
      <c r="I114" s="19">
        <v>2586023.9755595406</v>
      </c>
      <c r="J114" s="6">
        <v>87511456.465431362</v>
      </c>
      <c r="K114" s="5">
        <v>151.65100000000001</v>
      </c>
      <c r="L114" s="4">
        <v>99.287179115205305</v>
      </c>
      <c r="M114" s="6">
        <v>6681.85</v>
      </c>
      <c r="N114" s="8">
        <v>0.61799999999999999</v>
      </c>
      <c r="O114" s="15">
        <v>32.74</v>
      </c>
      <c r="P114" s="90">
        <v>58634538.487082422</v>
      </c>
      <c r="Q114" s="91">
        <v>120497044.89606163</v>
      </c>
      <c r="R114" s="15">
        <v>7.5</v>
      </c>
      <c r="S114" s="8">
        <v>5.9</v>
      </c>
      <c r="T114" s="8">
        <v>4.4000000000000004</v>
      </c>
      <c r="U114" s="14">
        <v>98.813888289842595</v>
      </c>
      <c r="V114" s="20">
        <v>11552.91</v>
      </c>
      <c r="W114" s="48">
        <v>13.28</v>
      </c>
      <c r="X114" s="8">
        <v>32.35</v>
      </c>
      <c r="Y114" s="16">
        <v>42.2983207112282</v>
      </c>
      <c r="Z114" s="8">
        <v>0.93</v>
      </c>
      <c r="AA114" s="17">
        <v>1.3282858471000001</v>
      </c>
      <c r="AB114" s="34">
        <v>8.1025436674000009</v>
      </c>
      <c r="AC114" s="34">
        <v>0</v>
      </c>
      <c r="AD114" s="42">
        <v>0</v>
      </c>
      <c r="AE114" s="43">
        <v>0.4581172862046301</v>
      </c>
      <c r="AF114" s="34">
        <v>1</v>
      </c>
      <c r="AG114" s="44">
        <v>0.46800000000000003</v>
      </c>
      <c r="AH114" s="8">
        <v>0.41</v>
      </c>
      <c r="AI114" s="17">
        <v>0.495</v>
      </c>
      <c r="AJ114" s="8">
        <v>0.499</v>
      </c>
      <c r="AK114" s="45">
        <v>0.46200000000000002</v>
      </c>
      <c r="AL114" s="85">
        <v>7.4716078900179325E-2</v>
      </c>
      <c r="AM114" s="44">
        <v>20.242914979757099</v>
      </c>
      <c r="AN114" s="8">
        <v>0.95990566037735847</v>
      </c>
      <c r="AO114" s="44">
        <v>0.95990566037735847</v>
      </c>
      <c r="AP114" s="85">
        <v>0.13654778508334994</v>
      </c>
      <c r="AQ114" s="45">
        <v>398.48575413428972</v>
      </c>
      <c r="AR114" s="8">
        <v>391.84432489871824</v>
      </c>
      <c r="AS114" s="45">
        <v>19.924287706714484</v>
      </c>
      <c r="AT114" s="8">
        <v>13.282858471142989</v>
      </c>
      <c r="AU114" s="45"/>
      <c r="AV114" s="45"/>
      <c r="AW114" s="8"/>
      <c r="AX114" s="45"/>
      <c r="AY114" s="8"/>
      <c r="AZ114" s="45"/>
      <c r="BA114" s="8"/>
      <c r="BB114" s="45"/>
      <c r="BC114" s="8"/>
      <c r="BD114" s="45"/>
      <c r="BE114" s="8"/>
      <c r="BF114" s="45"/>
      <c r="BG114" s="8"/>
      <c r="BH114" s="45"/>
      <c r="BI114" s="8"/>
      <c r="BJ114" s="45"/>
      <c r="BK114" s="8"/>
      <c r="BL114" s="45"/>
      <c r="BM114" s="8"/>
      <c r="BN114" s="8"/>
      <c r="BO114" s="45"/>
      <c r="BP114" s="8"/>
      <c r="BQ114" s="45"/>
      <c r="BR114" s="8"/>
      <c r="BS114" s="45"/>
      <c r="BT114" s="8"/>
      <c r="BU114" s="45"/>
      <c r="BV114" s="8"/>
      <c r="BW114" s="45"/>
      <c r="BX114" s="8"/>
      <c r="BY114" s="45"/>
      <c r="BZ114" s="8"/>
      <c r="CA114" s="45"/>
      <c r="CB114" s="8"/>
      <c r="CC114" s="45"/>
      <c r="CD114" s="8"/>
      <c r="CE114" s="45"/>
      <c r="CF114" s="8"/>
      <c r="CG114" s="45"/>
      <c r="CH114" s="8"/>
      <c r="CI114" s="45"/>
      <c r="CJ114" s="8"/>
      <c r="CK114" s="45"/>
      <c r="CL114" s="8"/>
      <c r="CM114" s="45"/>
      <c r="CN114" s="8"/>
      <c r="CO114" s="45"/>
      <c r="CP114" s="8"/>
      <c r="CQ114" s="45"/>
      <c r="CR114" s="8"/>
      <c r="CS114" s="45"/>
      <c r="CT114" s="8"/>
      <c r="CU114" s="45"/>
      <c r="CV114" s="8"/>
      <c r="CW114" s="45"/>
      <c r="CX114" s="8"/>
      <c r="CY114" s="45"/>
      <c r="CZ114" s="8"/>
      <c r="DA114" s="45"/>
      <c r="DB114" s="8"/>
      <c r="DC114" s="45"/>
      <c r="DD114" s="8"/>
      <c r="DE114" s="45"/>
      <c r="DF114" s="8"/>
      <c r="DG114" s="45"/>
      <c r="DH114" s="8"/>
      <c r="DI114" s="45"/>
      <c r="DJ114" s="8"/>
      <c r="DK114" s="45"/>
      <c r="DL114" s="8"/>
      <c r="DM114" s="45"/>
      <c r="DN114" s="8"/>
      <c r="DO114" s="45"/>
      <c r="DP114" s="8"/>
      <c r="DQ114" s="45"/>
      <c r="DR114" s="8"/>
    </row>
    <row r="115" spans="1:122" s="38" customFormat="1" x14ac:dyDescent="0.3">
      <c r="A115" s="21" t="s">
        <v>199</v>
      </c>
      <c r="B115" s="8">
        <v>2308302</v>
      </c>
      <c r="C115" s="61">
        <v>153</v>
      </c>
      <c r="D115" s="14">
        <v>556.12096539691765</v>
      </c>
      <c r="E115" s="18">
        <v>6</v>
      </c>
      <c r="F115" s="18">
        <v>21.808665309683047</v>
      </c>
      <c r="G115" s="7">
        <v>3.9215686274509803E-2</v>
      </c>
      <c r="H115" s="63">
        <v>27512</v>
      </c>
      <c r="I115" s="19">
        <v>5537924.4329747017</v>
      </c>
      <c r="J115" s="6">
        <v>102751526.60657167</v>
      </c>
      <c r="K115" s="5">
        <v>579.09699999999998</v>
      </c>
      <c r="L115" s="4">
        <v>47.508448498265402</v>
      </c>
      <c r="M115" s="6">
        <v>7955.64</v>
      </c>
      <c r="N115" s="8">
        <v>0.628</v>
      </c>
      <c r="O115" s="15">
        <v>22.38</v>
      </c>
      <c r="P115" s="90">
        <v>61891429.957836576</v>
      </c>
      <c r="Q115" s="91">
        <v>75990403.93282932</v>
      </c>
      <c r="R115" s="15">
        <v>5.3</v>
      </c>
      <c r="S115" s="8">
        <v>5</v>
      </c>
      <c r="T115" s="8">
        <v>4.5999999999999996</v>
      </c>
      <c r="U115" s="14">
        <v>97.965799497528195</v>
      </c>
      <c r="V115" s="20">
        <v>24281.07</v>
      </c>
      <c r="W115" s="48">
        <v>25.44</v>
      </c>
      <c r="X115" s="8">
        <v>31.25</v>
      </c>
      <c r="Y115" s="16">
        <v>54.806641905178097</v>
      </c>
      <c r="Z115" s="8">
        <v>0.8</v>
      </c>
      <c r="AA115" s="17">
        <v>2.4353009596000001</v>
      </c>
      <c r="AB115" s="34">
        <v>9.1596394301000004</v>
      </c>
      <c r="AC115" s="34">
        <v>0</v>
      </c>
      <c r="AD115" s="42">
        <v>1</v>
      </c>
      <c r="AE115" s="43">
        <v>0.52126006498092947</v>
      </c>
      <c r="AF115" s="34">
        <v>0</v>
      </c>
      <c r="AG115" s="44">
        <v>0.433</v>
      </c>
      <c r="AH115" s="8">
        <v>0.28199999999999997</v>
      </c>
      <c r="AI115" s="17">
        <v>0.49299999999999999</v>
      </c>
      <c r="AJ115" s="8">
        <v>0.52500000000000002</v>
      </c>
      <c r="AK115" s="45">
        <v>0.51</v>
      </c>
      <c r="AL115" s="85">
        <v>6.557138703111369E-2</v>
      </c>
      <c r="AM115" s="44">
        <v>10.443864229765</v>
      </c>
      <c r="AN115" s="8">
        <v>0.95571428571428585</v>
      </c>
      <c r="AO115" s="44">
        <v>0.95571428571428574</v>
      </c>
      <c r="AP115" s="85">
        <v>0.14564553649316661</v>
      </c>
      <c r="AQ115" s="45">
        <v>508.8688572259378</v>
      </c>
      <c r="AR115" s="8">
        <v>690.60773480662976</v>
      </c>
      <c r="AS115" s="45">
        <v>72.695551032276825</v>
      </c>
      <c r="AT115" s="8">
        <v>43.617330619366093</v>
      </c>
      <c r="AU115" s="45"/>
      <c r="AV115" s="45"/>
      <c r="AW115" s="8"/>
      <c r="AX115" s="45"/>
      <c r="AY115" s="8"/>
      <c r="AZ115" s="45"/>
      <c r="BA115" s="8"/>
      <c r="BB115" s="45"/>
      <c r="BC115" s="8"/>
      <c r="BD115" s="45"/>
      <c r="BE115" s="8"/>
      <c r="BF115" s="45"/>
      <c r="BG115" s="8"/>
      <c r="BH115" s="45"/>
      <c r="BI115" s="8"/>
      <c r="BJ115" s="45"/>
      <c r="BK115" s="8"/>
      <c r="BL115" s="45"/>
      <c r="BM115" s="8"/>
      <c r="BN115" s="8"/>
      <c r="BO115" s="45"/>
      <c r="BP115" s="8"/>
      <c r="BQ115" s="45"/>
      <c r="BR115" s="8"/>
      <c r="BS115" s="45"/>
      <c r="BT115" s="8"/>
      <c r="BU115" s="45"/>
      <c r="BV115" s="8"/>
      <c r="BW115" s="45"/>
      <c r="BX115" s="8"/>
      <c r="BY115" s="45"/>
      <c r="BZ115" s="8"/>
      <c r="CA115" s="45"/>
      <c r="CB115" s="8"/>
      <c r="CC115" s="45"/>
      <c r="CD115" s="8"/>
      <c r="CE115" s="45"/>
      <c r="CF115" s="8"/>
      <c r="CG115" s="45"/>
      <c r="CH115" s="8"/>
      <c r="CI115" s="45"/>
      <c r="CJ115" s="8"/>
      <c r="CK115" s="45"/>
      <c r="CL115" s="8"/>
      <c r="CM115" s="45"/>
      <c r="CN115" s="8"/>
      <c r="CO115" s="45"/>
      <c r="CP115" s="8"/>
      <c r="CQ115" s="45"/>
      <c r="CR115" s="8"/>
      <c r="CS115" s="45"/>
      <c r="CT115" s="8"/>
      <c r="CU115" s="45"/>
      <c r="CV115" s="8"/>
      <c r="CW115" s="45"/>
      <c r="CX115" s="8"/>
      <c r="CY115" s="45"/>
      <c r="CZ115" s="8"/>
      <c r="DA115" s="45"/>
      <c r="DB115" s="8"/>
      <c r="DC115" s="45"/>
      <c r="DD115" s="8"/>
      <c r="DE115" s="45"/>
      <c r="DF115" s="8"/>
      <c r="DG115" s="45"/>
      <c r="DH115" s="8"/>
      <c r="DI115" s="45"/>
      <c r="DJ115" s="8"/>
      <c r="DK115" s="45"/>
      <c r="DL115" s="8"/>
      <c r="DM115" s="45"/>
      <c r="DN115" s="8"/>
      <c r="DO115" s="45"/>
      <c r="DP115" s="8"/>
      <c r="DQ115" s="45"/>
      <c r="DR115" s="8"/>
    </row>
    <row r="116" spans="1:122" s="38" customFormat="1" x14ac:dyDescent="0.3">
      <c r="A116" s="21" t="s">
        <v>200</v>
      </c>
      <c r="B116" s="8">
        <v>2308351</v>
      </c>
      <c r="C116" s="61">
        <v>149</v>
      </c>
      <c r="D116" s="14">
        <v>1132.6491828202204</v>
      </c>
      <c r="E116" s="18">
        <v>4</v>
      </c>
      <c r="F116" s="18">
        <v>30.406689471683769</v>
      </c>
      <c r="G116" s="7">
        <v>2.6845637583892617E-2</v>
      </c>
      <c r="H116" s="63">
        <v>13155</v>
      </c>
      <c r="I116" s="19">
        <v>2105410.7183580389</v>
      </c>
      <c r="J116" s="6">
        <v>104843785.63283922</v>
      </c>
      <c r="K116" s="5">
        <v>502.137</v>
      </c>
      <c r="L116" s="4">
        <v>26.198029621398145</v>
      </c>
      <c r="M116" s="6">
        <v>9674.7900000000009</v>
      </c>
      <c r="N116" s="8">
        <v>0.626</v>
      </c>
      <c r="O116" s="15">
        <v>14.04</v>
      </c>
      <c r="P116" s="90">
        <v>70104613.378943369</v>
      </c>
      <c r="Q116" s="91">
        <v>87982729.000380084</v>
      </c>
      <c r="R116" s="15">
        <v>8.6999999999999993</v>
      </c>
      <c r="S116" s="8">
        <v>6.4</v>
      </c>
      <c r="T116" s="8">
        <v>4.0999999999999996</v>
      </c>
      <c r="U116" s="14">
        <v>95.057034220532302</v>
      </c>
      <c r="V116" s="20">
        <v>13114.54</v>
      </c>
      <c r="W116" s="48">
        <v>45.61</v>
      </c>
      <c r="X116" s="8">
        <v>38.46</v>
      </c>
      <c r="Y116" s="16">
        <v>51.932734743570201</v>
      </c>
      <c r="Z116" s="8">
        <v>0.99</v>
      </c>
      <c r="AA116" s="17">
        <v>2.1284682629999998</v>
      </c>
      <c r="AB116" s="34">
        <v>9.4260737361999993</v>
      </c>
      <c r="AC116" s="34">
        <v>0</v>
      </c>
      <c r="AD116" s="42">
        <v>1</v>
      </c>
      <c r="AE116" s="43">
        <v>0.54386367109888434</v>
      </c>
      <c r="AF116" s="34">
        <v>1</v>
      </c>
      <c r="AG116" s="44">
        <v>0.41399999999999998</v>
      </c>
      <c r="AH116" s="8">
        <v>0.20100000000000001</v>
      </c>
      <c r="AI116" s="17">
        <v>0.51100000000000001</v>
      </c>
      <c r="AJ116" s="8">
        <v>0.53100000000000003</v>
      </c>
      <c r="AK116" s="45">
        <v>0.51200000000000001</v>
      </c>
      <c r="AL116" s="85">
        <v>4.8270619536297986E-2</v>
      </c>
      <c r="AM116" s="44">
        <v>6.6666666666666696</v>
      </c>
      <c r="AN116" s="8">
        <v>0.9673202614379085</v>
      </c>
      <c r="AO116" s="44">
        <v>0.9673202614379085</v>
      </c>
      <c r="AP116" s="85">
        <v>0.18160395286963132</v>
      </c>
      <c r="AQ116" s="45">
        <v>334.4735841885215</v>
      </c>
      <c r="AR116" s="8">
        <v>380.08361839604709</v>
      </c>
      <c r="AS116" s="45">
        <v>22.805017103762829</v>
      </c>
      <c r="AT116" s="8">
        <v>30.406689471683769</v>
      </c>
      <c r="AU116" s="45"/>
      <c r="AV116" s="45"/>
      <c r="AW116" s="8"/>
      <c r="AX116" s="45"/>
      <c r="AY116" s="8"/>
      <c r="AZ116" s="45"/>
      <c r="BA116" s="8"/>
      <c r="BB116" s="45"/>
      <c r="BC116" s="8"/>
      <c r="BD116" s="45"/>
      <c r="BE116" s="8"/>
      <c r="BF116" s="45"/>
      <c r="BG116" s="8"/>
      <c r="BH116" s="45"/>
      <c r="BI116" s="8"/>
      <c r="BJ116" s="45"/>
      <c r="BK116" s="8"/>
      <c r="BL116" s="45"/>
      <c r="BM116" s="8"/>
      <c r="BN116" s="8"/>
      <c r="BO116" s="45"/>
      <c r="BP116" s="8"/>
      <c r="BQ116" s="45"/>
      <c r="BR116" s="8"/>
      <c r="BS116" s="45"/>
      <c r="BT116" s="8"/>
      <c r="BU116" s="45"/>
      <c r="BV116" s="8"/>
      <c r="BW116" s="45"/>
      <c r="BX116" s="8"/>
      <c r="BY116" s="45"/>
      <c r="BZ116" s="8"/>
      <c r="CA116" s="45"/>
      <c r="CB116" s="8"/>
      <c r="CC116" s="45"/>
      <c r="CD116" s="8"/>
      <c r="CE116" s="45"/>
      <c r="CF116" s="8"/>
      <c r="CG116" s="45"/>
      <c r="CH116" s="8"/>
      <c r="CI116" s="45"/>
      <c r="CJ116" s="8"/>
      <c r="CK116" s="45"/>
      <c r="CL116" s="8"/>
      <c r="CM116" s="45"/>
      <c r="CN116" s="8"/>
      <c r="CO116" s="45"/>
      <c r="CP116" s="8"/>
      <c r="CQ116" s="45"/>
      <c r="CR116" s="8"/>
      <c r="CS116" s="45"/>
      <c r="CT116" s="8"/>
      <c r="CU116" s="45"/>
      <c r="CV116" s="8"/>
      <c r="CW116" s="45"/>
      <c r="CX116" s="8"/>
      <c r="CY116" s="45"/>
      <c r="CZ116" s="8"/>
      <c r="DA116" s="45"/>
      <c r="DB116" s="8"/>
      <c r="DC116" s="45"/>
      <c r="DD116" s="8"/>
      <c r="DE116" s="45"/>
      <c r="DF116" s="8"/>
      <c r="DG116" s="45"/>
      <c r="DH116" s="8"/>
      <c r="DI116" s="45"/>
      <c r="DJ116" s="8"/>
      <c r="DK116" s="45"/>
      <c r="DL116" s="8"/>
      <c r="DM116" s="45"/>
      <c r="DN116" s="8"/>
      <c r="DO116" s="45"/>
      <c r="DP116" s="8"/>
      <c r="DQ116" s="45"/>
      <c r="DR116" s="8"/>
    </row>
    <row r="117" spans="1:122" s="38" customFormat="1" x14ac:dyDescent="0.3">
      <c r="A117" s="21" t="s">
        <v>201</v>
      </c>
      <c r="B117" s="8">
        <v>2308377</v>
      </c>
      <c r="C117" s="61">
        <v>355</v>
      </c>
      <c r="D117" s="14">
        <v>2569.1127514835721</v>
      </c>
      <c r="E117" s="18">
        <v>8</v>
      </c>
      <c r="F117" s="18">
        <v>57.895498624981904</v>
      </c>
      <c r="G117" s="7">
        <v>2.2535211267605635E-2</v>
      </c>
      <c r="H117" s="63">
        <v>13818</v>
      </c>
      <c r="I117" s="19">
        <v>6449826.6029816177</v>
      </c>
      <c r="J117" s="6">
        <v>93204515.848892748</v>
      </c>
      <c r="K117" s="5">
        <v>708.678</v>
      </c>
      <c r="L117" s="4">
        <v>19.49827707364981</v>
      </c>
      <c r="M117" s="6">
        <v>6253.17</v>
      </c>
      <c r="N117" s="8">
        <v>0.59199999999999997</v>
      </c>
      <c r="O117" s="15">
        <v>16.2</v>
      </c>
      <c r="P117" s="90">
        <v>56891084.020842381</v>
      </c>
      <c r="Q117" s="91">
        <v>105156879.50499348</v>
      </c>
      <c r="R117" s="15">
        <v>5.5</v>
      </c>
      <c r="S117" s="8">
        <v>4.5</v>
      </c>
      <c r="T117" s="8">
        <v>3.9</v>
      </c>
      <c r="U117" s="14">
        <v>99.472759226713507</v>
      </c>
      <c r="V117" s="20">
        <v>7670.5</v>
      </c>
      <c r="W117" s="48">
        <v>7.24</v>
      </c>
      <c r="X117" s="8">
        <v>35.9</v>
      </c>
      <c r="Y117" s="16">
        <v>51.900100762919202</v>
      </c>
      <c r="Z117" s="8">
        <v>0.72</v>
      </c>
      <c r="AA117" s="17">
        <v>0</v>
      </c>
      <c r="AB117" s="34">
        <v>7.0198292083</v>
      </c>
      <c r="AC117" s="34">
        <v>0</v>
      </c>
      <c r="AD117" s="42">
        <v>1</v>
      </c>
      <c r="AE117" s="43">
        <v>0.46507812500000001</v>
      </c>
      <c r="AF117" s="34">
        <v>1</v>
      </c>
      <c r="AG117" s="44">
        <v>0.51200000000000001</v>
      </c>
      <c r="AH117" s="8">
        <v>0.29199999999999998</v>
      </c>
      <c r="AI117" s="17">
        <v>0.59699999999999998</v>
      </c>
      <c r="AJ117" s="8">
        <v>0.64700000000000002</v>
      </c>
      <c r="AK117" s="45">
        <v>0.6</v>
      </c>
      <c r="AL117" s="85">
        <v>6.2599507888261685E-2</v>
      </c>
      <c r="AM117" s="44">
        <v>15.4639175257732</v>
      </c>
      <c r="AN117" s="8">
        <v>0.94942196531791889</v>
      </c>
      <c r="AO117" s="44">
        <v>0.949421965317919</v>
      </c>
      <c r="AP117" s="85">
        <v>0.11564625850340136</v>
      </c>
      <c r="AQ117" s="45">
        <v>209.87118251555941</v>
      </c>
      <c r="AR117" s="8">
        <v>455.9270516717325</v>
      </c>
      <c r="AS117" s="45">
        <v>21.710811984368217</v>
      </c>
      <c r="AT117" s="8">
        <v>0</v>
      </c>
      <c r="AU117" s="45"/>
      <c r="AV117" s="45"/>
      <c r="AW117" s="8"/>
      <c r="AX117" s="45"/>
      <c r="AY117" s="8"/>
      <c r="AZ117" s="45"/>
      <c r="BA117" s="8"/>
      <c r="BB117" s="45"/>
      <c r="BC117" s="8"/>
      <c r="BD117" s="45"/>
      <c r="BE117" s="8"/>
      <c r="BF117" s="45"/>
      <c r="BG117" s="8"/>
      <c r="BH117" s="45"/>
      <c r="BI117" s="8"/>
      <c r="BJ117" s="45"/>
      <c r="BK117" s="8"/>
      <c r="BL117" s="45"/>
      <c r="BM117" s="8"/>
      <c r="BN117" s="8"/>
      <c r="BO117" s="45"/>
      <c r="BP117" s="8"/>
      <c r="BQ117" s="45"/>
      <c r="BR117" s="8"/>
      <c r="BS117" s="45"/>
      <c r="BT117" s="8"/>
      <c r="BU117" s="45"/>
      <c r="BV117" s="8"/>
      <c r="BW117" s="45"/>
      <c r="BX117" s="8"/>
      <c r="BY117" s="45"/>
      <c r="BZ117" s="8"/>
      <c r="CA117" s="45"/>
      <c r="CB117" s="8"/>
      <c r="CC117" s="45"/>
      <c r="CD117" s="8"/>
      <c r="CE117" s="45"/>
      <c r="CF117" s="8"/>
      <c r="CG117" s="45"/>
      <c r="CH117" s="8"/>
      <c r="CI117" s="45"/>
      <c r="CJ117" s="8"/>
      <c r="CK117" s="45"/>
      <c r="CL117" s="8"/>
      <c r="CM117" s="45"/>
      <c r="CN117" s="8"/>
      <c r="CO117" s="45"/>
      <c r="CP117" s="8"/>
      <c r="CQ117" s="45"/>
      <c r="CR117" s="8"/>
      <c r="CS117" s="45"/>
      <c r="CT117" s="8"/>
      <c r="CU117" s="45"/>
      <c r="CV117" s="8"/>
      <c r="CW117" s="45"/>
      <c r="CX117" s="8"/>
      <c r="CY117" s="45"/>
      <c r="CZ117" s="8"/>
      <c r="DA117" s="45"/>
      <c r="DB117" s="8"/>
      <c r="DC117" s="45"/>
      <c r="DD117" s="8"/>
      <c r="DE117" s="45"/>
      <c r="DF117" s="8"/>
      <c r="DG117" s="45"/>
      <c r="DH117" s="8"/>
      <c r="DI117" s="45"/>
      <c r="DJ117" s="8"/>
      <c r="DK117" s="45"/>
      <c r="DL117" s="8"/>
      <c r="DM117" s="45"/>
      <c r="DN117" s="8"/>
      <c r="DO117" s="45"/>
      <c r="DP117" s="8"/>
      <c r="DQ117" s="45"/>
      <c r="DR117" s="8"/>
    </row>
    <row r="118" spans="1:122" s="38" customFormat="1" x14ac:dyDescent="0.3">
      <c r="A118" s="21" t="s">
        <v>202</v>
      </c>
      <c r="B118" s="8">
        <v>2308401</v>
      </c>
      <c r="C118" s="61">
        <v>634</v>
      </c>
      <c r="D118" s="14">
        <v>1791.314666742011</v>
      </c>
      <c r="E118" s="18">
        <v>8</v>
      </c>
      <c r="F118" s="18">
        <v>22.603339643432317</v>
      </c>
      <c r="G118" s="7">
        <v>1.2618296529968454E-2</v>
      </c>
      <c r="H118" s="63">
        <v>35393</v>
      </c>
      <c r="I118" s="19">
        <v>7418057.9775661854</v>
      </c>
      <c r="J118" s="6">
        <v>109077501.2008024</v>
      </c>
      <c r="K118" s="5">
        <v>613.31700000000001</v>
      </c>
      <c r="L118" s="4">
        <v>57.707515037085223</v>
      </c>
      <c r="M118" s="6">
        <v>13585.53</v>
      </c>
      <c r="N118" s="8">
        <v>0.622</v>
      </c>
      <c r="O118" s="15">
        <v>27.83</v>
      </c>
      <c r="P118" s="90">
        <v>45405368.886502981</v>
      </c>
      <c r="Q118" s="91">
        <v>102327402.59373324</v>
      </c>
      <c r="R118" s="15">
        <v>5.9</v>
      </c>
      <c r="S118" s="8">
        <v>4.3</v>
      </c>
      <c r="T118" s="8">
        <v>4</v>
      </c>
      <c r="U118" s="14">
        <v>99.969400244797995</v>
      </c>
      <c r="V118" s="20">
        <v>47427.57</v>
      </c>
      <c r="W118" s="48">
        <v>33.909999999999997</v>
      </c>
      <c r="X118" s="8">
        <v>29.55</v>
      </c>
      <c r="Y118" s="16">
        <v>53.421645997745202</v>
      </c>
      <c r="Z118" s="8">
        <v>0.69</v>
      </c>
      <c r="AA118" s="17">
        <v>1.9208605455000001</v>
      </c>
      <c r="AB118" s="34">
        <v>7.7657647769000002</v>
      </c>
      <c r="AC118" s="34">
        <v>0</v>
      </c>
      <c r="AD118" s="42">
        <v>1</v>
      </c>
      <c r="AE118" s="43">
        <v>0.55012545953200676</v>
      </c>
      <c r="AF118" s="34">
        <v>1</v>
      </c>
      <c r="AG118" s="44">
        <v>0.375</v>
      </c>
      <c r="AH118" s="8">
        <v>0.184</v>
      </c>
      <c r="AI118" s="17">
        <v>0.46899999999999997</v>
      </c>
      <c r="AJ118" s="8">
        <v>0.47199999999999998</v>
      </c>
      <c r="AK118" s="45">
        <v>0.55100000000000005</v>
      </c>
      <c r="AL118" s="85">
        <v>7.5664679456389689E-2</v>
      </c>
      <c r="AM118" s="44">
        <v>23.688663282571898</v>
      </c>
      <c r="AN118" s="8">
        <v>0.78595890410958935</v>
      </c>
      <c r="AO118" s="44">
        <v>0.78595890410958924</v>
      </c>
      <c r="AP118" s="85">
        <v>0.13027999886983302</v>
      </c>
      <c r="AQ118" s="45">
        <v>692.22727658011479</v>
      </c>
      <c r="AR118" s="8">
        <v>1500.2966688328202</v>
      </c>
      <c r="AS118" s="45">
        <v>110.19128076173254</v>
      </c>
      <c r="AT118" s="8">
        <v>169.52504732574238</v>
      </c>
      <c r="AU118" s="45"/>
      <c r="AV118" s="45"/>
      <c r="AW118" s="8"/>
      <c r="AX118" s="45"/>
      <c r="AY118" s="8"/>
      <c r="AZ118" s="45"/>
      <c r="BA118" s="8"/>
      <c r="BB118" s="45"/>
      <c r="BC118" s="8"/>
      <c r="BD118" s="45"/>
      <c r="BE118" s="8"/>
      <c r="BF118" s="45"/>
      <c r="BG118" s="8"/>
      <c r="BH118" s="45"/>
      <c r="BI118" s="8"/>
      <c r="BJ118" s="45"/>
      <c r="BK118" s="8"/>
      <c r="BL118" s="45"/>
      <c r="BM118" s="8"/>
      <c r="BN118" s="8"/>
      <c r="BO118" s="45"/>
      <c r="BP118" s="8"/>
      <c r="BQ118" s="45"/>
      <c r="BR118" s="8"/>
      <c r="BS118" s="45"/>
      <c r="BT118" s="8"/>
      <c r="BU118" s="45"/>
      <c r="BV118" s="8"/>
      <c r="BW118" s="45"/>
      <c r="BX118" s="8"/>
      <c r="BY118" s="45"/>
      <c r="BZ118" s="8"/>
      <c r="CA118" s="45"/>
      <c r="CB118" s="8"/>
      <c r="CC118" s="45"/>
      <c r="CD118" s="8"/>
      <c r="CE118" s="45"/>
      <c r="CF118" s="8"/>
      <c r="CG118" s="45"/>
      <c r="CH118" s="8"/>
      <c r="CI118" s="45"/>
      <c r="CJ118" s="8"/>
      <c r="CK118" s="45"/>
      <c r="CL118" s="8"/>
      <c r="CM118" s="45"/>
      <c r="CN118" s="8"/>
      <c r="CO118" s="45"/>
      <c r="CP118" s="8"/>
      <c r="CQ118" s="45"/>
      <c r="CR118" s="8"/>
      <c r="CS118" s="45"/>
      <c r="CT118" s="8"/>
      <c r="CU118" s="45"/>
      <c r="CV118" s="8"/>
      <c r="CW118" s="45"/>
      <c r="CX118" s="8"/>
      <c r="CY118" s="45"/>
      <c r="CZ118" s="8"/>
      <c r="DA118" s="45"/>
      <c r="DB118" s="8"/>
      <c r="DC118" s="45"/>
      <c r="DD118" s="8"/>
      <c r="DE118" s="45"/>
      <c r="DF118" s="8"/>
      <c r="DG118" s="45"/>
      <c r="DH118" s="8"/>
      <c r="DI118" s="45"/>
      <c r="DJ118" s="8"/>
      <c r="DK118" s="45"/>
      <c r="DL118" s="8"/>
      <c r="DM118" s="45"/>
      <c r="DN118" s="8"/>
      <c r="DO118" s="45"/>
      <c r="DP118" s="8"/>
      <c r="DQ118" s="45"/>
      <c r="DR118" s="8"/>
    </row>
    <row r="119" spans="1:122" s="38" customFormat="1" x14ac:dyDescent="0.3">
      <c r="A119" s="21" t="s">
        <v>203</v>
      </c>
      <c r="B119" s="8">
        <v>2308500</v>
      </c>
      <c r="C119" s="61">
        <v>784</v>
      </c>
      <c r="D119" s="14">
        <v>1790.0769459095372</v>
      </c>
      <c r="E119" s="18">
        <v>29</v>
      </c>
      <c r="F119" s="18">
        <v>66.214580907368088</v>
      </c>
      <c r="G119" s="7">
        <v>3.6989795918367346E-2</v>
      </c>
      <c r="H119" s="63">
        <v>43797</v>
      </c>
      <c r="I119" s="19">
        <v>9430839.6922163609</v>
      </c>
      <c r="J119" s="6">
        <v>86210014.384546891</v>
      </c>
      <c r="K119" s="5">
        <v>2115.748</v>
      </c>
      <c r="L119" s="4">
        <v>20.700480397476447</v>
      </c>
      <c r="M119" s="6">
        <v>7369.18</v>
      </c>
      <c r="N119" s="8">
        <v>0.58199999999999996</v>
      </c>
      <c r="O119" s="15">
        <v>18.350000000000001</v>
      </c>
      <c r="P119" s="90">
        <v>45939374.203712575</v>
      </c>
      <c r="Q119" s="91">
        <v>88073276.913943887</v>
      </c>
      <c r="R119" s="15">
        <v>6.8</v>
      </c>
      <c r="S119" s="8">
        <v>5.5</v>
      </c>
      <c r="T119" s="8">
        <v>4.4000000000000004</v>
      </c>
      <c r="U119" s="14">
        <v>97.577066090919999</v>
      </c>
      <c r="V119" s="20">
        <v>29261.3</v>
      </c>
      <c r="W119" s="48">
        <v>20.55</v>
      </c>
      <c r="X119" s="8">
        <v>32.65</v>
      </c>
      <c r="Y119" s="16">
        <v>42.414154772219398</v>
      </c>
      <c r="Z119" s="8">
        <v>0.43</v>
      </c>
      <c r="AA119" s="17">
        <v>1.2101285476000001</v>
      </c>
      <c r="AB119" s="34">
        <v>7.1237756011000002</v>
      </c>
      <c r="AC119" s="34">
        <v>0</v>
      </c>
      <c r="AD119" s="42">
        <v>1</v>
      </c>
      <c r="AE119" s="43">
        <v>0.55924104005621922</v>
      </c>
      <c r="AF119" s="34">
        <v>1</v>
      </c>
      <c r="AG119" s="44">
        <v>0.503</v>
      </c>
      <c r="AH119" s="8">
        <v>0.36299999999999999</v>
      </c>
      <c r="AI119" s="17">
        <v>0.58099999999999996</v>
      </c>
      <c r="AJ119" s="8">
        <v>0.56499999999999995</v>
      </c>
      <c r="AK119" s="45">
        <v>0.48699999999999999</v>
      </c>
      <c r="AL119" s="85">
        <v>5.8725483480603698E-2</v>
      </c>
      <c r="AM119" s="44">
        <v>1.9646365422396901</v>
      </c>
      <c r="AN119" s="8">
        <v>0.93673469387755115</v>
      </c>
      <c r="AO119" s="44">
        <v>0.93673469387755137</v>
      </c>
      <c r="AP119" s="85">
        <v>0.16181473616914402</v>
      </c>
      <c r="AQ119" s="45">
        <v>408.70379249720304</v>
      </c>
      <c r="AR119" s="8">
        <v>913.3045642395598</v>
      </c>
      <c r="AS119" s="45">
        <v>77.630887960362585</v>
      </c>
      <c r="AT119" s="8">
        <v>13.699568463593396</v>
      </c>
      <c r="AU119" s="45"/>
      <c r="AV119" s="45"/>
      <c r="AW119" s="8"/>
      <c r="AX119" s="45"/>
      <c r="AY119" s="8"/>
      <c r="AZ119" s="45"/>
      <c r="BA119" s="8"/>
      <c r="BB119" s="45"/>
      <c r="BC119" s="8"/>
      <c r="BD119" s="45"/>
      <c r="BE119" s="8"/>
      <c r="BF119" s="45"/>
      <c r="BG119" s="8"/>
      <c r="BH119" s="45"/>
      <c r="BI119" s="8"/>
      <c r="BJ119" s="45"/>
      <c r="BK119" s="8"/>
      <c r="BL119" s="45"/>
      <c r="BM119" s="8"/>
      <c r="BN119" s="8"/>
      <c r="BO119" s="45"/>
      <c r="BP119" s="8"/>
      <c r="BQ119" s="45"/>
      <c r="BR119" s="8"/>
      <c r="BS119" s="45"/>
      <c r="BT119" s="8"/>
      <c r="BU119" s="45"/>
      <c r="BV119" s="8"/>
      <c r="BW119" s="45"/>
      <c r="BX119" s="8"/>
      <c r="BY119" s="45"/>
      <c r="BZ119" s="8"/>
      <c r="CA119" s="45"/>
      <c r="CB119" s="8"/>
      <c r="CC119" s="45"/>
      <c r="CD119" s="8"/>
      <c r="CE119" s="45"/>
      <c r="CF119" s="8"/>
      <c r="CG119" s="45"/>
      <c r="CH119" s="8"/>
      <c r="CI119" s="45"/>
      <c r="CJ119" s="8"/>
      <c r="CK119" s="45"/>
      <c r="CL119" s="8"/>
      <c r="CM119" s="45"/>
      <c r="CN119" s="8"/>
      <c r="CO119" s="45"/>
      <c r="CP119" s="8"/>
      <c r="CQ119" s="45"/>
      <c r="CR119" s="8"/>
      <c r="CS119" s="45"/>
      <c r="CT119" s="8"/>
      <c r="CU119" s="45"/>
      <c r="CV119" s="8"/>
      <c r="CW119" s="45"/>
      <c r="CX119" s="8"/>
      <c r="CY119" s="45"/>
      <c r="CZ119" s="8"/>
      <c r="DA119" s="45"/>
      <c r="DB119" s="8"/>
      <c r="DC119" s="45"/>
      <c r="DD119" s="8"/>
      <c r="DE119" s="45"/>
      <c r="DF119" s="8"/>
      <c r="DG119" s="45"/>
      <c r="DH119" s="8"/>
      <c r="DI119" s="45"/>
      <c r="DJ119" s="8"/>
      <c r="DK119" s="45"/>
      <c r="DL119" s="8"/>
      <c r="DM119" s="45"/>
      <c r="DN119" s="8"/>
      <c r="DO119" s="45"/>
      <c r="DP119" s="8"/>
      <c r="DQ119" s="45"/>
      <c r="DR119" s="8"/>
    </row>
    <row r="120" spans="1:122" s="38" customFormat="1" x14ac:dyDescent="0.3">
      <c r="A120" s="21" t="s">
        <v>204</v>
      </c>
      <c r="B120" s="8">
        <v>2308609</v>
      </c>
      <c r="C120" s="61">
        <v>138</v>
      </c>
      <c r="D120" s="14">
        <v>800.74271788325404</v>
      </c>
      <c r="E120" s="18">
        <v>5</v>
      </c>
      <c r="F120" s="18">
        <v>29.012417314610655</v>
      </c>
      <c r="G120" s="7">
        <v>3.6231884057971016E-2</v>
      </c>
      <c r="H120" s="63">
        <v>17234</v>
      </c>
      <c r="I120" s="19">
        <v>2502256.5277938959</v>
      </c>
      <c r="J120" s="6">
        <v>105844261.34385517</v>
      </c>
      <c r="K120" s="5">
        <v>892.53800000000001</v>
      </c>
      <c r="L120" s="4">
        <v>19.30898180245547</v>
      </c>
      <c r="M120" s="6">
        <v>7436.65</v>
      </c>
      <c r="N120" s="8">
        <v>0.61</v>
      </c>
      <c r="O120" s="15">
        <v>19.21</v>
      </c>
      <c r="P120" s="90">
        <v>59894527.909945451</v>
      </c>
      <c r="Q120" s="91">
        <v>127059876.98735057</v>
      </c>
      <c r="R120" s="15">
        <v>6</v>
      </c>
      <c r="S120" s="8">
        <v>4.7</v>
      </c>
      <c r="T120" s="8">
        <v>4.4000000000000004</v>
      </c>
      <c r="U120" s="14">
        <v>98.107221006564501</v>
      </c>
      <c r="V120" s="20">
        <v>10680.54</v>
      </c>
      <c r="W120" s="48">
        <v>23.21</v>
      </c>
      <c r="X120" s="8">
        <v>28.21</v>
      </c>
      <c r="Y120" s="16">
        <v>56.698939068931502</v>
      </c>
      <c r="Z120" s="8">
        <v>0.87</v>
      </c>
      <c r="AA120" s="17">
        <v>2.9012417314999999</v>
      </c>
      <c r="AB120" s="34">
        <v>12.2432401068</v>
      </c>
      <c r="AC120" s="34">
        <v>0</v>
      </c>
      <c r="AD120" s="42">
        <v>1</v>
      </c>
      <c r="AE120" s="43">
        <v>0.43956899131996408</v>
      </c>
      <c r="AF120" s="34">
        <v>0</v>
      </c>
      <c r="AG120" s="44">
        <v>0.42499999999999999</v>
      </c>
      <c r="AH120" s="8">
        <v>0.191</v>
      </c>
      <c r="AI120" s="17">
        <v>0.505</v>
      </c>
      <c r="AJ120" s="8">
        <v>0.57899999999999996</v>
      </c>
      <c r="AK120" s="45">
        <v>0.52800000000000002</v>
      </c>
      <c r="AL120" s="85">
        <v>7.3517465475223392E-2</v>
      </c>
      <c r="AM120" s="44">
        <v>4.0650406504065</v>
      </c>
      <c r="AN120" s="8">
        <v>0.93415178571428581</v>
      </c>
      <c r="AO120" s="44">
        <v>0.93415178571428581</v>
      </c>
      <c r="AP120" s="85">
        <v>0.15869792271092029</v>
      </c>
      <c r="AQ120" s="45">
        <v>301.72914007195078</v>
      </c>
      <c r="AR120" s="8">
        <v>969.0147383079958</v>
      </c>
      <c r="AS120" s="45">
        <v>40.617384240454911</v>
      </c>
      <c r="AT120" s="8">
        <v>81.234768480909821</v>
      </c>
      <c r="AU120" s="45"/>
      <c r="AV120" s="45"/>
      <c r="AW120" s="8"/>
      <c r="AX120" s="45"/>
      <c r="AY120" s="8"/>
      <c r="AZ120" s="45"/>
      <c r="BA120" s="8"/>
      <c r="BB120" s="45"/>
      <c r="BC120" s="8"/>
      <c r="BD120" s="45"/>
      <c r="BE120" s="8"/>
      <c r="BF120" s="45"/>
      <c r="BG120" s="8"/>
      <c r="BH120" s="45"/>
      <c r="BI120" s="8"/>
      <c r="BJ120" s="45"/>
      <c r="BK120" s="8"/>
      <c r="BL120" s="45"/>
      <c r="BM120" s="8"/>
      <c r="BN120" s="8"/>
      <c r="BO120" s="45"/>
      <c r="BP120" s="8"/>
      <c r="BQ120" s="45"/>
      <c r="BR120" s="8"/>
      <c r="BS120" s="45"/>
      <c r="BT120" s="8"/>
      <c r="BU120" s="45"/>
      <c r="BV120" s="8"/>
      <c r="BW120" s="45"/>
      <c r="BX120" s="8"/>
      <c r="BY120" s="45"/>
      <c r="BZ120" s="8"/>
      <c r="CA120" s="45"/>
      <c r="CB120" s="8"/>
      <c r="CC120" s="45"/>
      <c r="CD120" s="8"/>
      <c r="CE120" s="45"/>
      <c r="CF120" s="8"/>
      <c r="CG120" s="45"/>
      <c r="CH120" s="8"/>
      <c r="CI120" s="45"/>
      <c r="CJ120" s="8"/>
      <c r="CK120" s="45"/>
      <c r="CL120" s="8"/>
      <c r="CM120" s="45"/>
      <c r="CN120" s="8"/>
      <c r="CO120" s="45"/>
      <c r="CP120" s="8"/>
      <c r="CQ120" s="45"/>
      <c r="CR120" s="8"/>
      <c r="CS120" s="45"/>
      <c r="CT120" s="8"/>
      <c r="CU120" s="45"/>
      <c r="CV120" s="8"/>
      <c r="CW120" s="45"/>
      <c r="CX120" s="8"/>
      <c r="CY120" s="45"/>
      <c r="CZ120" s="8"/>
      <c r="DA120" s="45"/>
      <c r="DB120" s="8"/>
      <c r="DC120" s="45"/>
      <c r="DD120" s="8"/>
      <c r="DE120" s="45"/>
      <c r="DF120" s="8"/>
      <c r="DG120" s="45"/>
      <c r="DH120" s="8"/>
      <c r="DI120" s="45"/>
      <c r="DJ120" s="8"/>
      <c r="DK120" s="45"/>
      <c r="DL120" s="8"/>
      <c r="DM120" s="45"/>
      <c r="DN120" s="8"/>
      <c r="DO120" s="45"/>
      <c r="DP120" s="8"/>
      <c r="DQ120" s="45"/>
      <c r="DR120" s="8"/>
    </row>
    <row r="121" spans="1:122" s="38" customFormat="1" x14ac:dyDescent="0.3">
      <c r="A121" s="21" t="s">
        <v>205</v>
      </c>
      <c r="B121" s="8">
        <v>2308708</v>
      </c>
      <c r="C121" s="61">
        <v>1414</v>
      </c>
      <c r="D121" s="14">
        <v>2284.6986589109711</v>
      </c>
      <c r="E121" s="18">
        <v>35</v>
      </c>
      <c r="F121" s="18">
        <v>56.551947002746815</v>
      </c>
      <c r="G121" s="7">
        <v>2.4752475247524754E-2</v>
      </c>
      <c r="H121" s="63">
        <v>61890</v>
      </c>
      <c r="I121" s="19">
        <v>11356559.767329132</v>
      </c>
      <c r="J121" s="6">
        <v>106984003.87784779</v>
      </c>
      <c r="K121" s="5">
        <v>2763.971</v>
      </c>
      <c r="L121" s="4">
        <v>22.39169658437082</v>
      </c>
      <c r="M121" s="6">
        <v>15430.56</v>
      </c>
      <c r="N121" s="8">
        <v>0.61</v>
      </c>
      <c r="O121" s="15">
        <v>32.67</v>
      </c>
      <c r="P121" s="90">
        <v>50123518.839877196</v>
      </c>
      <c r="Q121" s="91">
        <v>75747256.099531427</v>
      </c>
      <c r="R121" s="15">
        <v>5.7</v>
      </c>
      <c r="S121" s="8">
        <v>4.4000000000000004</v>
      </c>
      <c r="T121" s="8">
        <v>4.5</v>
      </c>
      <c r="U121" s="14">
        <v>98.018216750871701</v>
      </c>
      <c r="V121" s="20">
        <v>74555.08</v>
      </c>
      <c r="W121" s="48">
        <v>40.39</v>
      </c>
      <c r="X121" s="8">
        <v>28.74</v>
      </c>
      <c r="Y121" s="16">
        <v>47.546081829667301</v>
      </c>
      <c r="Z121" s="8">
        <v>0.55000000000000004</v>
      </c>
      <c r="AA121" s="17">
        <v>1.9550815963999999</v>
      </c>
      <c r="AB121" s="34">
        <v>7.5941185974999996</v>
      </c>
      <c r="AC121" s="34">
        <v>0</v>
      </c>
      <c r="AD121" s="42">
        <v>1</v>
      </c>
      <c r="AE121" s="43">
        <v>0.42961411423507612</v>
      </c>
      <c r="AF121" s="34">
        <v>0</v>
      </c>
      <c r="AG121" s="44">
        <v>0.45</v>
      </c>
      <c r="AH121" s="8">
        <v>0.32800000000000001</v>
      </c>
      <c r="AI121" s="17">
        <v>0.51800000000000002</v>
      </c>
      <c r="AJ121" s="8">
        <v>0.503</v>
      </c>
      <c r="AK121" s="45">
        <v>0.54300000000000004</v>
      </c>
      <c r="AL121" s="85">
        <v>0.12654709969300371</v>
      </c>
      <c r="AM121" s="44">
        <v>9.1145833333333304</v>
      </c>
      <c r="AN121" s="8">
        <v>0.83278145695364247</v>
      </c>
      <c r="AO121" s="44">
        <v>0.83278145695364247</v>
      </c>
      <c r="AP121" s="85">
        <v>0.15632573921473583</v>
      </c>
      <c r="AQ121" s="45">
        <v>449.18403619324607</v>
      </c>
      <c r="AR121" s="8">
        <v>665.69720471804817</v>
      </c>
      <c r="AS121" s="45">
        <v>54.936177088382614</v>
      </c>
      <c r="AT121" s="8">
        <v>16.157699143641945</v>
      </c>
      <c r="AU121" s="45"/>
      <c r="AV121" s="45"/>
      <c r="AW121" s="8"/>
      <c r="AX121" s="45"/>
      <c r="AY121" s="8"/>
      <c r="AZ121" s="45"/>
      <c r="BA121" s="8"/>
      <c r="BB121" s="45"/>
      <c r="BC121" s="8"/>
      <c r="BD121" s="45"/>
      <c r="BE121" s="8"/>
      <c r="BF121" s="45"/>
      <c r="BG121" s="8"/>
      <c r="BH121" s="45"/>
      <c r="BI121" s="8"/>
      <c r="BJ121" s="45"/>
      <c r="BK121" s="8"/>
      <c r="BL121" s="45"/>
      <c r="BM121" s="8"/>
      <c r="BN121" s="8"/>
      <c r="BO121" s="45"/>
      <c r="BP121" s="8"/>
      <c r="BQ121" s="45"/>
      <c r="BR121" s="8"/>
      <c r="BS121" s="45"/>
      <c r="BT121" s="8"/>
      <c r="BU121" s="45"/>
      <c r="BV121" s="8"/>
      <c r="BW121" s="45"/>
      <c r="BX121" s="8"/>
      <c r="BY121" s="45"/>
      <c r="BZ121" s="8"/>
      <c r="CA121" s="45"/>
      <c r="CB121" s="8"/>
      <c r="CC121" s="45"/>
      <c r="CD121" s="8"/>
      <c r="CE121" s="45"/>
      <c r="CF121" s="8"/>
      <c r="CG121" s="45"/>
      <c r="CH121" s="8"/>
      <c r="CI121" s="45"/>
      <c r="CJ121" s="8"/>
      <c r="CK121" s="45"/>
      <c r="CL121" s="8"/>
      <c r="CM121" s="45"/>
      <c r="CN121" s="8"/>
      <c r="CO121" s="45"/>
      <c r="CP121" s="8"/>
      <c r="CQ121" s="45"/>
      <c r="CR121" s="8"/>
      <c r="CS121" s="45"/>
      <c r="CT121" s="8"/>
      <c r="CU121" s="45"/>
      <c r="CV121" s="8"/>
      <c r="CW121" s="45"/>
      <c r="CX121" s="8"/>
      <c r="CY121" s="45"/>
      <c r="CZ121" s="8"/>
      <c r="DA121" s="45"/>
      <c r="DB121" s="8"/>
      <c r="DC121" s="45"/>
      <c r="DD121" s="8"/>
      <c r="DE121" s="45"/>
      <c r="DF121" s="8"/>
      <c r="DG121" s="45"/>
      <c r="DH121" s="8"/>
      <c r="DI121" s="45"/>
      <c r="DJ121" s="8"/>
      <c r="DK121" s="45"/>
      <c r="DL121" s="8"/>
      <c r="DM121" s="45"/>
      <c r="DN121" s="8"/>
      <c r="DO121" s="45"/>
      <c r="DP121" s="8"/>
      <c r="DQ121" s="45"/>
      <c r="DR121" s="8"/>
    </row>
    <row r="122" spans="1:122" s="38" customFormat="1" x14ac:dyDescent="0.3">
      <c r="A122" s="21" t="s">
        <v>206</v>
      </c>
      <c r="B122" s="8">
        <v>2308807</v>
      </c>
      <c r="C122" s="61">
        <v>443</v>
      </c>
      <c r="D122" s="14">
        <v>5077.9458963778088</v>
      </c>
      <c r="E122" s="18">
        <v>7</v>
      </c>
      <c r="F122" s="18">
        <v>80.238422741861541</v>
      </c>
      <c r="G122" s="7">
        <v>1.580135440180587E-2</v>
      </c>
      <c r="H122" s="63">
        <v>8724</v>
      </c>
      <c r="I122" s="19">
        <v>10697451.398441082</v>
      </c>
      <c r="J122" s="6">
        <v>98982118.294360384</v>
      </c>
      <c r="K122" s="5">
        <v>414.44600000000003</v>
      </c>
      <c r="L122" s="4">
        <v>21.049786944499402</v>
      </c>
      <c r="M122" s="6">
        <v>7141.58</v>
      </c>
      <c r="N122" s="8">
        <v>0.58099999999999996</v>
      </c>
      <c r="O122" s="15">
        <v>21.11</v>
      </c>
      <c r="P122" s="90">
        <v>51134059.1471802</v>
      </c>
      <c r="Q122" s="91">
        <v>107333036.79504816</v>
      </c>
      <c r="R122" s="15">
        <v>6.4</v>
      </c>
      <c r="S122" s="8">
        <v>4.9000000000000004</v>
      </c>
      <c r="T122" s="8">
        <v>4.0999999999999996</v>
      </c>
      <c r="U122" s="14">
        <v>99.068644360124196</v>
      </c>
      <c r="V122" s="20">
        <v>6898.24</v>
      </c>
      <c r="W122" s="48">
        <v>0</v>
      </c>
      <c r="X122" s="8">
        <v>29.73</v>
      </c>
      <c r="Y122" s="16">
        <v>55.029046588449702</v>
      </c>
      <c r="Z122" s="8">
        <v>1.03</v>
      </c>
      <c r="AA122" s="17">
        <v>1.3755158184</v>
      </c>
      <c r="AB122" s="34">
        <v>10.0871160018</v>
      </c>
      <c r="AC122" s="34">
        <v>0</v>
      </c>
      <c r="AD122" s="42">
        <v>0</v>
      </c>
      <c r="AE122" s="43">
        <v>0.55340768277571251</v>
      </c>
      <c r="AF122" s="34">
        <v>0</v>
      </c>
      <c r="AG122" s="44">
        <v>0.39500000000000002</v>
      </c>
      <c r="AH122" s="8">
        <v>0.16500000000000001</v>
      </c>
      <c r="AI122" s="17">
        <v>0.45600000000000002</v>
      </c>
      <c r="AJ122" s="8">
        <v>0.56299999999999994</v>
      </c>
      <c r="AK122" s="45">
        <v>0.438</v>
      </c>
      <c r="AL122" s="85">
        <v>6.728564878496103E-2</v>
      </c>
      <c r="AM122" s="44">
        <v>7.19424460431655</v>
      </c>
      <c r="AN122" s="8">
        <v>0.63073394495412816</v>
      </c>
      <c r="AO122" s="44">
        <v>0.63073394495412827</v>
      </c>
      <c r="AP122" s="85">
        <v>0.11519944979367262</v>
      </c>
      <c r="AQ122" s="45">
        <v>286.56579550664833</v>
      </c>
      <c r="AR122" s="8">
        <v>366.80421824850987</v>
      </c>
      <c r="AS122" s="45">
        <v>34.3878954607978</v>
      </c>
      <c r="AT122" s="8">
        <v>11.462631820265933</v>
      </c>
      <c r="AU122" s="45"/>
      <c r="AV122" s="45"/>
      <c r="AW122" s="8"/>
      <c r="AX122" s="45"/>
      <c r="AY122" s="8"/>
      <c r="AZ122" s="45"/>
      <c r="BA122" s="8"/>
      <c r="BB122" s="45"/>
      <c r="BC122" s="8"/>
      <c r="BD122" s="45"/>
      <c r="BE122" s="8"/>
      <c r="BF122" s="45"/>
      <c r="BG122" s="8"/>
      <c r="BH122" s="45"/>
      <c r="BI122" s="8"/>
      <c r="BJ122" s="45"/>
      <c r="BK122" s="8"/>
      <c r="BL122" s="45"/>
      <c r="BM122" s="8"/>
      <c r="BN122" s="8"/>
      <c r="BO122" s="45"/>
      <c r="BP122" s="8"/>
      <c r="BQ122" s="45"/>
      <c r="BR122" s="8"/>
      <c r="BS122" s="45"/>
      <c r="BT122" s="8"/>
      <c r="BU122" s="45"/>
      <c r="BV122" s="8"/>
      <c r="BW122" s="45"/>
      <c r="BX122" s="8"/>
      <c r="BY122" s="45"/>
      <c r="BZ122" s="8"/>
      <c r="CA122" s="45"/>
      <c r="CB122" s="8"/>
      <c r="CC122" s="45"/>
      <c r="CD122" s="8"/>
      <c r="CE122" s="45"/>
      <c r="CF122" s="8"/>
      <c r="CG122" s="45"/>
      <c r="CH122" s="8"/>
      <c r="CI122" s="45"/>
      <c r="CJ122" s="8"/>
      <c r="CK122" s="45"/>
      <c r="CL122" s="8"/>
      <c r="CM122" s="45"/>
      <c r="CN122" s="8"/>
      <c r="CO122" s="45"/>
      <c r="CP122" s="8"/>
      <c r="CQ122" s="45"/>
      <c r="CR122" s="8"/>
      <c r="CS122" s="45"/>
      <c r="CT122" s="8"/>
      <c r="CU122" s="45"/>
      <c r="CV122" s="8"/>
      <c r="CW122" s="45"/>
      <c r="CX122" s="8"/>
      <c r="CY122" s="45"/>
      <c r="CZ122" s="8"/>
      <c r="DA122" s="45"/>
      <c r="DB122" s="8"/>
      <c r="DC122" s="45"/>
      <c r="DD122" s="8"/>
      <c r="DE122" s="45"/>
      <c r="DF122" s="8"/>
      <c r="DG122" s="45"/>
      <c r="DH122" s="8"/>
      <c r="DI122" s="45"/>
      <c r="DJ122" s="8"/>
      <c r="DK122" s="45"/>
      <c r="DL122" s="8"/>
      <c r="DM122" s="45"/>
      <c r="DN122" s="8"/>
      <c r="DO122" s="45"/>
      <c r="DP122" s="8"/>
      <c r="DQ122" s="45"/>
      <c r="DR122" s="8"/>
    </row>
    <row r="123" spans="1:122" s="38" customFormat="1" x14ac:dyDescent="0.3">
      <c r="A123" s="21" t="s">
        <v>207</v>
      </c>
      <c r="B123" s="8">
        <v>2308906</v>
      </c>
      <c r="C123" s="61">
        <v>407</v>
      </c>
      <c r="D123" s="14">
        <v>1806.1595810774829</v>
      </c>
      <c r="E123" s="18">
        <v>9</v>
      </c>
      <c r="F123" s="18">
        <v>39.939646756013133</v>
      </c>
      <c r="G123" s="7">
        <v>2.2113022113022112E-2</v>
      </c>
      <c r="H123" s="63">
        <v>22534</v>
      </c>
      <c r="I123" s="19">
        <v>2106359.9005946573</v>
      </c>
      <c r="J123" s="6">
        <v>92521523.031862959</v>
      </c>
      <c r="K123" s="5">
        <v>411.58600000000001</v>
      </c>
      <c r="L123" s="4">
        <v>54.749189719766946</v>
      </c>
      <c r="M123" s="6">
        <v>6198.22</v>
      </c>
      <c r="N123" s="8">
        <v>0.58799999999999997</v>
      </c>
      <c r="O123" s="15">
        <v>21.01</v>
      </c>
      <c r="P123" s="90">
        <v>49904112.452294305</v>
      </c>
      <c r="Q123" s="91">
        <v>81806776.249223396</v>
      </c>
      <c r="R123" s="15">
        <v>6.7</v>
      </c>
      <c r="S123" s="8">
        <v>5.6</v>
      </c>
      <c r="T123" s="8">
        <v>4.2</v>
      </c>
      <c r="U123" s="14">
        <v>98.497652582159603</v>
      </c>
      <c r="V123" s="20">
        <v>14297.77</v>
      </c>
      <c r="W123" s="48">
        <v>0</v>
      </c>
      <c r="X123" s="8">
        <v>30.95</v>
      </c>
      <c r="Y123" s="16">
        <v>47.097200793475899</v>
      </c>
      <c r="Z123" s="8">
        <v>0.62</v>
      </c>
      <c r="AA123" s="17">
        <v>0.93192509099999998</v>
      </c>
      <c r="AB123" s="34">
        <v>7.4110233425000001</v>
      </c>
      <c r="AC123" s="34">
        <v>0</v>
      </c>
      <c r="AD123" s="42">
        <v>0</v>
      </c>
      <c r="AE123" s="43">
        <v>0.53565217391304343</v>
      </c>
      <c r="AF123" s="34">
        <v>1</v>
      </c>
      <c r="AG123" s="44">
        <v>0.41399999999999998</v>
      </c>
      <c r="AH123" s="8">
        <v>0.11799999999999999</v>
      </c>
      <c r="AI123" s="17">
        <v>0.57999999999999996</v>
      </c>
      <c r="AJ123" s="8">
        <v>0.54300000000000004</v>
      </c>
      <c r="AK123" s="45">
        <v>0.48699999999999999</v>
      </c>
      <c r="AL123" s="85">
        <v>3.2484246028224015E-2</v>
      </c>
      <c r="AM123" s="44">
        <v>21.9435736677116</v>
      </c>
      <c r="AN123" s="8">
        <v>0.92619047619047623</v>
      </c>
      <c r="AO123" s="44">
        <v>0.92619047619047634</v>
      </c>
      <c r="AP123" s="85">
        <v>0.10992278334960504</v>
      </c>
      <c r="AQ123" s="45">
        <v>199.69823378006569</v>
      </c>
      <c r="AR123" s="8">
        <v>399.39646756013138</v>
      </c>
      <c r="AS123" s="45">
        <v>8.8754770568918087</v>
      </c>
      <c r="AT123" s="8">
        <v>0</v>
      </c>
      <c r="AU123" s="45"/>
      <c r="AV123" s="45"/>
      <c r="AW123" s="8"/>
      <c r="AX123" s="45"/>
      <c r="AY123" s="8"/>
      <c r="AZ123" s="45"/>
      <c r="BA123" s="8"/>
      <c r="BB123" s="45"/>
      <c r="BC123" s="8"/>
      <c r="BD123" s="45"/>
      <c r="BE123" s="8"/>
      <c r="BF123" s="45"/>
      <c r="BG123" s="8"/>
      <c r="BH123" s="45"/>
      <c r="BI123" s="8"/>
      <c r="BJ123" s="45"/>
      <c r="BK123" s="8"/>
      <c r="BL123" s="45"/>
      <c r="BM123" s="8"/>
      <c r="BN123" s="8"/>
      <c r="BO123" s="45"/>
      <c r="BP123" s="8"/>
      <c r="BQ123" s="45"/>
      <c r="BR123" s="8"/>
      <c r="BS123" s="45"/>
      <c r="BT123" s="8"/>
      <c r="BU123" s="45"/>
      <c r="BV123" s="8"/>
      <c r="BW123" s="45"/>
      <c r="BX123" s="8"/>
      <c r="BY123" s="45"/>
      <c r="BZ123" s="8"/>
      <c r="CA123" s="45"/>
      <c r="CB123" s="8"/>
      <c r="CC123" s="45"/>
      <c r="CD123" s="8"/>
      <c r="CE123" s="45"/>
      <c r="CF123" s="8"/>
      <c r="CG123" s="45"/>
      <c r="CH123" s="8"/>
      <c r="CI123" s="45"/>
      <c r="CJ123" s="8"/>
      <c r="CK123" s="45"/>
      <c r="CL123" s="8"/>
      <c r="CM123" s="45"/>
      <c r="CN123" s="8"/>
      <c r="CO123" s="45"/>
      <c r="CP123" s="8"/>
      <c r="CQ123" s="45"/>
      <c r="CR123" s="8"/>
      <c r="CS123" s="45"/>
      <c r="CT123" s="8"/>
      <c r="CU123" s="45"/>
      <c r="CV123" s="8"/>
      <c r="CW123" s="45"/>
      <c r="CX123" s="8"/>
      <c r="CY123" s="45"/>
      <c r="CZ123" s="8"/>
      <c r="DA123" s="45"/>
      <c r="DB123" s="8"/>
      <c r="DC123" s="45"/>
      <c r="DD123" s="8"/>
      <c r="DE123" s="45"/>
      <c r="DF123" s="8"/>
      <c r="DG123" s="45"/>
      <c r="DH123" s="8"/>
      <c r="DI123" s="45"/>
      <c r="DJ123" s="8"/>
      <c r="DK123" s="45"/>
      <c r="DL123" s="8"/>
      <c r="DM123" s="45"/>
      <c r="DN123" s="8"/>
      <c r="DO123" s="45"/>
      <c r="DP123" s="8"/>
      <c r="DQ123" s="45"/>
      <c r="DR123" s="8"/>
    </row>
    <row r="124" spans="1:122" s="38" customFormat="1" x14ac:dyDescent="0.3">
      <c r="A124" s="21" t="s">
        <v>208</v>
      </c>
      <c r="B124" s="8">
        <v>2309003</v>
      </c>
      <c r="C124" s="61">
        <v>351</v>
      </c>
      <c r="D124" s="14">
        <v>2414.5284446584578</v>
      </c>
      <c r="E124" s="18">
        <v>7</v>
      </c>
      <c r="F124" s="18">
        <v>48.152988924812547</v>
      </c>
      <c r="G124" s="7">
        <v>1.9943019943019943E-2</v>
      </c>
      <c r="H124" s="63">
        <v>14537</v>
      </c>
      <c r="I124" s="19">
        <v>3773005.6407787027</v>
      </c>
      <c r="J124" s="6">
        <v>83753181.536768243</v>
      </c>
      <c r="K124" s="5">
        <v>192.19</v>
      </c>
      <c r="L124" s="4">
        <v>75.63869087881784</v>
      </c>
      <c r="M124" s="6">
        <v>6687.03</v>
      </c>
      <c r="N124" s="8">
        <v>0.60699999999999998</v>
      </c>
      <c r="O124" s="15">
        <v>20.82</v>
      </c>
      <c r="P124" s="90">
        <v>66956886.702896051</v>
      </c>
      <c r="Q124" s="91">
        <v>108035761.02359496</v>
      </c>
      <c r="R124" s="15">
        <v>9.4</v>
      </c>
      <c r="S124" s="8">
        <v>7</v>
      </c>
      <c r="T124" s="8">
        <v>3.9</v>
      </c>
      <c r="U124" s="14">
        <v>97.754827121688393</v>
      </c>
      <c r="V124" s="20">
        <v>11105.62</v>
      </c>
      <c r="W124" s="48">
        <v>6.88</v>
      </c>
      <c r="X124" s="8">
        <v>34.21</v>
      </c>
      <c r="Y124" s="16">
        <v>37.4596192178157</v>
      </c>
      <c r="Z124" s="8">
        <v>0.55000000000000004</v>
      </c>
      <c r="AA124" s="17">
        <v>2.7515993670999999</v>
      </c>
      <c r="AB124" s="34">
        <v>11.900667262800001</v>
      </c>
      <c r="AC124" s="34">
        <v>0</v>
      </c>
      <c r="AD124" s="42">
        <v>1</v>
      </c>
      <c r="AE124" s="43">
        <v>0.35711246631683446</v>
      </c>
      <c r="AF124" s="34">
        <v>0</v>
      </c>
      <c r="AG124" s="44">
        <v>0.40300000000000002</v>
      </c>
      <c r="AH124" s="8">
        <v>0.14899999999999999</v>
      </c>
      <c r="AI124" s="17">
        <v>0.497</v>
      </c>
      <c r="AJ124" s="8">
        <v>0.56299999999999994</v>
      </c>
      <c r="AK124" s="45">
        <v>0.42699999999999999</v>
      </c>
      <c r="AL124" s="85">
        <v>5.6476577010387288E-2</v>
      </c>
      <c r="AM124" s="44">
        <v>12.6582278481013</v>
      </c>
      <c r="AN124" s="8">
        <v>0.90462427745664709</v>
      </c>
      <c r="AO124" s="44">
        <v>0.90462427745664731</v>
      </c>
      <c r="AP124" s="85">
        <v>0.1703240008254798</v>
      </c>
      <c r="AQ124" s="45">
        <v>460.89289399463439</v>
      </c>
      <c r="AR124" s="8">
        <v>1093.7607484350278</v>
      </c>
      <c r="AS124" s="45">
        <v>123.82197152094655</v>
      </c>
      <c r="AT124" s="8">
        <v>6.8789984178303643</v>
      </c>
      <c r="AU124" s="45"/>
      <c r="AV124" s="45"/>
      <c r="AW124" s="8"/>
      <c r="AX124" s="45"/>
      <c r="AY124" s="8"/>
      <c r="AZ124" s="45"/>
      <c r="BA124" s="8"/>
      <c r="BB124" s="45"/>
      <c r="BC124" s="8"/>
      <c r="BD124" s="45"/>
      <c r="BE124" s="8"/>
      <c r="BF124" s="45"/>
      <c r="BG124" s="8"/>
      <c r="BH124" s="45"/>
      <c r="BI124" s="8"/>
      <c r="BJ124" s="45"/>
      <c r="BK124" s="8"/>
      <c r="BL124" s="45"/>
      <c r="BM124" s="8"/>
      <c r="BN124" s="8"/>
      <c r="BO124" s="45"/>
      <c r="BP124" s="8"/>
      <c r="BQ124" s="45"/>
      <c r="BR124" s="8"/>
      <c r="BS124" s="45"/>
      <c r="BT124" s="8"/>
      <c r="BU124" s="45"/>
      <c r="BV124" s="8"/>
      <c r="BW124" s="45"/>
      <c r="BX124" s="8"/>
      <c r="BY124" s="45"/>
      <c r="BZ124" s="8"/>
      <c r="CA124" s="45"/>
      <c r="CB124" s="8"/>
      <c r="CC124" s="45"/>
      <c r="CD124" s="8"/>
      <c r="CE124" s="45"/>
      <c r="CF124" s="8"/>
      <c r="CG124" s="45"/>
      <c r="CH124" s="8"/>
      <c r="CI124" s="45"/>
      <c r="CJ124" s="8"/>
      <c r="CK124" s="45"/>
      <c r="CL124" s="8"/>
      <c r="CM124" s="45"/>
      <c r="CN124" s="8"/>
      <c r="CO124" s="45"/>
      <c r="CP124" s="8"/>
      <c r="CQ124" s="45"/>
      <c r="CR124" s="8"/>
      <c r="CS124" s="45"/>
      <c r="CT124" s="8"/>
      <c r="CU124" s="45"/>
      <c r="CV124" s="8"/>
      <c r="CW124" s="45"/>
      <c r="CX124" s="8"/>
      <c r="CY124" s="45"/>
      <c r="CZ124" s="8"/>
      <c r="DA124" s="45"/>
      <c r="DB124" s="8"/>
      <c r="DC124" s="45"/>
      <c r="DD124" s="8"/>
      <c r="DE124" s="45"/>
      <c r="DF124" s="8"/>
      <c r="DG124" s="45"/>
      <c r="DH124" s="8"/>
      <c r="DI124" s="45"/>
      <c r="DJ124" s="8"/>
      <c r="DK124" s="45"/>
      <c r="DL124" s="8"/>
      <c r="DM124" s="45"/>
      <c r="DN124" s="8"/>
      <c r="DO124" s="45"/>
      <c r="DP124" s="8"/>
      <c r="DQ124" s="45"/>
      <c r="DR124" s="8"/>
    </row>
    <row r="125" spans="1:122" s="38" customFormat="1" x14ac:dyDescent="0.3">
      <c r="A125" s="21" t="s">
        <v>209</v>
      </c>
      <c r="B125" s="8">
        <v>2309102</v>
      </c>
      <c r="C125" s="61">
        <v>100</v>
      </c>
      <c r="D125" s="14">
        <v>923.95823708768353</v>
      </c>
      <c r="E125" s="18">
        <v>5</v>
      </c>
      <c r="F125" s="18">
        <v>46.197911854384181</v>
      </c>
      <c r="G125" s="7">
        <v>0.05</v>
      </c>
      <c r="H125" s="63">
        <v>10823</v>
      </c>
      <c r="I125" s="19">
        <v>6707301.4875727622</v>
      </c>
      <c r="J125" s="6">
        <v>97891527.302965909</v>
      </c>
      <c r="K125" s="5">
        <v>97.950999999999993</v>
      </c>
      <c r="L125" s="4">
        <v>110.49402252146483</v>
      </c>
      <c r="M125" s="6">
        <v>9079.8700000000008</v>
      </c>
      <c r="N125" s="8">
        <v>0.60699999999999998</v>
      </c>
      <c r="O125" s="15">
        <v>19.57</v>
      </c>
      <c r="P125" s="90">
        <v>83251231.451538384</v>
      </c>
      <c r="Q125" s="91">
        <v>152529223.32070592</v>
      </c>
      <c r="R125" s="15">
        <v>6.8</v>
      </c>
      <c r="S125" s="8">
        <v>4.8</v>
      </c>
      <c r="T125" s="8">
        <v>4.2</v>
      </c>
      <c r="U125" s="14">
        <v>97.977755308392304</v>
      </c>
      <c r="V125" s="20">
        <v>6911.71</v>
      </c>
      <c r="W125" s="48">
        <v>0</v>
      </c>
      <c r="X125" s="8">
        <v>34.380000000000003</v>
      </c>
      <c r="Y125" s="16">
        <v>55.104652225573503</v>
      </c>
      <c r="Z125" s="8">
        <v>0.83</v>
      </c>
      <c r="AA125" s="17">
        <v>0.83156241340000003</v>
      </c>
      <c r="AB125" s="34">
        <v>9.9787489605000008</v>
      </c>
      <c r="AC125" s="34">
        <v>0</v>
      </c>
      <c r="AD125" s="42">
        <v>0</v>
      </c>
      <c r="AE125" s="43">
        <v>0.63447975620374397</v>
      </c>
      <c r="AF125" s="34">
        <v>0</v>
      </c>
      <c r="AG125" s="44">
        <v>0.41299999999999998</v>
      </c>
      <c r="AH125" s="8">
        <v>0.26700000000000002</v>
      </c>
      <c r="AI125" s="17">
        <v>0.50900000000000001</v>
      </c>
      <c r="AJ125" s="8">
        <v>0.46200000000000002</v>
      </c>
      <c r="AK125" s="45">
        <v>0.5</v>
      </c>
      <c r="AL125" s="85">
        <v>8.056915827404601E-2</v>
      </c>
      <c r="AM125" s="44">
        <v>31.496062992125999</v>
      </c>
      <c r="AN125" s="8">
        <v>0.19656488549618331</v>
      </c>
      <c r="AO125" s="44">
        <v>0.19656488549618328</v>
      </c>
      <c r="AP125" s="85">
        <v>0.13240321537466507</v>
      </c>
      <c r="AQ125" s="45">
        <v>314.14580060981245</v>
      </c>
      <c r="AR125" s="8">
        <v>563.614524623487</v>
      </c>
      <c r="AS125" s="45">
        <v>55.43749422526102</v>
      </c>
      <c r="AT125" s="8">
        <v>46.197911854384181</v>
      </c>
      <c r="AU125" s="45"/>
      <c r="AV125" s="45"/>
      <c r="AW125" s="8"/>
      <c r="AX125" s="45"/>
      <c r="AY125" s="8"/>
      <c r="AZ125" s="45"/>
      <c r="BA125" s="8"/>
      <c r="BB125" s="45"/>
      <c r="BC125" s="8"/>
      <c r="BD125" s="45"/>
      <c r="BE125" s="8"/>
      <c r="BF125" s="45"/>
      <c r="BG125" s="8"/>
      <c r="BH125" s="45"/>
      <c r="BI125" s="8"/>
      <c r="BJ125" s="45"/>
      <c r="BK125" s="8"/>
      <c r="BL125" s="45"/>
      <c r="BM125" s="8"/>
      <c r="BN125" s="8"/>
      <c r="BO125" s="45"/>
      <c r="BP125" s="8"/>
      <c r="BQ125" s="45"/>
      <c r="BR125" s="8"/>
      <c r="BS125" s="45"/>
      <c r="BT125" s="8"/>
      <c r="BU125" s="45"/>
      <c r="BV125" s="8"/>
      <c r="BW125" s="45"/>
      <c r="BX125" s="8"/>
      <c r="BY125" s="45"/>
      <c r="BZ125" s="8"/>
      <c r="CA125" s="45"/>
      <c r="CB125" s="8"/>
      <c r="CC125" s="45"/>
      <c r="CD125" s="8"/>
      <c r="CE125" s="45"/>
      <c r="CF125" s="8"/>
      <c r="CG125" s="45"/>
      <c r="CH125" s="8"/>
      <c r="CI125" s="45"/>
      <c r="CJ125" s="8"/>
      <c r="CK125" s="45"/>
      <c r="CL125" s="8"/>
      <c r="CM125" s="45"/>
      <c r="CN125" s="8"/>
      <c r="CO125" s="45"/>
      <c r="CP125" s="8"/>
      <c r="CQ125" s="45"/>
      <c r="CR125" s="8"/>
      <c r="CS125" s="45"/>
      <c r="CT125" s="8"/>
      <c r="CU125" s="45"/>
      <c r="CV125" s="8"/>
      <c r="CW125" s="45"/>
      <c r="CX125" s="8"/>
      <c r="CY125" s="45"/>
      <c r="CZ125" s="8"/>
      <c r="DA125" s="45"/>
      <c r="DB125" s="8"/>
      <c r="DC125" s="45"/>
      <c r="DD125" s="8"/>
      <c r="DE125" s="45"/>
      <c r="DF125" s="8"/>
      <c r="DG125" s="45"/>
      <c r="DH125" s="8"/>
      <c r="DI125" s="45"/>
      <c r="DJ125" s="8"/>
      <c r="DK125" s="45"/>
      <c r="DL125" s="8"/>
      <c r="DM125" s="45"/>
      <c r="DN125" s="8"/>
      <c r="DO125" s="45"/>
      <c r="DP125" s="8"/>
      <c r="DQ125" s="45"/>
      <c r="DR125" s="8"/>
    </row>
    <row r="126" spans="1:122" s="38" customFormat="1" x14ac:dyDescent="0.3">
      <c r="A126" s="21" t="s">
        <v>210</v>
      </c>
      <c r="B126" s="8">
        <v>2309201</v>
      </c>
      <c r="C126" s="61">
        <v>50</v>
      </c>
      <c r="D126" s="14">
        <v>321.23353678123999</v>
      </c>
      <c r="E126" s="18">
        <v>3</v>
      </c>
      <c r="F126" s="18">
        <v>19.274012206874399</v>
      </c>
      <c r="G126" s="7">
        <v>0.06</v>
      </c>
      <c r="H126" s="63">
        <v>15565</v>
      </c>
      <c r="I126" s="19">
        <v>5381905.1718599424</v>
      </c>
      <c r="J126" s="6">
        <v>109865724.38162543</v>
      </c>
      <c r="K126" s="5">
        <v>282.584</v>
      </c>
      <c r="L126" s="4">
        <v>55.080967075276732</v>
      </c>
      <c r="M126" s="6">
        <v>8311.7999999999993</v>
      </c>
      <c r="N126" s="8">
        <v>0.625</v>
      </c>
      <c r="O126" s="15">
        <v>26</v>
      </c>
      <c r="P126" s="90">
        <v>79247443.109540626</v>
      </c>
      <c r="Q126" s="91">
        <v>90864068.294249922</v>
      </c>
      <c r="R126" s="15">
        <v>6</v>
      </c>
      <c r="S126" s="8">
        <v>5.0999999999999996</v>
      </c>
      <c r="T126" s="8">
        <v>4.9000000000000004</v>
      </c>
      <c r="U126" s="14">
        <v>99.717997784268306</v>
      </c>
      <c r="V126" s="20">
        <v>18927.93</v>
      </c>
      <c r="W126" s="48">
        <v>12.85</v>
      </c>
      <c r="X126" s="8">
        <v>35.71</v>
      </c>
      <c r="Y126" s="16">
        <v>58.008161183371598</v>
      </c>
      <c r="Z126" s="8">
        <v>0.9</v>
      </c>
      <c r="AA126" s="17">
        <v>1.2849341471</v>
      </c>
      <c r="AB126" s="34">
        <v>9.1872791519000003</v>
      </c>
      <c r="AC126" s="34">
        <v>0</v>
      </c>
      <c r="AD126" s="42">
        <v>1</v>
      </c>
      <c r="AE126" s="43">
        <v>0.31986531986531985</v>
      </c>
      <c r="AF126" s="34">
        <v>1</v>
      </c>
      <c r="AG126" s="44">
        <v>0.42099999999999999</v>
      </c>
      <c r="AH126" s="8">
        <v>0.26700000000000002</v>
      </c>
      <c r="AI126" s="17">
        <v>0.48699999999999999</v>
      </c>
      <c r="AJ126" s="8">
        <v>0.51</v>
      </c>
      <c r="AK126" s="45">
        <v>0.64700000000000002</v>
      </c>
      <c r="AL126" s="85">
        <v>9.4378413106328302E-2</v>
      </c>
      <c r="AM126" s="44">
        <v>21.978021978021999</v>
      </c>
      <c r="AN126" s="8">
        <v>0.56227106227106249</v>
      </c>
      <c r="AO126" s="44">
        <v>0.56227106227106249</v>
      </c>
      <c r="AP126" s="85">
        <v>0.11956312238997752</v>
      </c>
      <c r="AQ126" s="45">
        <v>591.06970767748146</v>
      </c>
      <c r="AR126" s="8">
        <v>578.22036620623192</v>
      </c>
      <c r="AS126" s="45">
        <v>57.822036620623194</v>
      </c>
      <c r="AT126" s="8">
        <v>0</v>
      </c>
      <c r="AU126" s="45"/>
      <c r="AV126" s="45"/>
      <c r="AW126" s="8"/>
      <c r="AX126" s="45"/>
      <c r="AY126" s="8"/>
      <c r="AZ126" s="45"/>
      <c r="BA126" s="8"/>
      <c r="BB126" s="45"/>
      <c r="BC126" s="8"/>
      <c r="BD126" s="45"/>
      <c r="BE126" s="8"/>
      <c r="BF126" s="45"/>
      <c r="BG126" s="8"/>
      <c r="BH126" s="45"/>
      <c r="BI126" s="8"/>
      <c r="BJ126" s="45"/>
      <c r="BK126" s="8"/>
      <c r="BL126" s="45"/>
      <c r="BM126" s="8"/>
      <c r="BN126" s="8"/>
      <c r="BO126" s="45"/>
      <c r="BP126" s="8"/>
      <c r="BQ126" s="45"/>
      <c r="BR126" s="8"/>
      <c r="BS126" s="45"/>
      <c r="BT126" s="8"/>
      <c r="BU126" s="45"/>
      <c r="BV126" s="8"/>
      <c r="BW126" s="45"/>
      <c r="BX126" s="8"/>
      <c r="BY126" s="45"/>
      <c r="BZ126" s="8"/>
      <c r="CA126" s="45"/>
      <c r="CB126" s="8"/>
      <c r="CC126" s="45"/>
      <c r="CD126" s="8"/>
      <c r="CE126" s="45"/>
      <c r="CF126" s="8"/>
      <c r="CG126" s="45"/>
      <c r="CH126" s="8"/>
      <c r="CI126" s="45"/>
      <c r="CJ126" s="8"/>
      <c r="CK126" s="45"/>
      <c r="CL126" s="8"/>
      <c r="CM126" s="45"/>
      <c r="CN126" s="8"/>
      <c r="CO126" s="45"/>
      <c r="CP126" s="8"/>
      <c r="CQ126" s="45"/>
      <c r="CR126" s="8"/>
      <c r="CS126" s="45"/>
      <c r="CT126" s="8"/>
      <c r="CU126" s="45"/>
      <c r="CV126" s="8"/>
      <c r="CW126" s="45"/>
      <c r="CX126" s="8"/>
      <c r="CY126" s="45"/>
      <c r="CZ126" s="8"/>
      <c r="DA126" s="45"/>
      <c r="DB126" s="8"/>
      <c r="DC126" s="45"/>
      <c r="DD126" s="8"/>
      <c r="DE126" s="45"/>
      <c r="DF126" s="8"/>
      <c r="DG126" s="45"/>
      <c r="DH126" s="8"/>
      <c r="DI126" s="45"/>
      <c r="DJ126" s="8"/>
      <c r="DK126" s="45"/>
      <c r="DL126" s="8"/>
      <c r="DM126" s="45"/>
      <c r="DN126" s="8"/>
      <c r="DO126" s="45"/>
      <c r="DP126" s="8"/>
      <c r="DQ126" s="45"/>
      <c r="DR126" s="8"/>
    </row>
    <row r="127" spans="1:122" s="38" customFormat="1" x14ac:dyDescent="0.3">
      <c r="A127" s="21" t="s">
        <v>211</v>
      </c>
      <c r="B127" s="8">
        <v>2309300</v>
      </c>
      <c r="C127" s="61">
        <v>289</v>
      </c>
      <c r="D127" s="14">
        <v>893.96189062113331</v>
      </c>
      <c r="E127" s="18">
        <v>14</v>
      </c>
      <c r="F127" s="18">
        <v>43.306112348428606</v>
      </c>
      <c r="G127" s="7">
        <v>4.8442906574394463E-2</v>
      </c>
      <c r="H127" s="63">
        <v>32328</v>
      </c>
      <c r="I127" s="19">
        <v>3904236.049245236</v>
      </c>
      <c r="J127" s="6">
        <v>87223459.539717898</v>
      </c>
      <c r="K127" s="5">
        <v>736.91099999999994</v>
      </c>
      <c r="L127" s="4">
        <v>43.869612476947694</v>
      </c>
      <c r="M127" s="6">
        <v>8305.82</v>
      </c>
      <c r="N127" s="8">
        <v>0.61399999999999999</v>
      </c>
      <c r="O127" s="15">
        <v>20.61</v>
      </c>
      <c r="P127" s="90">
        <v>62500092.953476861</v>
      </c>
      <c r="Q127" s="91">
        <v>78743652.87057659</v>
      </c>
      <c r="R127" s="15">
        <v>7.6</v>
      </c>
      <c r="S127" s="8">
        <v>5.0999999999999996</v>
      </c>
      <c r="T127" s="8">
        <v>4.5</v>
      </c>
      <c r="U127" s="14">
        <v>98.584168892023996</v>
      </c>
      <c r="V127" s="20">
        <v>27978.18</v>
      </c>
      <c r="W127" s="48">
        <v>6.19</v>
      </c>
      <c r="X127" s="8">
        <v>30.3</v>
      </c>
      <c r="Y127" s="16">
        <v>36.398420143174498</v>
      </c>
      <c r="Z127" s="8">
        <v>0.49</v>
      </c>
      <c r="AA127" s="17">
        <v>1.3301163078</v>
      </c>
      <c r="AB127" s="34">
        <v>7.4548379114000003</v>
      </c>
      <c r="AC127" s="34">
        <v>0</v>
      </c>
      <c r="AD127" s="42">
        <v>1</v>
      </c>
      <c r="AE127" s="43">
        <v>0.24934603584692394</v>
      </c>
      <c r="AF127" s="34">
        <v>0</v>
      </c>
      <c r="AG127" s="44">
        <v>0.38700000000000001</v>
      </c>
      <c r="AH127" s="8">
        <v>0.182</v>
      </c>
      <c r="AI127" s="17">
        <v>0.46800000000000003</v>
      </c>
      <c r="AJ127" s="8">
        <v>0.51200000000000001</v>
      </c>
      <c r="AK127" s="45">
        <v>0.57499999999999996</v>
      </c>
      <c r="AL127" s="85">
        <v>6.4587973273942098E-2</v>
      </c>
      <c r="AM127" s="44">
        <v>5.4347826086956497</v>
      </c>
      <c r="AN127" s="8">
        <v>0.93596730245231596</v>
      </c>
      <c r="AO127" s="44">
        <v>0.93596730245231607</v>
      </c>
      <c r="AP127" s="85">
        <v>0.16852264291017074</v>
      </c>
      <c r="AQ127" s="45">
        <v>816.62954714179659</v>
      </c>
      <c r="AR127" s="8">
        <v>958.92105914377623</v>
      </c>
      <c r="AS127" s="45">
        <v>129.91833704528582</v>
      </c>
      <c r="AT127" s="8">
        <v>92.798812175204148</v>
      </c>
      <c r="AU127" s="45"/>
      <c r="AV127" s="45"/>
      <c r="AW127" s="8"/>
      <c r="AX127" s="45"/>
      <c r="AY127" s="8"/>
      <c r="AZ127" s="45"/>
      <c r="BA127" s="8"/>
      <c r="BB127" s="45"/>
      <c r="BC127" s="8"/>
      <c r="BD127" s="45"/>
      <c r="BE127" s="8"/>
      <c r="BF127" s="45"/>
      <c r="BG127" s="8"/>
      <c r="BH127" s="45"/>
      <c r="BI127" s="8"/>
      <c r="BJ127" s="45"/>
      <c r="BK127" s="8"/>
      <c r="BL127" s="45"/>
      <c r="BM127" s="8"/>
      <c r="BN127" s="8"/>
      <c r="BO127" s="45"/>
      <c r="BP127" s="8"/>
      <c r="BQ127" s="45"/>
      <c r="BR127" s="8"/>
      <c r="BS127" s="45"/>
      <c r="BT127" s="8"/>
      <c r="BU127" s="45"/>
      <c r="BV127" s="8"/>
      <c r="BW127" s="45"/>
      <c r="BX127" s="8"/>
      <c r="BY127" s="45"/>
      <c r="BZ127" s="8"/>
      <c r="CA127" s="45"/>
      <c r="CB127" s="8"/>
      <c r="CC127" s="45"/>
      <c r="CD127" s="8"/>
      <c r="CE127" s="45"/>
      <c r="CF127" s="8"/>
      <c r="CG127" s="45"/>
      <c r="CH127" s="8"/>
      <c r="CI127" s="45"/>
      <c r="CJ127" s="8"/>
      <c r="CK127" s="45"/>
      <c r="CL127" s="8"/>
      <c r="CM127" s="45"/>
      <c r="CN127" s="8"/>
      <c r="CO127" s="45"/>
      <c r="CP127" s="8"/>
      <c r="CQ127" s="45"/>
      <c r="CR127" s="8"/>
      <c r="CS127" s="45"/>
      <c r="CT127" s="8"/>
      <c r="CU127" s="45"/>
      <c r="CV127" s="8"/>
      <c r="CW127" s="45"/>
      <c r="CX127" s="8"/>
      <c r="CY127" s="45"/>
      <c r="CZ127" s="8"/>
      <c r="DA127" s="45"/>
      <c r="DB127" s="8"/>
      <c r="DC127" s="45"/>
      <c r="DD127" s="8"/>
      <c r="DE127" s="45"/>
      <c r="DF127" s="8"/>
      <c r="DG127" s="45"/>
      <c r="DH127" s="8"/>
      <c r="DI127" s="45"/>
      <c r="DJ127" s="8"/>
      <c r="DK127" s="45"/>
      <c r="DL127" s="8"/>
      <c r="DM127" s="45"/>
      <c r="DN127" s="8"/>
      <c r="DO127" s="45"/>
      <c r="DP127" s="8"/>
      <c r="DQ127" s="45"/>
      <c r="DR127" s="8"/>
    </row>
    <row r="128" spans="1:122" s="38" customFormat="1" x14ac:dyDescent="0.3">
      <c r="A128" s="21" t="s">
        <v>212</v>
      </c>
      <c r="B128" s="8">
        <v>2309409</v>
      </c>
      <c r="C128" s="61">
        <v>237</v>
      </c>
      <c r="D128" s="14">
        <v>828.46855664697443</v>
      </c>
      <c r="E128" s="18">
        <v>5</v>
      </c>
      <c r="F128" s="18">
        <v>17.478239591708324</v>
      </c>
      <c r="G128" s="7">
        <v>2.1097046413502109E-2</v>
      </c>
      <c r="H128" s="63">
        <v>28607</v>
      </c>
      <c r="I128" s="19">
        <v>4886128.569930437</v>
      </c>
      <c r="J128" s="6">
        <v>112170447.79249834</v>
      </c>
      <c r="K128" s="5">
        <v>947.44</v>
      </c>
      <c r="L128" s="4">
        <v>30.193996453601283</v>
      </c>
      <c r="M128" s="6">
        <v>7018.68</v>
      </c>
      <c r="N128" s="8">
        <v>0.60499999999999998</v>
      </c>
      <c r="O128" s="15">
        <v>20.59</v>
      </c>
      <c r="P128" s="90">
        <v>56989910.930891037</v>
      </c>
      <c r="Q128" s="91">
        <v>92988933.652602509</v>
      </c>
      <c r="R128" s="15">
        <v>8.3000000000000007</v>
      </c>
      <c r="S128" s="8">
        <v>7.7</v>
      </c>
      <c r="T128" s="8">
        <v>4.7</v>
      </c>
      <c r="U128" s="14">
        <v>99.969453990072495</v>
      </c>
      <c r="V128" s="20">
        <v>18880.09</v>
      </c>
      <c r="W128" s="48">
        <v>17.48</v>
      </c>
      <c r="X128" s="8">
        <v>29.27</v>
      </c>
      <c r="Y128" s="16">
        <v>53.995047605761499</v>
      </c>
      <c r="Z128" s="8">
        <v>0.73</v>
      </c>
      <c r="AA128" s="17">
        <v>0.6991295837</v>
      </c>
      <c r="AB128" s="34">
        <v>7.5156430244000001</v>
      </c>
      <c r="AC128" s="34">
        <v>0</v>
      </c>
      <c r="AD128" s="42">
        <v>1</v>
      </c>
      <c r="AE128" s="43">
        <v>0.48165956361781953</v>
      </c>
      <c r="AF128" s="34">
        <v>0</v>
      </c>
      <c r="AG128" s="44">
        <v>0.51200000000000001</v>
      </c>
      <c r="AH128" s="8">
        <v>0.34100000000000003</v>
      </c>
      <c r="AI128" s="17">
        <v>0.59499999999999997</v>
      </c>
      <c r="AJ128" s="8">
        <v>0.6</v>
      </c>
      <c r="AK128" s="45">
        <v>0.54600000000000004</v>
      </c>
      <c r="AL128" s="85">
        <v>4.9568287482084805E-2</v>
      </c>
      <c r="AM128" s="44">
        <v>7.9155672823219003</v>
      </c>
      <c r="AN128" s="8">
        <v>0.8853021978021981</v>
      </c>
      <c r="AO128" s="44">
        <v>0.88530219780219799</v>
      </c>
      <c r="AP128" s="85">
        <v>0.15845772013842765</v>
      </c>
      <c r="AQ128" s="45">
        <v>367.0430314258748</v>
      </c>
      <c r="AR128" s="8">
        <v>1055.6856713391826</v>
      </c>
      <c r="AS128" s="45">
        <v>97.878141713566606</v>
      </c>
      <c r="AT128" s="8">
        <v>38.452127101758315</v>
      </c>
      <c r="AU128" s="45"/>
      <c r="AV128" s="45"/>
      <c r="AW128" s="8"/>
      <c r="AX128" s="45"/>
      <c r="AY128" s="8"/>
      <c r="AZ128" s="45"/>
      <c r="BA128" s="8"/>
      <c r="BB128" s="45"/>
      <c r="BC128" s="8"/>
      <c r="BD128" s="45"/>
      <c r="BE128" s="8"/>
      <c r="BF128" s="45"/>
      <c r="BG128" s="8"/>
      <c r="BH128" s="45"/>
      <c r="BI128" s="8"/>
      <c r="BJ128" s="45"/>
      <c r="BK128" s="8"/>
      <c r="BL128" s="45"/>
      <c r="BM128" s="8"/>
      <c r="BN128" s="8"/>
      <c r="BO128" s="45"/>
      <c r="BP128" s="8"/>
      <c r="BQ128" s="45"/>
      <c r="BR128" s="8"/>
      <c r="BS128" s="45"/>
      <c r="BT128" s="8"/>
      <c r="BU128" s="45"/>
      <c r="BV128" s="8"/>
      <c r="BW128" s="45"/>
      <c r="BX128" s="8"/>
      <c r="BY128" s="45"/>
      <c r="BZ128" s="8"/>
      <c r="CA128" s="45"/>
      <c r="CB128" s="8"/>
      <c r="CC128" s="45"/>
      <c r="CD128" s="8"/>
      <c r="CE128" s="45"/>
      <c r="CF128" s="8"/>
      <c r="CG128" s="45"/>
      <c r="CH128" s="8"/>
      <c r="CI128" s="45"/>
      <c r="CJ128" s="8"/>
      <c r="CK128" s="45"/>
      <c r="CL128" s="8"/>
      <c r="CM128" s="45"/>
      <c r="CN128" s="8"/>
      <c r="CO128" s="45"/>
      <c r="CP128" s="8"/>
      <c r="CQ128" s="45"/>
      <c r="CR128" s="8"/>
      <c r="CS128" s="45"/>
      <c r="CT128" s="8"/>
      <c r="CU128" s="45"/>
      <c r="CV128" s="8"/>
      <c r="CW128" s="45"/>
      <c r="CX128" s="8"/>
      <c r="CY128" s="45"/>
      <c r="CZ128" s="8"/>
      <c r="DA128" s="45"/>
      <c r="DB128" s="8"/>
      <c r="DC128" s="45"/>
      <c r="DD128" s="8"/>
      <c r="DE128" s="45"/>
      <c r="DF128" s="8"/>
      <c r="DG128" s="45"/>
      <c r="DH128" s="8"/>
      <c r="DI128" s="45"/>
      <c r="DJ128" s="8"/>
      <c r="DK128" s="45"/>
      <c r="DL128" s="8"/>
      <c r="DM128" s="45"/>
      <c r="DN128" s="8"/>
      <c r="DO128" s="45"/>
      <c r="DP128" s="8"/>
      <c r="DQ128" s="45"/>
      <c r="DR128" s="8"/>
    </row>
    <row r="129" spans="1:122" s="38" customFormat="1" x14ac:dyDescent="0.3">
      <c r="A129" s="21" t="s">
        <v>213</v>
      </c>
      <c r="B129" s="8">
        <v>2309458</v>
      </c>
      <c r="C129" s="61">
        <v>358</v>
      </c>
      <c r="D129" s="14">
        <v>1392.8335213788273</v>
      </c>
      <c r="E129" s="18">
        <v>20</v>
      </c>
      <c r="F129" s="18">
        <v>77.811928568649563</v>
      </c>
      <c r="G129" s="7">
        <v>5.5865921787709494E-2</v>
      </c>
      <c r="H129" s="63">
        <v>25703</v>
      </c>
      <c r="I129" s="19">
        <v>2439028.2846360346</v>
      </c>
      <c r="J129" s="6">
        <v>102746761.07847333</v>
      </c>
      <c r="K129" s="5">
        <v>763.07500000000005</v>
      </c>
      <c r="L129" s="4">
        <v>33.683451823215279</v>
      </c>
      <c r="M129" s="6">
        <v>6918.38</v>
      </c>
      <c r="N129" s="8">
        <v>0.59399999999999997</v>
      </c>
      <c r="O129" s="15">
        <v>23.31</v>
      </c>
      <c r="P129" s="90">
        <v>72085218.106835768</v>
      </c>
      <c r="Q129" s="91">
        <v>87006860.522118047</v>
      </c>
      <c r="R129" s="15">
        <v>6.2</v>
      </c>
      <c r="S129" s="8">
        <v>5.0999999999999996</v>
      </c>
      <c r="T129" s="8">
        <v>4.2</v>
      </c>
      <c r="U129" s="14">
        <v>95.3628166595105</v>
      </c>
      <c r="V129" s="20">
        <v>21494.63</v>
      </c>
      <c r="W129" s="48">
        <v>23.34</v>
      </c>
      <c r="X129" s="8">
        <v>32.26</v>
      </c>
      <c r="Y129" s="16">
        <v>49.099988386946897</v>
      </c>
      <c r="Z129" s="8">
        <v>0.74</v>
      </c>
      <c r="AA129" s="17">
        <v>0.8948371785</v>
      </c>
      <c r="AB129" s="34">
        <v>10.7769521068</v>
      </c>
      <c r="AC129" s="34">
        <v>0</v>
      </c>
      <c r="AD129" s="42">
        <v>1</v>
      </c>
      <c r="AE129" s="43">
        <v>0.68321739492647982</v>
      </c>
      <c r="AF129" s="34">
        <v>1</v>
      </c>
      <c r="AG129" s="44">
        <v>0.52</v>
      </c>
      <c r="AH129" s="8">
        <v>0.48799999999999999</v>
      </c>
      <c r="AI129" s="17">
        <v>0.52200000000000002</v>
      </c>
      <c r="AJ129" s="8">
        <v>0.55100000000000005</v>
      </c>
      <c r="AK129" s="45">
        <v>0.53400000000000003</v>
      </c>
      <c r="AL129" s="85">
        <v>4.5481072248375679E-2</v>
      </c>
      <c r="AM129" s="44">
        <v>3.4965034965034998</v>
      </c>
      <c r="AN129" s="8">
        <v>0.92832167832167822</v>
      </c>
      <c r="AO129" s="44">
        <v>0.92832167832167822</v>
      </c>
      <c r="AP129" s="85">
        <v>0.14430222153056063</v>
      </c>
      <c r="AQ129" s="45">
        <v>357.93487141578805</v>
      </c>
      <c r="AR129" s="8">
        <v>424.07501069914014</v>
      </c>
      <c r="AS129" s="45">
        <v>31.12477142745983</v>
      </c>
      <c r="AT129" s="8">
        <v>7.7811928568649575</v>
      </c>
      <c r="AU129" s="45"/>
      <c r="AV129" s="45"/>
      <c r="AW129" s="8"/>
      <c r="AX129" s="45"/>
      <c r="AY129" s="8"/>
      <c r="AZ129" s="45"/>
      <c r="BA129" s="8"/>
      <c r="BB129" s="45"/>
      <c r="BC129" s="8"/>
      <c r="BD129" s="45"/>
      <c r="BE129" s="8"/>
      <c r="BF129" s="45"/>
      <c r="BG129" s="8"/>
      <c r="BH129" s="45"/>
      <c r="BI129" s="8"/>
      <c r="BJ129" s="45"/>
      <c r="BK129" s="8"/>
      <c r="BL129" s="45"/>
      <c r="BM129" s="8"/>
      <c r="BN129" s="8"/>
      <c r="BO129" s="45"/>
      <c r="BP129" s="8"/>
      <c r="BQ129" s="45"/>
      <c r="BR129" s="8"/>
      <c r="BS129" s="45"/>
      <c r="BT129" s="8"/>
      <c r="BU129" s="45"/>
      <c r="BV129" s="8"/>
      <c r="BW129" s="45"/>
      <c r="BX129" s="8"/>
      <c r="BY129" s="45"/>
      <c r="BZ129" s="8"/>
      <c r="CA129" s="45"/>
      <c r="CB129" s="8"/>
      <c r="CC129" s="45"/>
      <c r="CD129" s="8"/>
      <c r="CE129" s="45"/>
      <c r="CF129" s="8"/>
      <c r="CG129" s="45"/>
      <c r="CH129" s="8"/>
      <c r="CI129" s="45"/>
      <c r="CJ129" s="8"/>
      <c r="CK129" s="45"/>
      <c r="CL129" s="8"/>
      <c r="CM129" s="45"/>
      <c r="CN129" s="8"/>
      <c r="CO129" s="45"/>
      <c r="CP129" s="8"/>
      <c r="CQ129" s="45"/>
      <c r="CR129" s="8"/>
      <c r="CS129" s="45"/>
      <c r="CT129" s="8"/>
      <c r="CU129" s="45"/>
      <c r="CV129" s="8"/>
      <c r="CW129" s="45"/>
      <c r="CX129" s="8"/>
      <c r="CY129" s="45"/>
      <c r="CZ129" s="8"/>
      <c r="DA129" s="45"/>
      <c r="DB129" s="8"/>
      <c r="DC129" s="45"/>
      <c r="DD129" s="8"/>
      <c r="DE129" s="45"/>
      <c r="DF129" s="8"/>
      <c r="DG129" s="45"/>
      <c r="DH129" s="8"/>
      <c r="DI129" s="45"/>
      <c r="DJ129" s="8"/>
      <c r="DK129" s="45"/>
      <c r="DL129" s="8"/>
      <c r="DM129" s="45"/>
      <c r="DN129" s="8"/>
      <c r="DO129" s="45"/>
      <c r="DP129" s="8"/>
      <c r="DQ129" s="45"/>
      <c r="DR129" s="8"/>
    </row>
    <row r="130" spans="1:122" s="38" customFormat="1" x14ac:dyDescent="0.3">
      <c r="A130" s="21" t="s">
        <v>214</v>
      </c>
      <c r="B130" s="8">
        <v>2309508</v>
      </c>
      <c r="C130" s="61">
        <v>791</v>
      </c>
      <c r="D130" s="14">
        <v>3691.6040509637373</v>
      </c>
      <c r="E130" s="18">
        <v>19</v>
      </c>
      <c r="F130" s="18">
        <v>88.673169365753495</v>
      </c>
      <c r="G130" s="7">
        <v>2.402022756005057E-2</v>
      </c>
      <c r="H130" s="63">
        <v>21427</v>
      </c>
      <c r="I130" s="19">
        <v>3515461.8472021283</v>
      </c>
      <c r="J130" s="6">
        <v>107309469.36108649</v>
      </c>
      <c r="K130" s="5">
        <v>577.52599999999995</v>
      </c>
      <c r="L130" s="4">
        <v>37.101359938773321</v>
      </c>
      <c r="M130" s="6">
        <v>8000.89</v>
      </c>
      <c r="N130" s="8">
        <v>0.63600000000000001</v>
      </c>
      <c r="O130" s="15">
        <v>21.95</v>
      </c>
      <c r="P130" s="90">
        <v>68012344.845288664</v>
      </c>
      <c r="Q130" s="91">
        <v>82555215.242451102</v>
      </c>
      <c r="R130" s="15">
        <v>6.1</v>
      </c>
      <c r="S130" s="8">
        <v>4.5999999999999996</v>
      </c>
      <c r="T130" s="8">
        <v>4</v>
      </c>
      <c r="U130" s="14">
        <v>99.709329582747301</v>
      </c>
      <c r="V130" s="20">
        <v>20588.36</v>
      </c>
      <c r="W130" s="48">
        <v>28</v>
      </c>
      <c r="X130" s="8">
        <v>35</v>
      </c>
      <c r="Y130" s="16">
        <v>59.404227459783002</v>
      </c>
      <c r="Z130" s="8">
        <v>1.1200000000000001</v>
      </c>
      <c r="AA130" s="17">
        <v>1.7267932982</v>
      </c>
      <c r="AB130" s="34">
        <v>9.3340178280000003</v>
      </c>
      <c r="AC130" s="34">
        <v>0</v>
      </c>
      <c r="AD130" s="42">
        <v>1</v>
      </c>
      <c r="AE130" s="43">
        <v>0.25087661882275936</v>
      </c>
      <c r="AF130" s="34">
        <v>1</v>
      </c>
      <c r="AG130" s="44">
        <v>0.38400000000000001</v>
      </c>
      <c r="AH130" s="8">
        <v>0.20100000000000001</v>
      </c>
      <c r="AI130" s="17">
        <v>0.46400000000000002</v>
      </c>
      <c r="AJ130" s="8">
        <v>0.48699999999999999</v>
      </c>
      <c r="AK130" s="45">
        <v>0.50700000000000001</v>
      </c>
      <c r="AL130" s="85">
        <v>3.8129462827274002E-2</v>
      </c>
      <c r="AM130" s="44">
        <v>11.1524163568773</v>
      </c>
      <c r="AN130" s="8">
        <v>0.98214285714285721</v>
      </c>
      <c r="AO130" s="44">
        <v>0.98214285714285721</v>
      </c>
      <c r="AP130" s="85">
        <v>0.18009987399075933</v>
      </c>
      <c r="AQ130" s="45">
        <v>322.02361506510476</v>
      </c>
      <c r="AR130" s="8">
        <v>868.06365800158676</v>
      </c>
      <c r="AS130" s="45">
        <v>98.007187193727532</v>
      </c>
      <c r="AT130" s="8">
        <v>46.670089139870257</v>
      </c>
      <c r="AU130" s="45"/>
      <c r="AV130" s="45"/>
      <c r="AW130" s="8"/>
      <c r="AX130" s="45"/>
      <c r="AY130" s="8"/>
      <c r="AZ130" s="45"/>
      <c r="BA130" s="8"/>
      <c r="BB130" s="45"/>
      <c r="BC130" s="8"/>
      <c r="BD130" s="45"/>
      <c r="BE130" s="8"/>
      <c r="BF130" s="45"/>
      <c r="BG130" s="8"/>
      <c r="BH130" s="45"/>
      <c r="BI130" s="8"/>
      <c r="BJ130" s="45"/>
      <c r="BK130" s="8"/>
      <c r="BL130" s="45"/>
      <c r="BM130" s="8"/>
      <c r="BN130" s="8"/>
      <c r="BO130" s="45"/>
      <c r="BP130" s="8"/>
      <c r="BQ130" s="45"/>
      <c r="BR130" s="8"/>
      <c r="BS130" s="45"/>
      <c r="BT130" s="8"/>
      <c r="BU130" s="45"/>
      <c r="BV130" s="8"/>
      <c r="BW130" s="45"/>
      <c r="BX130" s="8"/>
      <c r="BY130" s="45"/>
      <c r="BZ130" s="8"/>
      <c r="CA130" s="45"/>
      <c r="CB130" s="8"/>
      <c r="CC130" s="45"/>
      <c r="CD130" s="8"/>
      <c r="CE130" s="45"/>
      <c r="CF130" s="8"/>
      <c r="CG130" s="45"/>
      <c r="CH130" s="8"/>
      <c r="CI130" s="45"/>
      <c r="CJ130" s="8"/>
      <c r="CK130" s="45"/>
      <c r="CL130" s="8"/>
      <c r="CM130" s="45"/>
      <c r="CN130" s="8"/>
      <c r="CO130" s="45"/>
      <c r="CP130" s="8"/>
      <c r="CQ130" s="45"/>
      <c r="CR130" s="8"/>
      <c r="CS130" s="45"/>
      <c r="CT130" s="8"/>
      <c r="CU130" s="45"/>
      <c r="CV130" s="8"/>
      <c r="CW130" s="45"/>
      <c r="CX130" s="8"/>
      <c r="CY130" s="45"/>
      <c r="CZ130" s="8"/>
      <c r="DA130" s="45"/>
      <c r="DB130" s="8"/>
      <c r="DC130" s="45"/>
      <c r="DD130" s="8"/>
      <c r="DE130" s="45"/>
      <c r="DF130" s="8"/>
      <c r="DG130" s="45"/>
      <c r="DH130" s="8"/>
      <c r="DI130" s="45"/>
      <c r="DJ130" s="8"/>
      <c r="DK130" s="45"/>
      <c r="DL130" s="8"/>
      <c r="DM130" s="45"/>
      <c r="DN130" s="8"/>
      <c r="DO130" s="45"/>
      <c r="DP130" s="8"/>
      <c r="DQ130" s="45"/>
      <c r="DR130" s="8"/>
    </row>
    <row r="131" spans="1:122" s="38" customFormat="1" ht="14.25" customHeight="1" x14ac:dyDescent="0.3">
      <c r="A131" s="21" t="s">
        <v>215</v>
      </c>
      <c r="B131" s="8">
        <v>2309607</v>
      </c>
      <c r="C131" s="61">
        <v>1054</v>
      </c>
      <c r="D131" s="14">
        <v>1459.7731396202373</v>
      </c>
      <c r="E131" s="18">
        <v>40</v>
      </c>
      <c r="F131" s="18">
        <v>55.399360137390417</v>
      </c>
      <c r="G131" s="7">
        <v>3.7950664136622389E-2</v>
      </c>
      <c r="H131" s="63">
        <v>72203</v>
      </c>
      <c r="I131" s="19">
        <v>4328846.0590280192</v>
      </c>
      <c r="J131" s="6">
        <v>91196210.683766603</v>
      </c>
      <c r="K131" s="5">
        <v>250.304</v>
      </c>
      <c r="L131" s="4">
        <v>288.46123114293022</v>
      </c>
      <c r="M131" s="6">
        <v>16046.29</v>
      </c>
      <c r="N131" s="8">
        <v>0.65900000000000003</v>
      </c>
      <c r="O131" s="15">
        <v>35.619999999999997</v>
      </c>
      <c r="P131" s="90">
        <v>37341602.06639614</v>
      </c>
      <c r="Q131" s="91">
        <v>66151526.778665707</v>
      </c>
      <c r="R131" s="15">
        <v>6.4</v>
      </c>
      <c r="S131" s="8">
        <v>4.9000000000000004</v>
      </c>
      <c r="T131" s="8">
        <v>4.8</v>
      </c>
      <c r="U131" s="14">
        <v>95.688772410920393</v>
      </c>
      <c r="V131" s="20">
        <v>83714.92</v>
      </c>
      <c r="W131" s="48">
        <v>38.78</v>
      </c>
      <c r="X131" s="8">
        <v>30.57</v>
      </c>
      <c r="Y131" s="16">
        <v>31.137618188774098</v>
      </c>
      <c r="Z131" s="8">
        <v>0.36</v>
      </c>
      <c r="AA131" s="17">
        <v>0.88638976219999999</v>
      </c>
      <c r="AB131" s="34">
        <v>6.2739775356000003</v>
      </c>
      <c r="AC131" s="34">
        <v>1</v>
      </c>
      <c r="AD131" s="42">
        <v>1</v>
      </c>
      <c r="AE131" s="43">
        <v>0.18052006856625377</v>
      </c>
      <c r="AF131" s="34">
        <v>1</v>
      </c>
      <c r="AG131" s="44">
        <v>0.379</v>
      </c>
      <c r="AH131" s="8">
        <v>0.31</v>
      </c>
      <c r="AI131" s="17">
        <v>0.40699999999999997</v>
      </c>
      <c r="AJ131" s="8">
        <v>0.42</v>
      </c>
      <c r="AK131" s="45">
        <v>0.56899999999999995</v>
      </c>
      <c r="AL131" s="85">
        <v>0.11072947107460909</v>
      </c>
      <c r="AM131" s="44">
        <v>20.255863539445599</v>
      </c>
      <c r="AN131" s="8">
        <v>0.65093304061470902</v>
      </c>
      <c r="AO131" s="44">
        <v>0.65093304061470902</v>
      </c>
      <c r="AP131" s="85">
        <v>9.5314599116380211E-2</v>
      </c>
      <c r="AQ131" s="45">
        <v>367.02076091021149</v>
      </c>
      <c r="AR131" s="8">
        <v>300.54152874534299</v>
      </c>
      <c r="AS131" s="45">
        <v>56.784344140825169</v>
      </c>
      <c r="AT131" s="8">
        <v>5.539936013739041</v>
      </c>
      <c r="AU131" s="45"/>
      <c r="AV131" s="45"/>
      <c r="AW131" s="8"/>
      <c r="AX131" s="45"/>
      <c r="AY131" s="8"/>
      <c r="AZ131" s="45"/>
      <c r="BA131" s="8"/>
      <c r="BB131" s="45"/>
      <c r="BC131" s="8"/>
      <c r="BD131" s="45"/>
      <c r="BE131" s="8"/>
      <c r="BF131" s="45"/>
      <c r="BG131" s="8"/>
      <c r="BH131" s="45"/>
      <c r="BI131" s="8"/>
      <c r="BJ131" s="45"/>
      <c r="BK131" s="8"/>
      <c r="BL131" s="45"/>
      <c r="BM131" s="8"/>
      <c r="BN131" s="8"/>
      <c r="BO131" s="45"/>
      <c r="BP131" s="8"/>
      <c r="BQ131" s="45"/>
      <c r="BR131" s="8"/>
      <c r="BS131" s="45"/>
      <c r="BT131" s="8"/>
      <c r="BU131" s="45"/>
      <c r="BV131" s="8"/>
      <c r="BW131" s="45"/>
      <c r="BX131" s="8"/>
      <c r="BY131" s="45"/>
      <c r="BZ131" s="8"/>
      <c r="CA131" s="45"/>
      <c r="CB131" s="8"/>
      <c r="CC131" s="45"/>
      <c r="CD131" s="8"/>
      <c r="CE131" s="45"/>
      <c r="CF131" s="8"/>
      <c r="CG131" s="45"/>
      <c r="CH131" s="8"/>
      <c r="CI131" s="45"/>
      <c r="CJ131" s="8"/>
      <c r="CK131" s="45"/>
      <c r="CL131" s="8"/>
      <c r="CM131" s="45"/>
      <c r="CN131" s="8"/>
      <c r="CO131" s="45"/>
      <c r="CP131" s="8"/>
      <c r="CQ131" s="45"/>
      <c r="CR131" s="8"/>
      <c r="CS131" s="45"/>
      <c r="CT131" s="8"/>
      <c r="CU131" s="45"/>
      <c r="CV131" s="8"/>
      <c r="CW131" s="45"/>
      <c r="CX131" s="8"/>
      <c r="CY131" s="45"/>
      <c r="CZ131" s="8"/>
      <c r="DA131" s="45"/>
      <c r="DB131" s="8"/>
      <c r="DC131" s="45"/>
      <c r="DD131" s="8"/>
      <c r="DE131" s="45"/>
      <c r="DF131" s="8"/>
      <c r="DG131" s="45"/>
      <c r="DH131" s="8"/>
      <c r="DI131" s="45"/>
      <c r="DJ131" s="8"/>
      <c r="DK131" s="45"/>
      <c r="DL131" s="8"/>
      <c r="DM131" s="45"/>
      <c r="DN131" s="8"/>
      <c r="DO131" s="45"/>
      <c r="DP131" s="8"/>
      <c r="DQ131" s="45"/>
      <c r="DR131" s="8"/>
    </row>
    <row r="132" spans="1:122" s="38" customFormat="1" x14ac:dyDescent="0.3">
      <c r="A132" s="21" t="s">
        <v>216</v>
      </c>
      <c r="B132" s="8">
        <v>2309706</v>
      </c>
      <c r="C132" s="61">
        <v>1446</v>
      </c>
      <c r="D132" s="14">
        <v>1733.1479528238565</v>
      </c>
      <c r="E132" s="18">
        <v>76</v>
      </c>
      <c r="F132" s="18">
        <v>91.092146898072684</v>
      </c>
      <c r="G132" s="7">
        <v>5.2558782849239281E-2</v>
      </c>
      <c r="H132" s="63">
        <v>83432</v>
      </c>
      <c r="I132" s="19">
        <v>3167602.1190909962</v>
      </c>
      <c r="J132" s="6">
        <v>75250982.836321786</v>
      </c>
      <c r="K132" s="5">
        <v>133.23599999999999</v>
      </c>
      <c r="L132" s="4">
        <v>626.19712390044742</v>
      </c>
      <c r="M132" s="6">
        <v>14015.57</v>
      </c>
      <c r="N132" s="8">
        <v>0.67500000000000004</v>
      </c>
      <c r="O132" s="15">
        <v>34.17</v>
      </c>
      <c r="P132" s="90">
        <v>39759824.71953208</v>
      </c>
      <c r="Q132" s="91">
        <v>63149171.025505804</v>
      </c>
      <c r="R132" s="15">
        <v>6</v>
      </c>
      <c r="S132" s="8">
        <v>5.0999999999999996</v>
      </c>
      <c r="T132" s="8">
        <v>4.8</v>
      </c>
      <c r="U132" s="14">
        <v>98.277302821880795</v>
      </c>
      <c r="V132" s="20">
        <v>102255.36</v>
      </c>
      <c r="W132" s="48">
        <v>27.57</v>
      </c>
      <c r="X132" s="8">
        <v>31.27</v>
      </c>
      <c r="Y132" s="16">
        <v>25.525699552948399</v>
      </c>
      <c r="Z132" s="8">
        <v>0.25</v>
      </c>
      <c r="AA132" s="17">
        <v>0.22773036720000001</v>
      </c>
      <c r="AB132" s="34">
        <v>5.9209895483999997</v>
      </c>
      <c r="AC132" s="34">
        <v>1</v>
      </c>
      <c r="AD132" s="42">
        <v>0</v>
      </c>
      <c r="AE132" s="43">
        <v>0.1411361152989668</v>
      </c>
      <c r="AF132" s="34">
        <v>1</v>
      </c>
      <c r="AG132" s="44">
        <v>0.38900000000000001</v>
      </c>
      <c r="AH132" s="8">
        <v>0.29399999999999998</v>
      </c>
      <c r="AI132" s="17">
        <v>0.45700000000000002</v>
      </c>
      <c r="AJ132" s="8">
        <v>0.41699999999999998</v>
      </c>
      <c r="AK132" s="45">
        <v>0.59</v>
      </c>
      <c r="AL132" s="85">
        <v>8.8359382491130498E-2</v>
      </c>
      <c r="AM132" s="44">
        <v>11.7762512266928</v>
      </c>
      <c r="AN132" s="8">
        <v>0.74526892430278879</v>
      </c>
      <c r="AO132" s="44">
        <v>0.74526892430278879</v>
      </c>
      <c r="AP132" s="85">
        <v>8.8659027711189956E-2</v>
      </c>
      <c r="AQ132" s="45">
        <v>285.26224949659598</v>
      </c>
      <c r="AR132" s="8">
        <v>306.83670534087639</v>
      </c>
      <c r="AS132" s="45">
        <v>58.73046313165213</v>
      </c>
      <c r="AT132" s="8">
        <v>9.5886470419023873</v>
      </c>
      <c r="AU132" s="45"/>
      <c r="AV132" s="45"/>
      <c r="AW132" s="8"/>
      <c r="AX132" s="45"/>
      <c r="AY132" s="8"/>
      <c r="AZ132" s="45"/>
      <c r="BA132" s="8"/>
      <c r="BB132" s="45"/>
      <c r="BC132" s="8"/>
      <c r="BD132" s="45"/>
      <c r="BE132" s="8"/>
      <c r="BF132" s="45"/>
      <c r="BG132" s="8"/>
      <c r="BH132" s="45"/>
      <c r="BI132" s="8"/>
      <c r="BJ132" s="45"/>
      <c r="BK132" s="8"/>
      <c r="BL132" s="45"/>
      <c r="BM132" s="8"/>
      <c r="BN132" s="8"/>
      <c r="BO132" s="45"/>
      <c r="BP132" s="8"/>
      <c r="BQ132" s="45"/>
      <c r="BR132" s="8"/>
      <c r="BS132" s="45"/>
      <c r="BT132" s="8"/>
      <c r="BU132" s="45"/>
      <c r="BV132" s="8"/>
      <c r="BW132" s="45"/>
      <c r="BX132" s="8"/>
      <c r="BY132" s="45"/>
      <c r="BZ132" s="8"/>
      <c r="CA132" s="45"/>
      <c r="CB132" s="8"/>
      <c r="CC132" s="45"/>
      <c r="CD132" s="8"/>
      <c r="CE132" s="45"/>
      <c r="CF132" s="8"/>
      <c r="CG132" s="45"/>
      <c r="CH132" s="8"/>
      <c r="CI132" s="45"/>
      <c r="CJ132" s="8"/>
      <c r="CK132" s="45"/>
      <c r="CL132" s="8"/>
      <c r="CM132" s="45"/>
      <c r="CN132" s="8"/>
      <c r="CO132" s="45"/>
      <c r="CP132" s="8"/>
      <c r="CQ132" s="45"/>
      <c r="CR132" s="8"/>
      <c r="CS132" s="45"/>
      <c r="CT132" s="8"/>
      <c r="CU132" s="45"/>
      <c r="CV132" s="8"/>
      <c r="CW132" s="45"/>
      <c r="CX132" s="8"/>
      <c r="CY132" s="45"/>
      <c r="CZ132" s="8"/>
      <c r="DA132" s="45"/>
      <c r="DB132" s="8"/>
      <c r="DC132" s="45"/>
      <c r="DD132" s="8"/>
      <c r="DE132" s="45"/>
      <c r="DF132" s="8"/>
      <c r="DG132" s="45"/>
      <c r="DH132" s="8"/>
      <c r="DI132" s="45"/>
      <c r="DJ132" s="8"/>
      <c r="DK132" s="45"/>
      <c r="DL132" s="8"/>
      <c r="DM132" s="45"/>
      <c r="DN132" s="8"/>
      <c r="DO132" s="45"/>
      <c r="DP132" s="8"/>
      <c r="DQ132" s="45"/>
      <c r="DR132" s="8"/>
    </row>
    <row r="133" spans="1:122" s="38" customFormat="1" x14ac:dyDescent="0.3">
      <c r="A133" s="21" t="s">
        <v>217</v>
      </c>
      <c r="B133" s="8">
        <v>2309805</v>
      </c>
      <c r="C133" s="61">
        <v>255</v>
      </c>
      <c r="D133" s="14">
        <v>2079.7651088818202</v>
      </c>
      <c r="E133" s="18">
        <v>7</v>
      </c>
      <c r="F133" s="18">
        <v>57.09159122420683</v>
      </c>
      <c r="G133" s="7">
        <v>2.7450980392156862E-2</v>
      </c>
      <c r="H133" s="63">
        <v>12261</v>
      </c>
      <c r="I133" s="19">
        <v>2528808.743169399</v>
      </c>
      <c r="J133" s="6">
        <v>97455346.219721064</v>
      </c>
      <c r="K133" s="5">
        <v>112.43300000000001</v>
      </c>
      <c r="L133" s="4">
        <v>109.05161296060764</v>
      </c>
      <c r="M133" s="6">
        <v>8863.39</v>
      </c>
      <c r="N133" s="8">
        <v>0.63500000000000001</v>
      </c>
      <c r="O133" s="15">
        <v>28.24</v>
      </c>
      <c r="P133" s="90">
        <v>76917733.38226898</v>
      </c>
      <c r="Q133" s="91">
        <v>84028223.554359347</v>
      </c>
      <c r="R133" s="15">
        <v>5.8</v>
      </c>
      <c r="S133" s="8">
        <v>5</v>
      </c>
      <c r="T133" s="8">
        <v>4.5</v>
      </c>
      <c r="U133" s="14">
        <v>98.303571428571402</v>
      </c>
      <c r="V133" s="20">
        <v>8144.49</v>
      </c>
      <c r="W133" s="48">
        <v>65.25</v>
      </c>
      <c r="X133" s="8">
        <v>32.31</v>
      </c>
      <c r="Y133" s="16">
        <v>42.8304036458333</v>
      </c>
      <c r="Z133" s="8">
        <v>1.71</v>
      </c>
      <c r="AA133" s="17">
        <v>1.6311883207</v>
      </c>
      <c r="AB133" s="34">
        <v>9.0530951797999997</v>
      </c>
      <c r="AC133" s="34">
        <v>0</v>
      </c>
      <c r="AD133" s="42">
        <v>0</v>
      </c>
      <c r="AE133" s="43">
        <v>0.5911949685534591</v>
      </c>
      <c r="AF133" s="34">
        <v>0</v>
      </c>
      <c r="AG133" s="44">
        <v>0.4</v>
      </c>
      <c r="AH133" s="8">
        <v>0.217</v>
      </c>
      <c r="AI133" s="17">
        <v>0.45400000000000001</v>
      </c>
      <c r="AJ133" s="8">
        <v>0.52800000000000002</v>
      </c>
      <c r="AK133" s="45">
        <v>0.59599999999999997</v>
      </c>
      <c r="AL133" s="85">
        <v>8.1640975450615771E-2</v>
      </c>
      <c r="AM133" s="44">
        <v>19.354838709677399</v>
      </c>
      <c r="AN133" s="8">
        <v>0.96103896103896103</v>
      </c>
      <c r="AO133" s="44">
        <v>0.96103896103896103</v>
      </c>
      <c r="AP133" s="85">
        <v>0.12242068346790637</v>
      </c>
      <c r="AQ133" s="45">
        <v>473.04461300057096</v>
      </c>
      <c r="AR133" s="8">
        <v>1149.9877660875948</v>
      </c>
      <c r="AS133" s="45">
        <v>122.33912405187179</v>
      </c>
      <c r="AT133" s="8">
        <v>40.779708017290595</v>
      </c>
      <c r="AU133" s="45"/>
      <c r="AV133" s="45"/>
      <c r="AW133" s="8"/>
      <c r="AX133" s="45"/>
      <c r="AY133" s="8"/>
      <c r="AZ133" s="45"/>
      <c r="BA133" s="8"/>
      <c r="BB133" s="45"/>
      <c r="BC133" s="8"/>
      <c r="BD133" s="45"/>
      <c r="BE133" s="8"/>
      <c r="BF133" s="45"/>
      <c r="BG133" s="8"/>
      <c r="BH133" s="45"/>
      <c r="BI133" s="8"/>
      <c r="BJ133" s="45"/>
      <c r="BK133" s="8"/>
      <c r="BL133" s="45"/>
      <c r="BM133" s="8"/>
      <c r="BN133" s="8"/>
      <c r="BO133" s="45"/>
      <c r="BP133" s="8"/>
      <c r="BQ133" s="45"/>
      <c r="BR133" s="8"/>
      <c r="BS133" s="45"/>
      <c r="BT133" s="8"/>
      <c r="BU133" s="45"/>
      <c r="BV133" s="8"/>
      <c r="BW133" s="45"/>
      <c r="BX133" s="8"/>
      <c r="BY133" s="45"/>
      <c r="BZ133" s="8"/>
      <c r="CA133" s="45"/>
      <c r="CB133" s="8"/>
      <c r="CC133" s="45"/>
      <c r="CD133" s="8"/>
      <c r="CE133" s="45"/>
      <c r="CF133" s="8"/>
      <c r="CG133" s="45"/>
      <c r="CH133" s="8"/>
      <c r="CI133" s="45"/>
      <c r="CJ133" s="8"/>
      <c r="CK133" s="45"/>
      <c r="CL133" s="8"/>
      <c r="CM133" s="45"/>
      <c r="CN133" s="8"/>
      <c r="CO133" s="45"/>
      <c r="CP133" s="8"/>
      <c r="CQ133" s="45"/>
      <c r="CR133" s="8"/>
      <c r="CS133" s="45"/>
      <c r="CT133" s="8"/>
      <c r="CU133" s="45"/>
      <c r="CV133" s="8"/>
      <c r="CW133" s="45"/>
      <c r="CX133" s="8"/>
      <c r="CY133" s="45"/>
      <c r="CZ133" s="8"/>
      <c r="DA133" s="45"/>
      <c r="DB133" s="8"/>
      <c r="DC133" s="45"/>
      <c r="DD133" s="8"/>
      <c r="DE133" s="45"/>
      <c r="DF133" s="8"/>
      <c r="DG133" s="45"/>
      <c r="DH133" s="8"/>
      <c r="DI133" s="45"/>
      <c r="DJ133" s="8"/>
      <c r="DK133" s="45"/>
      <c r="DL133" s="8"/>
      <c r="DM133" s="45"/>
      <c r="DN133" s="8"/>
      <c r="DO133" s="45"/>
      <c r="DP133" s="8"/>
      <c r="DQ133" s="45"/>
      <c r="DR133" s="8"/>
    </row>
    <row r="134" spans="1:122" s="38" customFormat="1" x14ac:dyDescent="0.3">
      <c r="A134" s="21" t="s">
        <v>218</v>
      </c>
      <c r="B134" s="8">
        <v>2309904</v>
      </c>
      <c r="C134" s="61">
        <v>174</v>
      </c>
      <c r="D134" s="14">
        <v>2663.4011939384663</v>
      </c>
      <c r="E134" s="18">
        <v>2</v>
      </c>
      <c r="F134" s="18">
        <v>30.613806826878925</v>
      </c>
      <c r="G134" s="7">
        <v>1.1494252873563218E-2</v>
      </c>
      <c r="H134" s="63">
        <v>6533</v>
      </c>
      <c r="I134" s="19">
        <v>2033686.2084800245</v>
      </c>
      <c r="J134" s="6">
        <v>98352977.192713916</v>
      </c>
      <c r="K134" s="5">
        <v>88.355000000000004</v>
      </c>
      <c r="L134" s="4">
        <v>73.940354252730458</v>
      </c>
      <c r="M134" s="6">
        <v>7559.43</v>
      </c>
      <c r="N134" s="8">
        <v>0.621</v>
      </c>
      <c r="O134" s="15">
        <v>21.74</v>
      </c>
      <c r="P134" s="90">
        <v>68380738.251951635</v>
      </c>
      <c r="Q134" s="91">
        <v>139443195.92836368</v>
      </c>
      <c r="R134" s="15">
        <v>7</v>
      </c>
      <c r="S134" s="8">
        <v>5.2</v>
      </c>
      <c r="T134" s="8">
        <v>5.5</v>
      </c>
      <c r="U134" s="14">
        <v>97.784888013782904</v>
      </c>
      <c r="V134" s="20">
        <v>6190.86</v>
      </c>
      <c r="W134" s="48">
        <v>30.61</v>
      </c>
      <c r="X134" s="8">
        <v>27.59</v>
      </c>
      <c r="Y134" s="16">
        <v>44.449534280042798</v>
      </c>
      <c r="Z134" s="8">
        <v>1.22</v>
      </c>
      <c r="AA134" s="17">
        <v>0</v>
      </c>
      <c r="AB134" s="34">
        <v>11.020970457700001</v>
      </c>
      <c r="AC134" s="34">
        <v>0</v>
      </c>
      <c r="AD134" s="42">
        <v>1</v>
      </c>
      <c r="AE134" s="43">
        <v>0.37804878048780488</v>
      </c>
      <c r="AF134" s="34">
        <v>0</v>
      </c>
      <c r="AG134" s="44">
        <v>0.377</v>
      </c>
      <c r="AH134" s="8">
        <v>0.13100000000000001</v>
      </c>
      <c r="AI134" s="17">
        <v>0.45800000000000002</v>
      </c>
      <c r="AJ134" s="8">
        <v>0.54300000000000004</v>
      </c>
      <c r="AK134" s="45">
        <v>0.58599999999999997</v>
      </c>
      <c r="AL134" s="85">
        <v>5.9390785244145108E-2</v>
      </c>
      <c r="AM134" s="44">
        <v>29.411764705882401</v>
      </c>
      <c r="AN134" s="8">
        <v>0.80421686746987975</v>
      </c>
      <c r="AO134" s="44">
        <v>0.80421686746987964</v>
      </c>
      <c r="AP134" s="85">
        <v>0.15107913669064749</v>
      </c>
      <c r="AQ134" s="45">
        <v>306.1380682687892</v>
      </c>
      <c r="AR134" s="8">
        <v>811.26588091229144</v>
      </c>
      <c r="AS134" s="45">
        <v>45.920710240318385</v>
      </c>
      <c r="AT134" s="8">
        <v>15.306903413439462</v>
      </c>
      <c r="AU134" s="45"/>
      <c r="AV134" s="45"/>
      <c r="AW134" s="8"/>
      <c r="AX134" s="45"/>
      <c r="AY134" s="8"/>
      <c r="AZ134" s="45"/>
      <c r="BA134" s="8"/>
      <c r="BB134" s="45"/>
      <c r="BC134" s="8"/>
      <c r="BD134" s="45"/>
      <c r="BE134" s="8"/>
      <c r="BF134" s="45"/>
      <c r="BG134" s="8"/>
      <c r="BH134" s="45"/>
      <c r="BI134" s="8"/>
      <c r="BJ134" s="45"/>
      <c r="BK134" s="8"/>
      <c r="BL134" s="45"/>
      <c r="BM134" s="8"/>
      <c r="BN134" s="8"/>
      <c r="BO134" s="45"/>
      <c r="BP134" s="8"/>
      <c r="BQ134" s="45"/>
      <c r="BR134" s="8"/>
      <c r="BS134" s="45"/>
      <c r="BT134" s="8"/>
      <c r="BU134" s="45"/>
      <c r="BV134" s="8"/>
      <c r="BW134" s="45"/>
      <c r="BX134" s="8"/>
      <c r="BY134" s="45"/>
      <c r="BZ134" s="8"/>
      <c r="CA134" s="45"/>
      <c r="CB134" s="8"/>
      <c r="CC134" s="45"/>
      <c r="CD134" s="8"/>
      <c r="CE134" s="45"/>
      <c r="CF134" s="8"/>
      <c r="CG134" s="45"/>
      <c r="CH134" s="8"/>
      <c r="CI134" s="45"/>
      <c r="CJ134" s="8"/>
      <c r="CK134" s="45"/>
      <c r="CL134" s="8"/>
      <c r="CM134" s="45"/>
      <c r="CN134" s="8"/>
      <c r="CO134" s="45"/>
      <c r="CP134" s="8"/>
      <c r="CQ134" s="45"/>
      <c r="CR134" s="8"/>
      <c r="CS134" s="45"/>
      <c r="CT134" s="8"/>
      <c r="CU134" s="45"/>
      <c r="CV134" s="8"/>
      <c r="CW134" s="45"/>
      <c r="CX134" s="8"/>
      <c r="CY134" s="45"/>
      <c r="CZ134" s="8"/>
      <c r="DA134" s="45"/>
      <c r="DB134" s="8"/>
      <c r="DC134" s="45"/>
      <c r="DD134" s="8"/>
      <c r="DE134" s="45"/>
      <c r="DF134" s="8"/>
      <c r="DG134" s="45"/>
      <c r="DH134" s="8"/>
      <c r="DI134" s="45"/>
      <c r="DJ134" s="8"/>
      <c r="DK134" s="45"/>
      <c r="DL134" s="8"/>
      <c r="DM134" s="45"/>
      <c r="DN134" s="8"/>
      <c r="DO134" s="45"/>
      <c r="DP134" s="8"/>
      <c r="DQ134" s="45"/>
      <c r="DR134" s="8"/>
    </row>
    <row r="135" spans="1:122" s="38" customFormat="1" x14ac:dyDescent="0.3">
      <c r="A135" s="21" t="s">
        <v>219</v>
      </c>
      <c r="B135" s="8">
        <v>2310001</v>
      </c>
      <c r="C135" s="61">
        <v>77</v>
      </c>
      <c r="D135" s="14">
        <v>820.37076496910299</v>
      </c>
      <c r="E135" s="18">
        <v>3</v>
      </c>
      <c r="F135" s="18">
        <v>31.962497336458558</v>
      </c>
      <c r="G135" s="7">
        <v>3.896103896103896E-2</v>
      </c>
      <c r="H135" s="63">
        <v>9386</v>
      </c>
      <c r="I135" s="19">
        <v>11344528.979330918</v>
      </c>
      <c r="J135" s="6">
        <v>99735776.688685283</v>
      </c>
      <c r="K135" s="5">
        <v>436.98</v>
      </c>
      <c r="L135" s="4">
        <v>21.479243901322715</v>
      </c>
      <c r="M135" s="6">
        <v>8245.56</v>
      </c>
      <c r="N135" s="8">
        <v>0.63800000000000001</v>
      </c>
      <c r="O135" s="15">
        <v>22.54</v>
      </c>
      <c r="P135" s="90">
        <v>72927455.145962074</v>
      </c>
      <c r="Q135" s="91">
        <v>73020331.02493073</v>
      </c>
      <c r="R135" s="15">
        <v>6.2</v>
      </c>
      <c r="S135" s="8">
        <v>6</v>
      </c>
      <c r="T135" s="8">
        <v>4.3</v>
      </c>
      <c r="U135" s="14">
        <v>96.541717049576803</v>
      </c>
      <c r="V135" s="20">
        <v>8714.65</v>
      </c>
      <c r="W135" s="48">
        <v>10.65</v>
      </c>
      <c r="X135" s="8">
        <v>32.5</v>
      </c>
      <c r="Y135" s="16">
        <v>44.003396306516699</v>
      </c>
      <c r="Z135" s="8">
        <v>0.53</v>
      </c>
      <c r="AA135" s="17">
        <v>0.95887492009999997</v>
      </c>
      <c r="AB135" s="34">
        <v>10.8672490944</v>
      </c>
      <c r="AC135" s="34">
        <v>0</v>
      </c>
      <c r="AD135" s="42">
        <v>1</v>
      </c>
      <c r="AE135" s="43">
        <v>0.49075118429957137</v>
      </c>
      <c r="AF135" s="34">
        <v>0</v>
      </c>
      <c r="AG135" s="44">
        <v>0.40500000000000003</v>
      </c>
      <c r="AH135" s="8">
        <v>0.34899999999999998</v>
      </c>
      <c r="AI135" s="17">
        <v>0.42899999999999999</v>
      </c>
      <c r="AJ135" s="8">
        <v>0.438</v>
      </c>
      <c r="AK135" s="45">
        <v>0.59199999999999997</v>
      </c>
      <c r="AL135" s="85">
        <v>7.2554868953760926E-2</v>
      </c>
      <c r="AM135" s="44">
        <v>27.272727272727298</v>
      </c>
      <c r="AN135" s="8">
        <v>1</v>
      </c>
      <c r="AO135" s="44">
        <v>1</v>
      </c>
      <c r="AP135" s="85">
        <v>0.16354144470487961</v>
      </c>
      <c r="AQ135" s="45">
        <v>522.05412316215643</v>
      </c>
      <c r="AR135" s="8">
        <v>596.63328361389301</v>
      </c>
      <c r="AS135" s="45">
        <v>85.233326230556145</v>
      </c>
      <c r="AT135" s="8">
        <v>53.270828894097598</v>
      </c>
      <c r="AU135" s="45"/>
      <c r="AV135" s="45"/>
      <c r="AW135" s="8"/>
      <c r="AX135" s="45"/>
      <c r="AY135" s="8"/>
      <c r="AZ135" s="45"/>
      <c r="BA135" s="8"/>
      <c r="BB135" s="45"/>
      <c r="BC135" s="8"/>
      <c r="BD135" s="45"/>
      <c r="BE135" s="8"/>
      <c r="BF135" s="45"/>
      <c r="BG135" s="8"/>
      <c r="BH135" s="45"/>
      <c r="BI135" s="8"/>
      <c r="BJ135" s="45"/>
      <c r="BK135" s="8"/>
      <c r="BL135" s="45"/>
      <c r="BM135" s="8"/>
      <c r="BN135" s="8"/>
      <c r="BO135" s="45"/>
      <c r="BP135" s="8"/>
      <c r="BQ135" s="45"/>
      <c r="BR135" s="8"/>
      <c r="BS135" s="45"/>
      <c r="BT135" s="8"/>
      <c r="BU135" s="45"/>
      <c r="BV135" s="8"/>
      <c r="BW135" s="45"/>
      <c r="BX135" s="8"/>
      <c r="BY135" s="45"/>
      <c r="BZ135" s="8"/>
      <c r="CA135" s="45"/>
      <c r="CB135" s="8"/>
      <c r="CC135" s="45"/>
      <c r="CD135" s="8"/>
      <c r="CE135" s="45"/>
      <c r="CF135" s="8"/>
      <c r="CG135" s="45"/>
      <c r="CH135" s="8"/>
      <c r="CI135" s="45"/>
      <c r="CJ135" s="8"/>
      <c r="CK135" s="45"/>
      <c r="CL135" s="8"/>
      <c r="CM135" s="45"/>
      <c r="CN135" s="8"/>
      <c r="CO135" s="45"/>
      <c r="CP135" s="8"/>
      <c r="CQ135" s="45"/>
      <c r="CR135" s="8"/>
      <c r="CS135" s="45"/>
      <c r="CT135" s="8"/>
      <c r="CU135" s="45"/>
      <c r="CV135" s="8"/>
      <c r="CW135" s="45"/>
      <c r="CX135" s="8"/>
      <c r="CY135" s="45"/>
      <c r="CZ135" s="8"/>
      <c r="DA135" s="45"/>
      <c r="DB135" s="8"/>
      <c r="DC135" s="45"/>
      <c r="DD135" s="8"/>
      <c r="DE135" s="45"/>
      <c r="DF135" s="8"/>
      <c r="DG135" s="45"/>
      <c r="DH135" s="8"/>
      <c r="DI135" s="45"/>
      <c r="DJ135" s="8"/>
      <c r="DK135" s="45"/>
      <c r="DL135" s="8"/>
      <c r="DM135" s="45"/>
      <c r="DN135" s="8"/>
      <c r="DO135" s="45"/>
      <c r="DP135" s="8"/>
      <c r="DQ135" s="45"/>
      <c r="DR135" s="8"/>
    </row>
    <row r="136" spans="1:122" s="38" customFormat="1" x14ac:dyDescent="0.3">
      <c r="A136" s="21" t="s">
        <v>220</v>
      </c>
      <c r="B136" s="8">
        <v>2310100</v>
      </c>
      <c r="C136" s="61">
        <v>202</v>
      </c>
      <c r="D136" s="14">
        <v>1516.2888455186908</v>
      </c>
      <c r="E136" s="18">
        <v>6</v>
      </c>
      <c r="F136" s="18">
        <v>45.038282540159138</v>
      </c>
      <c r="G136" s="7">
        <v>2.9702970297029702E-2</v>
      </c>
      <c r="H136" s="63">
        <v>13322</v>
      </c>
      <c r="I136" s="19">
        <v>9979292.8989641182</v>
      </c>
      <c r="J136" s="6">
        <v>82649752.289446026</v>
      </c>
      <c r="K136" s="5">
        <v>128.89599999999999</v>
      </c>
      <c r="L136" s="4">
        <v>103.35464250248263</v>
      </c>
      <c r="M136" s="6">
        <v>7017.58</v>
      </c>
      <c r="N136" s="8">
        <v>0.622</v>
      </c>
      <c r="O136" s="15">
        <v>22.29</v>
      </c>
      <c r="P136" s="90">
        <v>41939573.337336734</v>
      </c>
      <c r="Q136" s="91">
        <v>68799514.562378019</v>
      </c>
      <c r="R136" s="15">
        <v>6.3</v>
      </c>
      <c r="S136" s="8">
        <v>5</v>
      </c>
      <c r="T136" s="8">
        <v>5</v>
      </c>
      <c r="U136" s="14">
        <v>99.3067934244405</v>
      </c>
      <c r="V136" s="20">
        <v>5462.39</v>
      </c>
      <c r="W136" s="48">
        <v>45.04</v>
      </c>
      <c r="X136" s="8">
        <v>33.33</v>
      </c>
      <c r="Y136" s="16">
        <v>40.605699828856302</v>
      </c>
      <c r="Z136" s="8">
        <v>0.53</v>
      </c>
      <c r="AA136" s="17">
        <v>1.2010208677</v>
      </c>
      <c r="AB136" s="34">
        <v>7.0559975980000003</v>
      </c>
      <c r="AC136" s="34">
        <v>0</v>
      </c>
      <c r="AD136" s="42">
        <v>0</v>
      </c>
      <c r="AE136" s="43">
        <v>0.58708871303623489</v>
      </c>
      <c r="AF136" s="34">
        <v>0</v>
      </c>
      <c r="AG136" s="44">
        <v>0.51500000000000001</v>
      </c>
      <c r="AH136" s="8">
        <v>0.47199999999999998</v>
      </c>
      <c r="AI136" s="17">
        <v>0.58499999999999996</v>
      </c>
      <c r="AJ136" s="8">
        <v>0.48699999999999999</v>
      </c>
      <c r="AK136" s="45">
        <v>0.78200000000000003</v>
      </c>
      <c r="AL136" s="85">
        <v>6.1627383275784417E-2</v>
      </c>
      <c r="AM136" s="44"/>
      <c r="AN136" s="8">
        <v>0.82905982905982911</v>
      </c>
      <c r="AO136" s="44">
        <v>0.82905982905982889</v>
      </c>
      <c r="AP136" s="85">
        <v>0.12235400090076565</v>
      </c>
      <c r="AQ136" s="45">
        <v>307.76159735775406</v>
      </c>
      <c r="AR136" s="8">
        <v>210.17865185407598</v>
      </c>
      <c r="AS136" s="45">
        <v>52.544662963518995</v>
      </c>
      <c r="AT136" s="8">
        <v>7.5063804233598566</v>
      </c>
      <c r="AU136" s="45"/>
      <c r="AV136" s="45"/>
      <c r="AW136" s="8"/>
      <c r="AX136" s="45"/>
      <c r="AY136" s="8"/>
      <c r="AZ136" s="45"/>
      <c r="BA136" s="8"/>
      <c r="BB136" s="45"/>
      <c r="BC136" s="8"/>
      <c r="BD136" s="45"/>
      <c r="BE136" s="8"/>
      <c r="BF136" s="45"/>
      <c r="BG136" s="8"/>
      <c r="BH136" s="45"/>
      <c r="BI136" s="8"/>
      <c r="BJ136" s="45"/>
      <c r="BK136" s="8"/>
      <c r="BL136" s="45"/>
      <c r="BM136" s="8"/>
      <c r="BN136" s="8"/>
      <c r="BO136" s="45"/>
      <c r="BP136" s="8"/>
      <c r="BQ136" s="45"/>
      <c r="BR136" s="8"/>
      <c r="BS136" s="45"/>
      <c r="BT136" s="8"/>
      <c r="BU136" s="45"/>
      <c r="BV136" s="8"/>
      <c r="BW136" s="45"/>
      <c r="BX136" s="8"/>
      <c r="BY136" s="45"/>
      <c r="BZ136" s="8"/>
      <c r="CA136" s="45"/>
      <c r="CB136" s="8"/>
      <c r="CC136" s="45"/>
      <c r="CD136" s="8"/>
      <c r="CE136" s="45"/>
      <c r="CF136" s="8"/>
      <c r="CG136" s="45"/>
      <c r="CH136" s="8"/>
      <c r="CI136" s="45"/>
      <c r="CJ136" s="8"/>
      <c r="CK136" s="45"/>
      <c r="CL136" s="8"/>
      <c r="CM136" s="45"/>
      <c r="CN136" s="8"/>
      <c r="CO136" s="45"/>
      <c r="CP136" s="8"/>
      <c r="CQ136" s="45"/>
      <c r="CR136" s="8"/>
      <c r="CS136" s="45"/>
      <c r="CT136" s="8"/>
      <c r="CU136" s="45"/>
      <c r="CV136" s="8"/>
      <c r="CW136" s="45"/>
      <c r="CX136" s="8"/>
      <c r="CY136" s="45"/>
      <c r="CZ136" s="8"/>
      <c r="DA136" s="45"/>
      <c r="DB136" s="8"/>
      <c r="DC136" s="45"/>
      <c r="DD136" s="8"/>
      <c r="DE136" s="45"/>
      <c r="DF136" s="8"/>
      <c r="DG136" s="45"/>
      <c r="DH136" s="8"/>
      <c r="DI136" s="45"/>
      <c r="DJ136" s="8"/>
      <c r="DK136" s="45"/>
      <c r="DL136" s="8"/>
      <c r="DM136" s="45"/>
      <c r="DN136" s="8"/>
      <c r="DO136" s="45"/>
      <c r="DP136" s="8"/>
      <c r="DQ136" s="45"/>
      <c r="DR136" s="8"/>
    </row>
    <row r="137" spans="1:122" s="38" customFormat="1" x14ac:dyDescent="0.3">
      <c r="A137" s="21" t="s">
        <v>221</v>
      </c>
      <c r="B137" s="8">
        <v>2310209</v>
      </c>
      <c r="C137" s="61">
        <v>640</v>
      </c>
      <c r="D137" s="14">
        <v>1824.6094195461283</v>
      </c>
      <c r="E137" s="18">
        <v>37</v>
      </c>
      <c r="F137" s="18">
        <v>105.48523206751054</v>
      </c>
      <c r="G137" s="7">
        <v>5.7812500000000003E-2</v>
      </c>
      <c r="H137" s="63">
        <v>35076</v>
      </c>
      <c r="I137" s="19">
        <v>6665845.3928612163</v>
      </c>
      <c r="J137" s="6">
        <v>113768388.64180636</v>
      </c>
      <c r="K137" s="5">
        <v>304.73399999999998</v>
      </c>
      <c r="L137" s="4">
        <v>115.10366417925142</v>
      </c>
      <c r="M137" s="6">
        <v>14316.98</v>
      </c>
      <c r="N137" s="8">
        <v>0.63700000000000001</v>
      </c>
      <c r="O137" s="15">
        <v>30.85</v>
      </c>
      <c r="P137" s="90">
        <v>62938367.145626634</v>
      </c>
      <c r="Q137" s="91">
        <v>119010397.73634394</v>
      </c>
      <c r="R137" s="15">
        <v>6.2</v>
      </c>
      <c r="S137" s="8">
        <v>5.4</v>
      </c>
      <c r="T137" s="8">
        <v>4.8</v>
      </c>
      <c r="U137" s="14">
        <v>87.547310873323696</v>
      </c>
      <c r="V137" s="20">
        <v>40138.58</v>
      </c>
      <c r="W137" s="48">
        <v>25.66</v>
      </c>
      <c r="X137" s="8">
        <v>32.68</v>
      </c>
      <c r="Y137" s="16">
        <v>47.864264672558299</v>
      </c>
      <c r="Z137" s="8">
        <v>0.51</v>
      </c>
      <c r="AA137" s="17">
        <v>1.1403808872000001</v>
      </c>
      <c r="AB137" s="34">
        <v>7.0988710229</v>
      </c>
      <c r="AC137" s="34">
        <v>1</v>
      </c>
      <c r="AD137" s="42">
        <v>0</v>
      </c>
      <c r="AE137" s="43">
        <v>0.34919079529649766</v>
      </c>
      <c r="AF137" s="34">
        <v>1</v>
      </c>
      <c r="AG137" s="44">
        <v>0.42399999999999999</v>
      </c>
      <c r="AH137" s="8">
        <v>0.34</v>
      </c>
      <c r="AI137" s="17">
        <v>0.504</v>
      </c>
      <c r="AJ137" s="8">
        <v>0.42699999999999999</v>
      </c>
      <c r="AK137" s="45">
        <v>0.51500000000000001</v>
      </c>
      <c r="AL137" s="85">
        <v>9.6305165925419087E-2</v>
      </c>
      <c r="AM137" s="44">
        <v>14.8514851485149</v>
      </c>
      <c r="AN137" s="8">
        <v>0.7040895061728395</v>
      </c>
      <c r="AO137" s="44">
        <v>0.7040895061728395</v>
      </c>
      <c r="AP137" s="85">
        <v>0.11891321701448283</v>
      </c>
      <c r="AQ137" s="45">
        <v>339.26331394685826</v>
      </c>
      <c r="AR137" s="8">
        <v>333.56140951077663</v>
      </c>
      <c r="AS137" s="45">
        <v>59.869996578857339</v>
      </c>
      <c r="AT137" s="8">
        <v>2.8509522180408253</v>
      </c>
      <c r="AU137" s="45"/>
      <c r="AV137" s="45"/>
      <c r="AW137" s="8"/>
      <c r="AX137" s="45"/>
      <c r="AY137" s="8"/>
      <c r="AZ137" s="45"/>
      <c r="BA137" s="8"/>
      <c r="BB137" s="45"/>
      <c r="BC137" s="8"/>
      <c r="BD137" s="45"/>
      <c r="BE137" s="8"/>
      <c r="BF137" s="45"/>
      <c r="BG137" s="8"/>
      <c r="BH137" s="45"/>
      <c r="BI137" s="8"/>
      <c r="BJ137" s="45"/>
      <c r="BK137" s="8"/>
      <c r="BL137" s="45"/>
      <c r="BM137" s="8"/>
      <c r="BN137" s="8"/>
      <c r="BO137" s="45"/>
      <c r="BP137" s="8"/>
      <c r="BQ137" s="45"/>
      <c r="BR137" s="8"/>
      <c r="BS137" s="45"/>
      <c r="BT137" s="8"/>
      <c r="BU137" s="45"/>
      <c r="BV137" s="8"/>
      <c r="BW137" s="45"/>
      <c r="BX137" s="8"/>
      <c r="BY137" s="45"/>
      <c r="BZ137" s="8"/>
      <c r="CA137" s="45"/>
      <c r="CB137" s="8"/>
      <c r="CC137" s="45"/>
      <c r="CD137" s="8"/>
      <c r="CE137" s="45"/>
      <c r="CF137" s="8"/>
      <c r="CG137" s="45"/>
      <c r="CH137" s="8"/>
      <c r="CI137" s="45"/>
      <c r="CJ137" s="8"/>
      <c r="CK137" s="45"/>
      <c r="CL137" s="8"/>
      <c r="CM137" s="45"/>
      <c r="CN137" s="8"/>
      <c r="CO137" s="45"/>
      <c r="CP137" s="8"/>
      <c r="CQ137" s="45"/>
      <c r="CR137" s="8"/>
      <c r="CS137" s="45"/>
      <c r="CT137" s="8"/>
      <c r="CU137" s="45"/>
      <c r="CV137" s="8"/>
      <c r="CW137" s="45"/>
      <c r="CX137" s="8"/>
      <c r="CY137" s="45"/>
      <c r="CZ137" s="8"/>
      <c r="DA137" s="45"/>
      <c r="DB137" s="8"/>
      <c r="DC137" s="45"/>
      <c r="DD137" s="8"/>
      <c r="DE137" s="45"/>
      <c r="DF137" s="8"/>
      <c r="DG137" s="45"/>
      <c r="DH137" s="8"/>
      <c r="DI137" s="45"/>
      <c r="DJ137" s="8"/>
      <c r="DK137" s="45"/>
      <c r="DL137" s="8"/>
      <c r="DM137" s="45"/>
      <c r="DN137" s="8"/>
      <c r="DO137" s="45"/>
      <c r="DP137" s="8"/>
      <c r="DQ137" s="45"/>
      <c r="DR137" s="8"/>
    </row>
    <row r="138" spans="1:122" s="38" customFormat="1" x14ac:dyDescent="0.3">
      <c r="A138" s="21" t="s">
        <v>222</v>
      </c>
      <c r="B138" s="8">
        <v>2310258</v>
      </c>
      <c r="C138" s="61">
        <v>771</v>
      </c>
      <c r="D138" s="14">
        <v>2354.6298558514536</v>
      </c>
      <c r="E138" s="18">
        <v>27</v>
      </c>
      <c r="F138" s="18">
        <v>82.457854874175425</v>
      </c>
      <c r="G138" s="7">
        <v>3.5019455252918288E-2</v>
      </c>
      <c r="H138" s="63">
        <v>32744</v>
      </c>
      <c r="I138" s="19">
        <v>2359863.2726606401</v>
      </c>
      <c r="J138" s="6">
        <v>105780601.02614219</v>
      </c>
      <c r="K138" s="5">
        <v>289.23099999999999</v>
      </c>
      <c r="L138" s="4">
        <v>113.21054797030747</v>
      </c>
      <c r="M138" s="6">
        <v>11941.7</v>
      </c>
      <c r="N138" s="8">
        <v>0.63400000000000001</v>
      </c>
      <c r="O138" s="15">
        <v>35.409999999999997</v>
      </c>
      <c r="P138" s="90">
        <v>50759332.152455412</v>
      </c>
      <c r="Q138" s="91">
        <v>89271598.49132666</v>
      </c>
      <c r="R138" s="15">
        <v>6.1</v>
      </c>
      <c r="S138" s="8">
        <v>4.8</v>
      </c>
      <c r="T138" s="8">
        <v>4.2</v>
      </c>
      <c r="U138" s="14">
        <v>99.509667869368101</v>
      </c>
      <c r="V138" s="20">
        <v>50594.05</v>
      </c>
      <c r="W138" s="48">
        <v>18.32</v>
      </c>
      <c r="X138" s="8">
        <v>30</v>
      </c>
      <c r="Y138" s="16">
        <v>44.319835111542197</v>
      </c>
      <c r="Z138" s="8">
        <v>0.55000000000000004</v>
      </c>
      <c r="AA138" s="17">
        <v>0.76349865620000001</v>
      </c>
      <c r="AB138" s="34">
        <v>6.9936476911999996</v>
      </c>
      <c r="AC138" s="34">
        <v>1</v>
      </c>
      <c r="AD138" s="42">
        <v>0</v>
      </c>
      <c r="AE138" s="43">
        <v>0.55277787024399982</v>
      </c>
      <c r="AF138" s="34">
        <v>1</v>
      </c>
      <c r="AG138" s="44">
        <v>0.434</v>
      </c>
      <c r="AH138" s="8">
        <v>0.28699999999999998</v>
      </c>
      <c r="AI138" s="17">
        <v>0.51400000000000001</v>
      </c>
      <c r="AJ138" s="8">
        <v>0.5</v>
      </c>
      <c r="AK138" s="45">
        <v>0.6</v>
      </c>
      <c r="AL138" s="85">
        <v>0.12994747129245052</v>
      </c>
      <c r="AM138" s="44">
        <v>2.4390243902439002</v>
      </c>
      <c r="AN138" s="8">
        <v>0.92326139088729031</v>
      </c>
      <c r="AO138" s="44">
        <v>0.9232613908872902</v>
      </c>
      <c r="AP138" s="85">
        <v>0.11446371854385537</v>
      </c>
      <c r="AQ138" s="45">
        <v>271.80552162228196</v>
      </c>
      <c r="AR138" s="8">
        <v>516.12509161983871</v>
      </c>
      <c r="AS138" s="45">
        <v>6.1079892499389201</v>
      </c>
      <c r="AT138" s="8">
        <v>6.1079892499389201</v>
      </c>
      <c r="AU138" s="45"/>
      <c r="AV138" s="45"/>
      <c r="AW138" s="8"/>
      <c r="AX138" s="45"/>
      <c r="AY138" s="8"/>
      <c r="AZ138" s="45"/>
      <c r="BA138" s="8"/>
      <c r="BB138" s="45"/>
      <c r="BC138" s="8"/>
      <c r="BD138" s="45"/>
      <c r="BE138" s="8"/>
      <c r="BF138" s="45"/>
      <c r="BG138" s="8"/>
      <c r="BH138" s="45"/>
      <c r="BI138" s="8"/>
      <c r="BJ138" s="45"/>
      <c r="BK138" s="8"/>
      <c r="BL138" s="45"/>
      <c r="BM138" s="8"/>
      <c r="BN138" s="8"/>
      <c r="BO138" s="45"/>
      <c r="BP138" s="8"/>
      <c r="BQ138" s="45"/>
      <c r="BR138" s="8"/>
      <c r="BS138" s="45"/>
      <c r="BT138" s="8"/>
      <c r="BU138" s="45"/>
      <c r="BV138" s="8"/>
      <c r="BW138" s="45"/>
      <c r="BX138" s="8"/>
      <c r="BY138" s="45"/>
      <c r="BZ138" s="8"/>
      <c r="CA138" s="45"/>
      <c r="CB138" s="8"/>
      <c r="CC138" s="45"/>
      <c r="CD138" s="8"/>
      <c r="CE138" s="45"/>
      <c r="CF138" s="8"/>
      <c r="CG138" s="45"/>
      <c r="CH138" s="8"/>
      <c r="CI138" s="45"/>
      <c r="CJ138" s="8"/>
      <c r="CK138" s="45"/>
      <c r="CL138" s="8"/>
      <c r="CM138" s="45"/>
      <c r="CN138" s="8"/>
      <c r="CO138" s="45"/>
      <c r="CP138" s="8"/>
      <c r="CQ138" s="45"/>
      <c r="CR138" s="8"/>
      <c r="CS138" s="45"/>
      <c r="CT138" s="8"/>
      <c r="CU138" s="45"/>
      <c r="CV138" s="8"/>
      <c r="CW138" s="45"/>
      <c r="CX138" s="8"/>
      <c r="CY138" s="45"/>
      <c r="CZ138" s="8"/>
      <c r="DA138" s="45"/>
      <c r="DB138" s="8"/>
      <c r="DC138" s="45"/>
      <c r="DD138" s="8"/>
      <c r="DE138" s="45"/>
      <c r="DF138" s="8"/>
      <c r="DG138" s="45"/>
      <c r="DH138" s="8"/>
      <c r="DI138" s="45"/>
      <c r="DJ138" s="8"/>
      <c r="DK138" s="45"/>
      <c r="DL138" s="8"/>
      <c r="DM138" s="45"/>
      <c r="DN138" s="8"/>
      <c r="DO138" s="45"/>
      <c r="DP138" s="8"/>
      <c r="DQ138" s="45"/>
      <c r="DR138" s="8"/>
    </row>
    <row r="139" spans="1:122" s="38" customFormat="1" x14ac:dyDescent="0.3">
      <c r="A139" s="21" t="s">
        <v>223</v>
      </c>
      <c r="B139" s="8">
        <v>2310308</v>
      </c>
      <c r="C139" s="61">
        <v>204</v>
      </c>
      <c r="D139" s="14">
        <v>647.1875892262301</v>
      </c>
      <c r="E139" s="18">
        <v>15</v>
      </c>
      <c r="F139" s="18">
        <v>47.587322737222806</v>
      </c>
      <c r="G139" s="7">
        <v>7.3529411764705885E-2</v>
      </c>
      <c r="H139" s="63">
        <v>31521</v>
      </c>
      <c r="I139" s="19">
        <v>4724572.3168681199</v>
      </c>
      <c r="J139" s="6">
        <v>92957076.234891027</v>
      </c>
      <c r="K139" s="5">
        <v>2313.8679999999999</v>
      </c>
      <c r="L139" s="4">
        <v>13.622643988334685</v>
      </c>
      <c r="M139" s="6">
        <v>6709.78</v>
      </c>
      <c r="N139" s="8">
        <v>0.56999999999999995</v>
      </c>
      <c r="O139" s="15">
        <v>12.92</v>
      </c>
      <c r="P139" s="90">
        <v>53989997.5571841</v>
      </c>
      <c r="Q139" s="91">
        <v>106346583.67437582</v>
      </c>
      <c r="R139" s="15">
        <v>6.8</v>
      </c>
      <c r="S139" s="8">
        <v>5.6</v>
      </c>
      <c r="T139" s="8">
        <v>4.7</v>
      </c>
      <c r="U139" s="14">
        <v>99.941661805150403</v>
      </c>
      <c r="V139" s="20">
        <v>22821.82</v>
      </c>
      <c r="W139" s="48">
        <v>15.86</v>
      </c>
      <c r="X139" s="8">
        <v>28.89</v>
      </c>
      <c r="Y139" s="16">
        <v>39.0780480050866</v>
      </c>
      <c r="Z139" s="8">
        <v>0.92</v>
      </c>
      <c r="AA139" s="17">
        <v>1.2372703912</v>
      </c>
      <c r="AB139" s="34">
        <v>8.8195171472999991</v>
      </c>
      <c r="AC139" s="34">
        <v>0</v>
      </c>
      <c r="AD139" s="42">
        <v>1</v>
      </c>
      <c r="AE139" s="43">
        <v>0.5494586221214347</v>
      </c>
      <c r="AF139" s="34">
        <v>0</v>
      </c>
      <c r="AG139" s="44">
        <v>0.51200000000000001</v>
      </c>
      <c r="AH139" s="8">
        <v>0.251</v>
      </c>
      <c r="AI139" s="17">
        <v>0.63700000000000001</v>
      </c>
      <c r="AJ139" s="8">
        <v>0.64700000000000002</v>
      </c>
      <c r="AK139" s="45">
        <v>0.47</v>
      </c>
      <c r="AL139" s="85">
        <v>5.8913105548681829E-2</v>
      </c>
      <c r="AM139" s="44">
        <v>27.459954233409601</v>
      </c>
      <c r="AN139" s="8">
        <v>0.59394904458598752</v>
      </c>
      <c r="AO139" s="44">
        <v>0.59394904458598752</v>
      </c>
      <c r="AP139" s="85">
        <v>0.16154309825195901</v>
      </c>
      <c r="AQ139" s="45">
        <v>913.67659655467776</v>
      </c>
      <c r="AR139" s="8">
        <v>923.19406110212242</v>
      </c>
      <c r="AS139" s="45">
        <v>231.59163732115098</v>
      </c>
      <c r="AT139" s="8">
        <v>47.587322737222806</v>
      </c>
      <c r="AU139" s="45"/>
      <c r="AV139" s="45"/>
      <c r="AW139" s="8"/>
      <c r="AX139" s="45"/>
      <c r="AY139" s="8"/>
      <c r="AZ139" s="45"/>
      <c r="BA139" s="8"/>
      <c r="BB139" s="45"/>
      <c r="BC139" s="8"/>
      <c r="BD139" s="45"/>
      <c r="BE139" s="8"/>
      <c r="BF139" s="45"/>
      <c r="BG139" s="8"/>
      <c r="BH139" s="45"/>
      <c r="BI139" s="8"/>
      <c r="BJ139" s="45"/>
      <c r="BK139" s="8"/>
      <c r="BL139" s="45"/>
      <c r="BM139" s="8"/>
      <c r="BN139" s="8"/>
      <c r="BO139" s="45"/>
      <c r="BP139" s="8"/>
      <c r="BQ139" s="45"/>
      <c r="BR139" s="8"/>
      <c r="BS139" s="45"/>
      <c r="BT139" s="8"/>
      <c r="BU139" s="45"/>
      <c r="BV139" s="8"/>
      <c r="BW139" s="45"/>
      <c r="BX139" s="8"/>
      <c r="BY139" s="45"/>
      <c r="BZ139" s="8"/>
      <c r="CA139" s="45"/>
      <c r="CB139" s="8"/>
      <c r="CC139" s="45"/>
      <c r="CD139" s="8"/>
      <c r="CE139" s="45"/>
      <c r="CF139" s="8"/>
      <c r="CG139" s="45"/>
      <c r="CH139" s="8"/>
      <c r="CI139" s="45"/>
      <c r="CJ139" s="8"/>
      <c r="CK139" s="45"/>
      <c r="CL139" s="8"/>
      <c r="CM139" s="45"/>
      <c r="CN139" s="8"/>
      <c r="CO139" s="45"/>
      <c r="CP139" s="8"/>
      <c r="CQ139" s="45"/>
      <c r="CR139" s="8"/>
      <c r="CS139" s="45"/>
      <c r="CT139" s="8"/>
      <c r="CU139" s="45"/>
      <c r="CV139" s="8"/>
      <c r="CW139" s="45"/>
      <c r="CX139" s="8"/>
      <c r="CY139" s="45"/>
      <c r="CZ139" s="8"/>
      <c r="DA139" s="45"/>
      <c r="DB139" s="8"/>
      <c r="DC139" s="45"/>
      <c r="DD139" s="8"/>
      <c r="DE139" s="45"/>
      <c r="DF139" s="8"/>
      <c r="DG139" s="45"/>
      <c r="DH139" s="8"/>
      <c r="DI139" s="45"/>
      <c r="DJ139" s="8"/>
      <c r="DK139" s="45"/>
      <c r="DL139" s="8"/>
      <c r="DM139" s="45"/>
      <c r="DN139" s="8"/>
      <c r="DO139" s="45"/>
      <c r="DP139" s="8"/>
      <c r="DQ139" s="45"/>
      <c r="DR139" s="8"/>
    </row>
    <row r="140" spans="1:122" s="38" customFormat="1" x14ac:dyDescent="0.3">
      <c r="A140" s="21" t="s">
        <v>224</v>
      </c>
      <c r="B140" s="8">
        <v>2310407</v>
      </c>
      <c r="C140" s="61">
        <v>145</v>
      </c>
      <c r="D140" s="14">
        <v>1185.9970554555864</v>
      </c>
      <c r="E140" s="18">
        <v>3</v>
      </c>
      <c r="F140" s="18">
        <v>24.537870112874202</v>
      </c>
      <c r="G140" s="7">
        <v>2.0689655172413793E-2</v>
      </c>
      <c r="H140" s="63">
        <v>12226</v>
      </c>
      <c r="I140" s="19">
        <v>5853410.8457385898</v>
      </c>
      <c r="J140" s="6">
        <v>96929494.519875675</v>
      </c>
      <c r="K140" s="5">
        <v>539.23800000000006</v>
      </c>
      <c r="L140" s="4">
        <v>22.672734488296445</v>
      </c>
      <c r="M140" s="6">
        <v>7997.84</v>
      </c>
      <c r="N140" s="8">
        <v>0.58299999999999996</v>
      </c>
      <c r="O140" s="15">
        <v>18.8</v>
      </c>
      <c r="P140" s="90">
        <v>52642416.57124161</v>
      </c>
      <c r="Q140" s="91">
        <v>113523656.14264682</v>
      </c>
      <c r="R140" s="15">
        <v>4.7</v>
      </c>
      <c r="S140" s="8">
        <v>5</v>
      </c>
      <c r="T140" s="8">
        <v>4.5</v>
      </c>
      <c r="U140" s="14">
        <v>98.914858096828098</v>
      </c>
      <c r="V140" s="20">
        <v>8630.08</v>
      </c>
      <c r="W140" s="48">
        <v>32.72</v>
      </c>
      <c r="X140" s="8">
        <v>31.03</v>
      </c>
      <c r="Y140" s="16">
        <v>50.9467841984982</v>
      </c>
      <c r="Z140" s="8">
        <v>0.56999999999999995</v>
      </c>
      <c r="AA140" s="17">
        <v>2.2902012104999998</v>
      </c>
      <c r="AB140" s="34">
        <v>8.0974971371999995</v>
      </c>
      <c r="AC140" s="34">
        <v>0</v>
      </c>
      <c r="AD140" s="42">
        <v>1</v>
      </c>
      <c r="AE140" s="43">
        <v>0.51008135833038559</v>
      </c>
      <c r="AF140" s="34">
        <v>0</v>
      </c>
      <c r="AG140" s="44">
        <v>0.48699999999999999</v>
      </c>
      <c r="AH140" s="8">
        <v>0.29399999999999998</v>
      </c>
      <c r="AI140" s="17">
        <v>0.59199999999999997</v>
      </c>
      <c r="AJ140" s="8">
        <v>0.57499999999999996</v>
      </c>
      <c r="AK140" s="45">
        <v>0.54400000000000004</v>
      </c>
      <c r="AL140" s="85">
        <v>5.480124325208572E-2</v>
      </c>
      <c r="AM140" s="44">
        <v>9.2592592592592595</v>
      </c>
      <c r="AN140" s="8">
        <v>0.9565217391304347</v>
      </c>
      <c r="AO140" s="44">
        <v>0.95652173913043481</v>
      </c>
      <c r="AP140" s="85">
        <v>0.12702437428431212</v>
      </c>
      <c r="AQ140" s="45">
        <v>253.55799116636678</v>
      </c>
      <c r="AR140" s="8">
        <v>278.09586127924098</v>
      </c>
      <c r="AS140" s="45">
        <v>49.075740225748405</v>
      </c>
      <c r="AT140" s="8">
        <v>16.358580075249471</v>
      </c>
      <c r="AU140" s="45"/>
      <c r="AV140" s="45"/>
      <c r="AW140" s="8"/>
      <c r="AX140" s="45"/>
      <c r="AY140" s="8"/>
      <c r="AZ140" s="45"/>
      <c r="BA140" s="8"/>
      <c r="BB140" s="45"/>
      <c r="BC140" s="8"/>
      <c r="BD140" s="45"/>
      <c r="BE140" s="8"/>
      <c r="BF140" s="45"/>
      <c r="BG140" s="8"/>
      <c r="BH140" s="45"/>
      <c r="BI140" s="8"/>
      <c r="BJ140" s="45"/>
      <c r="BK140" s="8"/>
      <c r="BL140" s="45"/>
      <c r="BM140" s="8"/>
      <c r="BN140" s="8"/>
      <c r="BO140" s="45"/>
      <c r="BP140" s="8"/>
      <c r="BQ140" s="45"/>
      <c r="BR140" s="8"/>
      <c r="BS140" s="45"/>
      <c r="BT140" s="8"/>
      <c r="BU140" s="45"/>
      <c r="BV140" s="8"/>
      <c r="BW140" s="45"/>
      <c r="BX140" s="8"/>
      <c r="BY140" s="45"/>
      <c r="BZ140" s="8"/>
      <c r="CA140" s="45"/>
      <c r="CB140" s="8"/>
      <c r="CC140" s="45"/>
      <c r="CD140" s="8"/>
      <c r="CE140" s="45"/>
      <c r="CF140" s="8"/>
      <c r="CG140" s="45"/>
      <c r="CH140" s="8"/>
      <c r="CI140" s="45"/>
      <c r="CJ140" s="8"/>
      <c r="CK140" s="45"/>
      <c r="CL140" s="8"/>
      <c r="CM140" s="45"/>
      <c r="CN140" s="8"/>
      <c r="CO140" s="45"/>
      <c r="CP140" s="8"/>
      <c r="CQ140" s="45"/>
      <c r="CR140" s="8"/>
      <c r="CS140" s="45"/>
      <c r="CT140" s="8"/>
      <c r="CU140" s="45"/>
      <c r="CV140" s="8"/>
      <c r="CW140" s="45"/>
      <c r="CX140" s="8"/>
      <c r="CY140" s="45"/>
      <c r="CZ140" s="8"/>
      <c r="DA140" s="45"/>
      <c r="DB140" s="8"/>
      <c r="DC140" s="45"/>
      <c r="DD140" s="8"/>
      <c r="DE140" s="45"/>
      <c r="DF140" s="8"/>
      <c r="DG140" s="45"/>
      <c r="DH140" s="8"/>
      <c r="DI140" s="45"/>
      <c r="DJ140" s="8"/>
      <c r="DK140" s="45"/>
      <c r="DL140" s="8"/>
      <c r="DM140" s="45"/>
      <c r="DN140" s="8"/>
      <c r="DO140" s="45"/>
      <c r="DP140" s="8"/>
      <c r="DQ140" s="45"/>
      <c r="DR140" s="8"/>
    </row>
    <row r="141" spans="1:122" s="38" customFormat="1" x14ac:dyDescent="0.3">
      <c r="A141" s="21" t="s">
        <v>225</v>
      </c>
      <c r="B141" s="8">
        <v>2310506</v>
      </c>
      <c r="C141" s="61">
        <v>254</v>
      </c>
      <c r="D141" s="14">
        <v>587.17462665865276</v>
      </c>
      <c r="E141" s="18">
        <v>14</v>
      </c>
      <c r="F141" s="18">
        <v>32.363955800083218</v>
      </c>
      <c r="G141" s="7">
        <v>5.5118110236220472E-2</v>
      </c>
      <c r="H141" s="63">
        <v>43258</v>
      </c>
      <c r="I141" s="19">
        <v>2542807.80433677</v>
      </c>
      <c r="J141" s="6">
        <v>95785288.27037774</v>
      </c>
      <c r="K141" s="5">
        <v>1302.0809999999999</v>
      </c>
      <c r="L141" s="4">
        <v>33.222203534188736</v>
      </c>
      <c r="M141" s="6">
        <v>6723.4</v>
      </c>
      <c r="N141" s="8">
        <v>0.60299999999999998</v>
      </c>
      <c r="O141" s="15">
        <v>18.25</v>
      </c>
      <c r="P141" s="90">
        <v>59154244.301632069</v>
      </c>
      <c r="Q141" s="91">
        <v>94000206.065929994</v>
      </c>
      <c r="R141" s="15">
        <v>8.1</v>
      </c>
      <c r="S141" s="8">
        <v>6.1</v>
      </c>
      <c r="T141" s="8">
        <v>5.0999999999999996</v>
      </c>
      <c r="U141" s="14">
        <v>96.839369055355405</v>
      </c>
      <c r="V141" s="20">
        <v>26445</v>
      </c>
      <c r="W141" s="48">
        <v>18.489999999999998</v>
      </c>
      <c r="X141" s="8">
        <v>28.57</v>
      </c>
      <c r="Y141" s="16">
        <v>45.524025029439599</v>
      </c>
      <c r="Z141" s="8">
        <v>0.55000000000000004</v>
      </c>
      <c r="AA141" s="17">
        <v>1.1789726756000001</v>
      </c>
      <c r="AB141" s="34">
        <v>9.0850247352999993</v>
      </c>
      <c r="AC141" s="34">
        <v>0</v>
      </c>
      <c r="AD141" s="42">
        <v>1</v>
      </c>
      <c r="AE141" s="43">
        <v>0.41489615660062068</v>
      </c>
      <c r="AF141" s="34">
        <v>0</v>
      </c>
      <c r="AG141" s="44">
        <v>0.443</v>
      </c>
      <c r="AH141" s="8">
        <v>0.247</v>
      </c>
      <c r="AI141" s="17">
        <v>0.53600000000000003</v>
      </c>
      <c r="AJ141" s="8">
        <v>0.54600000000000004</v>
      </c>
      <c r="AK141" s="45">
        <v>0.48599999999999999</v>
      </c>
      <c r="AL141" s="85">
        <v>7.1686162097184342E-2</v>
      </c>
      <c r="AM141" s="44">
        <v>10.351966873706001</v>
      </c>
      <c r="AN141" s="8">
        <v>0.70177902621722854</v>
      </c>
      <c r="AO141" s="44">
        <v>0.70177902621722854</v>
      </c>
      <c r="AP141" s="85">
        <v>0.15107032225253134</v>
      </c>
      <c r="AQ141" s="45">
        <v>554.81067085856955</v>
      </c>
      <c r="AR141" s="8">
        <v>610.29173794442647</v>
      </c>
      <c r="AS141" s="45">
        <v>71.663044985898551</v>
      </c>
      <c r="AT141" s="8">
        <v>4.6234222571547461</v>
      </c>
      <c r="AU141" s="45"/>
      <c r="AV141" s="45"/>
      <c r="AW141" s="8"/>
      <c r="AX141" s="45"/>
      <c r="AY141" s="8"/>
      <c r="AZ141" s="45"/>
      <c r="BA141" s="8"/>
      <c r="BB141" s="45"/>
      <c r="BC141" s="8"/>
      <c r="BD141" s="45"/>
      <c r="BE141" s="8"/>
      <c r="BF141" s="45"/>
      <c r="BG141" s="8"/>
      <c r="BH141" s="45"/>
      <c r="BI141" s="8"/>
      <c r="BJ141" s="45"/>
      <c r="BK141" s="8"/>
      <c r="BL141" s="45"/>
      <c r="BM141" s="8"/>
      <c r="BN141" s="8"/>
      <c r="BO141" s="45"/>
      <c r="BP141" s="8"/>
      <c r="BQ141" s="45"/>
      <c r="BR141" s="8"/>
      <c r="BS141" s="45"/>
      <c r="BT141" s="8"/>
      <c r="BU141" s="45"/>
      <c r="BV141" s="8"/>
      <c r="BW141" s="45"/>
      <c r="BX141" s="8"/>
      <c r="BY141" s="45"/>
      <c r="BZ141" s="8"/>
      <c r="CA141" s="45"/>
      <c r="CB141" s="8"/>
      <c r="CC141" s="45"/>
      <c r="CD141" s="8"/>
      <c r="CE141" s="45"/>
      <c r="CF141" s="8"/>
      <c r="CG141" s="45"/>
      <c r="CH141" s="8"/>
      <c r="CI141" s="45"/>
      <c r="CJ141" s="8"/>
      <c r="CK141" s="45"/>
      <c r="CL141" s="8"/>
      <c r="CM141" s="45"/>
      <c r="CN141" s="8"/>
      <c r="CO141" s="45"/>
      <c r="CP141" s="8"/>
      <c r="CQ141" s="45"/>
      <c r="CR141" s="8"/>
      <c r="CS141" s="45"/>
      <c r="CT141" s="8"/>
      <c r="CU141" s="45"/>
      <c r="CV141" s="8"/>
      <c r="CW141" s="45"/>
      <c r="CX141" s="8"/>
      <c r="CY141" s="45"/>
      <c r="CZ141" s="8"/>
      <c r="DA141" s="45"/>
      <c r="DB141" s="8"/>
      <c r="DC141" s="45"/>
      <c r="DD141" s="8"/>
      <c r="DE141" s="45"/>
      <c r="DF141" s="8"/>
      <c r="DG141" s="45"/>
      <c r="DH141" s="8"/>
      <c r="DI141" s="45"/>
      <c r="DJ141" s="8"/>
      <c r="DK141" s="45"/>
      <c r="DL141" s="8"/>
      <c r="DM141" s="45"/>
      <c r="DN141" s="8"/>
      <c r="DO141" s="45"/>
      <c r="DP141" s="8"/>
      <c r="DQ141" s="45"/>
      <c r="DR141" s="8"/>
    </row>
    <row r="142" spans="1:122" s="38" customFormat="1" x14ac:dyDescent="0.3">
      <c r="A142" s="21" t="s">
        <v>226</v>
      </c>
      <c r="B142" s="8">
        <v>2310605</v>
      </c>
      <c r="C142" s="61">
        <v>18</v>
      </c>
      <c r="D142" s="14">
        <v>198.30340420843891</v>
      </c>
      <c r="E142" s="18">
        <v>3</v>
      </c>
      <c r="F142" s="18">
        <v>33.050567368073153</v>
      </c>
      <c r="G142" s="7">
        <v>0.16666666666666666</v>
      </c>
      <c r="H142" s="63">
        <v>9077</v>
      </c>
      <c r="I142" s="19">
        <v>7861507.2160405414</v>
      </c>
      <c r="J142" s="6">
        <v>120852704.63809629</v>
      </c>
      <c r="K142" s="5">
        <v>150.536</v>
      </c>
      <c r="L142" s="4">
        <v>60.297868948291438</v>
      </c>
      <c r="M142" s="6">
        <v>23504.33</v>
      </c>
      <c r="N142" s="8">
        <v>0.64600000000000002</v>
      </c>
      <c r="O142" s="15">
        <v>25.21</v>
      </c>
      <c r="P142" s="90">
        <v>80558069.51636003</v>
      </c>
      <c r="Q142" s="91">
        <v>137947491.79244244</v>
      </c>
      <c r="R142" s="15">
        <v>6.4</v>
      </c>
      <c r="S142" s="8">
        <v>4.8</v>
      </c>
      <c r="T142" s="8">
        <v>4.2</v>
      </c>
      <c r="U142" s="14">
        <v>98.861393654167301</v>
      </c>
      <c r="V142" s="20">
        <v>11942.91</v>
      </c>
      <c r="W142" s="48">
        <v>33.049999999999997</v>
      </c>
      <c r="X142" s="8">
        <v>29.41</v>
      </c>
      <c r="Y142" s="16">
        <v>64.027124576178494</v>
      </c>
      <c r="Z142" s="8">
        <v>1.21</v>
      </c>
      <c r="AA142" s="17">
        <v>1.4321912526</v>
      </c>
      <c r="AB142" s="34">
        <v>10.5761815578</v>
      </c>
      <c r="AC142" s="34">
        <v>0</v>
      </c>
      <c r="AD142" s="42">
        <v>1</v>
      </c>
      <c r="AE142" s="43">
        <v>0.22210065645514224</v>
      </c>
      <c r="AF142" s="34">
        <v>0</v>
      </c>
      <c r="AG142" s="44">
        <v>0.42599999999999999</v>
      </c>
      <c r="AH142" s="8">
        <v>0.20499999999999999</v>
      </c>
      <c r="AI142" s="17">
        <v>0.53800000000000003</v>
      </c>
      <c r="AJ142" s="8">
        <v>0.53400000000000003</v>
      </c>
      <c r="AK142" s="45">
        <v>0.51</v>
      </c>
      <c r="AL142" s="85">
        <v>8.3177261209650771E-2</v>
      </c>
      <c r="AM142" s="44">
        <v>25.380710659898501</v>
      </c>
      <c r="AN142" s="8">
        <v>0.98192771084337349</v>
      </c>
      <c r="AO142" s="44">
        <v>0.98192771084337349</v>
      </c>
      <c r="AP142" s="85">
        <v>0.11611766001983034</v>
      </c>
      <c r="AQ142" s="45">
        <v>672.02820315082079</v>
      </c>
      <c r="AR142" s="8">
        <v>440.67423157430869</v>
      </c>
      <c r="AS142" s="45">
        <v>33.050567368073153</v>
      </c>
      <c r="AT142" s="8">
        <v>11.016855789357717</v>
      </c>
      <c r="AU142" s="45"/>
      <c r="AV142" s="45"/>
      <c r="AW142" s="8"/>
      <c r="AX142" s="45"/>
      <c r="AY142" s="8"/>
      <c r="AZ142" s="45"/>
      <c r="BA142" s="8"/>
      <c r="BB142" s="45"/>
      <c r="BC142" s="8"/>
      <c r="BD142" s="45"/>
      <c r="BE142" s="8"/>
      <c r="BF142" s="45"/>
      <c r="BG142" s="8"/>
      <c r="BH142" s="45"/>
      <c r="BI142" s="8"/>
      <c r="BJ142" s="45"/>
      <c r="BK142" s="8"/>
      <c r="BL142" s="45"/>
      <c r="BM142" s="8"/>
      <c r="BN142" s="8"/>
      <c r="BO142" s="45"/>
      <c r="BP142" s="8"/>
      <c r="BQ142" s="45"/>
      <c r="BR142" s="8"/>
      <c r="BS142" s="45"/>
      <c r="BT142" s="8"/>
      <c r="BU142" s="45"/>
      <c r="BV142" s="8"/>
      <c r="BW142" s="45"/>
      <c r="BX142" s="8"/>
      <c r="BY142" s="45"/>
      <c r="BZ142" s="8"/>
      <c r="CA142" s="45"/>
      <c r="CB142" s="8"/>
      <c r="CC142" s="45"/>
      <c r="CD142" s="8"/>
      <c r="CE142" s="45"/>
      <c r="CF142" s="8"/>
      <c r="CG142" s="45"/>
      <c r="CH142" s="8"/>
      <c r="CI142" s="45"/>
      <c r="CJ142" s="8"/>
      <c r="CK142" s="45"/>
      <c r="CL142" s="8"/>
      <c r="CM142" s="45"/>
      <c r="CN142" s="8"/>
      <c r="CO142" s="45"/>
      <c r="CP142" s="8"/>
      <c r="CQ142" s="45"/>
      <c r="CR142" s="8"/>
      <c r="CS142" s="45"/>
      <c r="CT142" s="8"/>
      <c r="CU142" s="45"/>
      <c r="CV142" s="8"/>
      <c r="CW142" s="45"/>
      <c r="CX142" s="8"/>
      <c r="CY142" s="45"/>
      <c r="CZ142" s="8"/>
      <c r="DA142" s="45"/>
      <c r="DB142" s="8"/>
      <c r="DC142" s="45"/>
      <c r="DD142" s="8"/>
      <c r="DE142" s="45"/>
      <c r="DF142" s="8"/>
      <c r="DG142" s="45"/>
      <c r="DH142" s="8"/>
      <c r="DI142" s="45"/>
      <c r="DJ142" s="8"/>
      <c r="DK142" s="45"/>
      <c r="DL142" s="8"/>
      <c r="DM142" s="45"/>
      <c r="DN142" s="8"/>
      <c r="DO142" s="45"/>
      <c r="DP142" s="8"/>
      <c r="DQ142" s="45"/>
      <c r="DR142" s="8"/>
    </row>
    <row r="143" spans="1:122" s="38" customFormat="1" x14ac:dyDescent="0.3">
      <c r="A143" s="21" t="s">
        <v>227</v>
      </c>
      <c r="B143" s="8">
        <v>2310704</v>
      </c>
      <c r="C143" s="61">
        <v>630</v>
      </c>
      <c r="D143" s="14">
        <v>1668.8299647691454</v>
      </c>
      <c r="E143" s="18">
        <v>28</v>
      </c>
      <c r="F143" s="18">
        <v>74.170220656406457</v>
      </c>
      <c r="G143" s="7">
        <v>4.4444444444444446E-2</v>
      </c>
      <c r="H143" s="63">
        <v>37751</v>
      </c>
      <c r="I143" s="19">
        <v>2888554.6872930517</v>
      </c>
      <c r="J143" s="6">
        <v>93915392.969722658</v>
      </c>
      <c r="K143" s="5">
        <v>1379.836</v>
      </c>
      <c r="L143" s="4">
        <v>27.359048466629368</v>
      </c>
      <c r="M143" s="6">
        <v>10924.95</v>
      </c>
      <c r="N143" s="8">
        <v>0.629</v>
      </c>
      <c r="O143" s="15">
        <v>28.28</v>
      </c>
      <c r="P143" s="90">
        <v>74768795.237212256</v>
      </c>
      <c r="Q143" s="91">
        <v>85576232.894492865</v>
      </c>
      <c r="R143" s="15">
        <v>6.8</v>
      </c>
      <c r="S143" s="8">
        <v>4.7</v>
      </c>
      <c r="T143" s="8">
        <v>4.3</v>
      </c>
      <c r="U143" s="14">
        <v>99.638815314230698</v>
      </c>
      <c r="V143" s="20">
        <v>36602.78</v>
      </c>
      <c r="W143" s="48">
        <v>0</v>
      </c>
      <c r="X143" s="8">
        <v>32.35</v>
      </c>
      <c r="Y143" s="16">
        <v>39.7044854881267</v>
      </c>
      <c r="Z143" s="8">
        <v>0.56000000000000005</v>
      </c>
      <c r="AA143" s="17">
        <v>1.3509575905</v>
      </c>
      <c r="AB143" s="34">
        <v>9.7480861434000001</v>
      </c>
      <c r="AC143" s="34">
        <v>0</v>
      </c>
      <c r="AD143" s="42">
        <v>1</v>
      </c>
      <c r="AE143" s="43">
        <v>0.39564971751412431</v>
      </c>
      <c r="AF143" s="34">
        <v>0</v>
      </c>
      <c r="AG143" s="44">
        <v>0.44800000000000001</v>
      </c>
      <c r="AH143" s="8">
        <v>0.29599999999999999</v>
      </c>
      <c r="AI143" s="17">
        <v>0.54200000000000004</v>
      </c>
      <c r="AJ143" s="8">
        <v>0.50700000000000001</v>
      </c>
      <c r="AK143" s="45">
        <v>0.45200000000000001</v>
      </c>
      <c r="AL143" s="85">
        <v>0.11729490609520278</v>
      </c>
      <c r="AM143" s="44">
        <v>11.090573012939</v>
      </c>
      <c r="AN143" s="8">
        <v>0.82554671968190863</v>
      </c>
      <c r="AO143" s="44">
        <v>0.8255467196819084</v>
      </c>
      <c r="AP143" s="85">
        <v>0.12410267277688009</v>
      </c>
      <c r="AQ143" s="45">
        <v>320.52131069375645</v>
      </c>
      <c r="AR143" s="8">
        <v>500.64898943074354</v>
      </c>
      <c r="AS143" s="45">
        <v>76.819157108420967</v>
      </c>
      <c r="AT143" s="8">
        <v>18.542555164101614</v>
      </c>
      <c r="AU143" s="45"/>
      <c r="AV143" s="45"/>
      <c r="AW143" s="8"/>
      <c r="AX143" s="45"/>
      <c r="AY143" s="8"/>
      <c r="AZ143" s="45"/>
      <c r="BA143" s="8"/>
      <c r="BB143" s="45"/>
      <c r="BC143" s="8"/>
      <c r="BD143" s="45"/>
      <c r="BE143" s="8"/>
      <c r="BF143" s="45"/>
      <c r="BG143" s="8"/>
      <c r="BH143" s="45"/>
      <c r="BI143" s="8"/>
      <c r="BJ143" s="45"/>
      <c r="BK143" s="8"/>
      <c r="BL143" s="45"/>
      <c r="BM143" s="8"/>
      <c r="BN143" s="8"/>
      <c r="BO143" s="45"/>
      <c r="BP143" s="8"/>
      <c r="BQ143" s="45"/>
      <c r="BR143" s="8"/>
      <c r="BS143" s="45"/>
      <c r="BT143" s="8"/>
      <c r="BU143" s="45"/>
      <c r="BV143" s="8"/>
      <c r="BW143" s="45"/>
      <c r="BX143" s="8"/>
      <c r="BY143" s="45"/>
      <c r="BZ143" s="8"/>
      <c r="CA143" s="45"/>
      <c r="CB143" s="8"/>
      <c r="CC143" s="45"/>
      <c r="CD143" s="8"/>
      <c r="CE143" s="45"/>
      <c r="CF143" s="8"/>
      <c r="CG143" s="45"/>
      <c r="CH143" s="8"/>
      <c r="CI143" s="45"/>
      <c r="CJ143" s="8"/>
      <c r="CK143" s="45"/>
      <c r="CL143" s="8"/>
      <c r="CM143" s="45"/>
      <c r="CN143" s="8"/>
      <c r="CO143" s="45"/>
      <c r="CP143" s="8"/>
      <c r="CQ143" s="45"/>
      <c r="CR143" s="8"/>
      <c r="CS143" s="45"/>
      <c r="CT143" s="8"/>
      <c r="CU143" s="45"/>
      <c r="CV143" s="8"/>
      <c r="CW143" s="45"/>
      <c r="CX143" s="8"/>
      <c r="CY143" s="45"/>
      <c r="CZ143" s="8"/>
      <c r="DA143" s="45"/>
      <c r="DB143" s="8"/>
      <c r="DC143" s="45"/>
      <c r="DD143" s="8"/>
      <c r="DE143" s="45"/>
      <c r="DF143" s="8"/>
      <c r="DG143" s="45"/>
      <c r="DH143" s="8"/>
      <c r="DI143" s="45"/>
      <c r="DJ143" s="8"/>
      <c r="DK143" s="45"/>
      <c r="DL143" s="8"/>
      <c r="DM143" s="45"/>
      <c r="DN143" s="8"/>
      <c r="DO143" s="45"/>
      <c r="DP143" s="8"/>
      <c r="DQ143" s="45"/>
      <c r="DR143" s="8"/>
    </row>
    <row r="144" spans="1:122" s="38" customFormat="1" x14ac:dyDescent="0.3">
      <c r="A144" s="21" t="s">
        <v>228</v>
      </c>
      <c r="B144" s="8">
        <v>2310803</v>
      </c>
      <c r="C144" s="61">
        <v>78</v>
      </c>
      <c r="D144" s="14">
        <v>478.32219292328449</v>
      </c>
      <c r="E144" s="18">
        <v>0</v>
      </c>
      <c r="F144" s="18">
        <v>0</v>
      </c>
      <c r="G144" s="7">
        <v>0</v>
      </c>
      <c r="H144" s="63">
        <v>16307</v>
      </c>
      <c r="I144" s="19">
        <v>4881177.5924449619</v>
      </c>
      <c r="J144" s="6">
        <v>92084380.940700322</v>
      </c>
      <c r="K144" s="5">
        <v>435.86799999999999</v>
      </c>
      <c r="L144" s="4">
        <v>37.412702928409516</v>
      </c>
      <c r="M144" s="6">
        <v>18931.91</v>
      </c>
      <c r="N144" s="8">
        <v>0.60099999999999998</v>
      </c>
      <c r="O144" s="15">
        <v>26.38</v>
      </c>
      <c r="P144" s="90">
        <v>61736186.729625322</v>
      </c>
      <c r="Q144" s="91">
        <v>107036555.40565401</v>
      </c>
      <c r="R144" s="15">
        <v>6.3</v>
      </c>
      <c r="S144" s="8">
        <v>5.2</v>
      </c>
      <c r="T144" s="8">
        <v>4.9000000000000004</v>
      </c>
      <c r="U144" s="14">
        <v>98.415802855466495</v>
      </c>
      <c r="V144" s="20">
        <v>16560.43</v>
      </c>
      <c r="W144" s="48">
        <v>6.13</v>
      </c>
      <c r="X144" s="8">
        <v>33.33</v>
      </c>
      <c r="Y144" s="16">
        <v>48.031351417549402</v>
      </c>
      <c r="Z144" s="8">
        <v>0.67</v>
      </c>
      <c r="AA144" s="17">
        <v>1.5330839516999999</v>
      </c>
      <c r="AB144" s="34">
        <v>8.5852701293999996</v>
      </c>
      <c r="AC144" s="34">
        <v>0</v>
      </c>
      <c r="AD144" s="42">
        <v>1</v>
      </c>
      <c r="AE144" s="43">
        <v>0.65520086310845971</v>
      </c>
      <c r="AF144" s="34">
        <v>0</v>
      </c>
      <c r="AG144" s="44">
        <v>0.45600000000000002</v>
      </c>
      <c r="AH144" s="8">
        <v>0.32700000000000001</v>
      </c>
      <c r="AI144" s="17">
        <v>0.47099999999999997</v>
      </c>
      <c r="AJ144" s="8">
        <v>0.56899999999999995</v>
      </c>
      <c r="AK144" s="45">
        <v>0.60199999999999998</v>
      </c>
      <c r="AL144" s="85">
        <v>0.21438645980253879</v>
      </c>
      <c r="AM144" s="44">
        <v>9.9009900990098991</v>
      </c>
      <c r="AN144" s="8">
        <v>0.92876344086021501</v>
      </c>
      <c r="AO144" s="44">
        <v>0.92876344086021501</v>
      </c>
      <c r="AP144" s="85">
        <v>0.1582755871711535</v>
      </c>
      <c r="AQ144" s="45">
        <v>472.18985711657575</v>
      </c>
      <c r="AR144" s="8">
        <v>895.32102777948126</v>
      </c>
      <c r="AS144" s="45">
        <v>98.117372907340396</v>
      </c>
      <c r="AT144" s="8">
        <v>67.455693873796534</v>
      </c>
      <c r="AU144" s="45"/>
      <c r="AV144" s="45"/>
      <c r="AW144" s="8"/>
      <c r="AX144" s="45"/>
      <c r="AY144" s="8"/>
      <c r="AZ144" s="45"/>
      <c r="BA144" s="8"/>
      <c r="BB144" s="45"/>
      <c r="BC144" s="8"/>
      <c r="BD144" s="45"/>
      <c r="BE144" s="8"/>
      <c r="BF144" s="45"/>
      <c r="BG144" s="8"/>
      <c r="BH144" s="45"/>
      <c r="BI144" s="8"/>
      <c r="BJ144" s="45"/>
      <c r="BK144" s="8"/>
      <c r="BL144" s="45"/>
      <c r="BM144" s="8"/>
      <c r="BN144" s="8"/>
      <c r="BO144" s="45"/>
      <c r="BP144" s="8"/>
      <c r="BQ144" s="45"/>
      <c r="BR144" s="8"/>
      <c r="BS144" s="45"/>
      <c r="BT144" s="8"/>
      <c r="BU144" s="45"/>
      <c r="BV144" s="8"/>
      <c r="BW144" s="45"/>
      <c r="BX144" s="8"/>
      <c r="BY144" s="45"/>
      <c r="BZ144" s="8"/>
      <c r="CA144" s="45"/>
      <c r="CB144" s="8"/>
      <c r="CC144" s="45"/>
      <c r="CD144" s="8"/>
      <c r="CE144" s="45"/>
      <c r="CF144" s="8"/>
      <c r="CG144" s="45"/>
      <c r="CH144" s="8"/>
      <c r="CI144" s="45"/>
      <c r="CJ144" s="8"/>
      <c r="CK144" s="45"/>
      <c r="CL144" s="8"/>
      <c r="CM144" s="45"/>
      <c r="CN144" s="8"/>
      <c r="CO144" s="45"/>
      <c r="CP144" s="8"/>
      <c r="CQ144" s="45"/>
      <c r="CR144" s="8"/>
      <c r="CS144" s="45"/>
      <c r="CT144" s="8"/>
      <c r="CU144" s="45"/>
      <c r="CV144" s="8"/>
      <c r="CW144" s="45"/>
      <c r="CX144" s="8"/>
      <c r="CY144" s="45"/>
      <c r="CZ144" s="8"/>
      <c r="DA144" s="45"/>
      <c r="DB144" s="8"/>
      <c r="DC144" s="45"/>
      <c r="DD144" s="8"/>
      <c r="DE144" s="45"/>
      <c r="DF144" s="8"/>
      <c r="DG144" s="45"/>
      <c r="DH144" s="8"/>
      <c r="DI144" s="45"/>
      <c r="DJ144" s="8"/>
      <c r="DK144" s="45"/>
      <c r="DL144" s="8"/>
      <c r="DM144" s="45"/>
      <c r="DN144" s="8"/>
      <c r="DO144" s="45"/>
      <c r="DP144" s="8"/>
      <c r="DQ144" s="45"/>
      <c r="DR144" s="8"/>
    </row>
    <row r="145" spans="1:122" s="38" customFormat="1" x14ac:dyDescent="0.3">
      <c r="A145" s="21" t="s">
        <v>229</v>
      </c>
      <c r="B145" s="8">
        <v>2310852</v>
      </c>
      <c r="C145" s="61">
        <v>355</v>
      </c>
      <c r="D145" s="14">
        <v>1726.0660281032722</v>
      </c>
      <c r="E145" s="18">
        <v>17</v>
      </c>
      <c r="F145" s="18">
        <v>82.656683035931351</v>
      </c>
      <c r="G145" s="7">
        <v>4.788732394366197E-2</v>
      </c>
      <c r="H145" s="63">
        <v>20567</v>
      </c>
      <c r="I145" s="19">
        <v>2288410.3661204842</v>
      </c>
      <c r="J145" s="6">
        <v>130458501.48295812</v>
      </c>
      <c r="K145" s="5">
        <v>74.033000000000001</v>
      </c>
      <c r="L145" s="4">
        <v>277.80854483811271</v>
      </c>
      <c r="M145" s="6">
        <v>11747.62</v>
      </c>
      <c r="N145" s="8">
        <v>0.63600000000000001</v>
      </c>
      <c r="O145" s="15">
        <v>29.43</v>
      </c>
      <c r="P145" s="90">
        <v>71003223.41615209</v>
      </c>
      <c r="Q145" s="91">
        <v>88108254.485340595</v>
      </c>
      <c r="R145" s="15">
        <v>6.3</v>
      </c>
      <c r="S145" s="8">
        <v>5.0999999999999996</v>
      </c>
      <c r="T145" s="8">
        <v>3.7</v>
      </c>
      <c r="U145" s="14">
        <v>91.610297829379107</v>
      </c>
      <c r="V145" s="20">
        <v>23317.24</v>
      </c>
      <c r="W145" s="48">
        <v>14.59</v>
      </c>
      <c r="X145" s="8">
        <v>30.38</v>
      </c>
      <c r="Y145" s="16">
        <v>51.937984496124002</v>
      </c>
      <c r="Z145" s="8">
        <v>0.73</v>
      </c>
      <c r="AA145" s="17">
        <v>0.68070209559999995</v>
      </c>
      <c r="AB145" s="34">
        <v>8.3142898818000006</v>
      </c>
      <c r="AC145" s="34">
        <v>1</v>
      </c>
      <c r="AD145" s="42">
        <v>0</v>
      </c>
      <c r="AE145" s="43">
        <v>0.39624257346250602</v>
      </c>
      <c r="AF145" s="34">
        <v>0</v>
      </c>
      <c r="AG145" s="44">
        <v>0.44</v>
      </c>
      <c r="AH145" s="8">
        <v>0.41499999999999998</v>
      </c>
      <c r="AI145" s="17">
        <v>0.47599999999999998</v>
      </c>
      <c r="AJ145" s="8">
        <v>0.43</v>
      </c>
      <c r="AK145" s="45">
        <v>0.38400000000000001</v>
      </c>
      <c r="AL145" s="85">
        <v>7.1765449506490983E-2</v>
      </c>
      <c r="AM145" s="44">
        <v>11.764705882352899</v>
      </c>
      <c r="AN145" s="8">
        <v>0.73813291139240533</v>
      </c>
      <c r="AO145" s="44">
        <v>0.73813291139240522</v>
      </c>
      <c r="AP145" s="85">
        <v>0.13137550444887441</v>
      </c>
      <c r="AQ145" s="45">
        <v>423.00773083094282</v>
      </c>
      <c r="AR145" s="8">
        <v>525.1130451694462</v>
      </c>
      <c r="AS145" s="45">
        <v>34.03510477950114</v>
      </c>
      <c r="AT145" s="8">
        <v>34.03510477950114</v>
      </c>
      <c r="AU145" s="45"/>
      <c r="AV145" s="45"/>
      <c r="AW145" s="8"/>
      <c r="AX145" s="45"/>
      <c r="AY145" s="8"/>
      <c r="AZ145" s="45"/>
      <c r="BA145" s="8"/>
      <c r="BB145" s="45"/>
      <c r="BC145" s="8"/>
      <c r="BD145" s="45"/>
      <c r="BE145" s="8"/>
      <c r="BF145" s="45"/>
      <c r="BG145" s="8"/>
      <c r="BH145" s="45"/>
      <c r="BI145" s="8"/>
      <c r="BJ145" s="45"/>
      <c r="BK145" s="8"/>
      <c r="BL145" s="45"/>
      <c r="BM145" s="8"/>
      <c r="BN145" s="8"/>
      <c r="BO145" s="45"/>
      <c r="BP145" s="8"/>
      <c r="BQ145" s="45"/>
      <c r="BR145" s="8"/>
      <c r="BS145" s="45"/>
      <c r="BT145" s="8"/>
      <c r="BU145" s="45"/>
      <c r="BV145" s="8"/>
      <c r="BW145" s="45"/>
      <c r="BX145" s="8"/>
      <c r="BY145" s="45"/>
      <c r="BZ145" s="8"/>
      <c r="CA145" s="45"/>
      <c r="CB145" s="8"/>
      <c r="CC145" s="45"/>
      <c r="CD145" s="8"/>
      <c r="CE145" s="45"/>
      <c r="CF145" s="8"/>
      <c r="CG145" s="45"/>
      <c r="CH145" s="8"/>
      <c r="CI145" s="45"/>
      <c r="CJ145" s="8"/>
      <c r="CK145" s="45"/>
      <c r="CL145" s="8"/>
      <c r="CM145" s="45"/>
      <c r="CN145" s="8"/>
      <c r="CO145" s="45"/>
      <c r="CP145" s="8"/>
      <c r="CQ145" s="45"/>
      <c r="CR145" s="8"/>
      <c r="CS145" s="45"/>
      <c r="CT145" s="8"/>
      <c r="CU145" s="45"/>
      <c r="CV145" s="8"/>
      <c r="CW145" s="45"/>
      <c r="CX145" s="8"/>
      <c r="CY145" s="45"/>
      <c r="CZ145" s="8"/>
      <c r="DA145" s="45"/>
      <c r="DB145" s="8"/>
      <c r="DC145" s="45"/>
      <c r="DD145" s="8"/>
      <c r="DE145" s="45"/>
      <c r="DF145" s="8"/>
      <c r="DG145" s="45"/>
      <c r="DH145" s="8"/>
      <c r="DI145" s="45"/>
      <c r="DJ145" s="8"/>
      <c r="DK145" s="45"/>
      <c r="DL145" s="8"/>
      <c r="DM145" s="45"/>
      <c r="DN145" s="8"/>
      <c r="DO145" s="45"/>
      <c r="DP145" s="8"/>
      <c r="DQ145" s="45"/>
      <c r="DR145" s="8"/>
    </row>
    <row r="146" spans="1:122" s="38" customFormat="1" x14ac:dyDescent="0.3">
      <c r="A146" s="21" t="s">
        <v>230</v>
      </c>
      <c r="B146" s="8">
        <v>2310902</v>
      </c>
      <c r="C146" s="61">
        <v>117</v>
      </c>
      <c r="D146" s="14">
        <v>689.89916858305321</v>
      </c>
      <c r="E146" s="18">
        <v>2</v>
      </c>
      <c r="F146" s="18">
        <v>11.793148180906893</v>
      </c>
      <c r="G146" s="7">
        <v>1.7094017094017096E-2</v>
      </c>
      <c r="H146" s="63">
        <v>16959</v>
      </c>
      <c r="I146" s="19">
        <v>1464609.9416239166</v>
      </c>
      <c r="J146" s="6">
        <v>83449495.842915267</v>
      </c>
      <c r="K146" s="5">
        <v>589.601</v>
      </c>
      <c r="L146" s="4">
        <v>28.7635197362284</v>
      </c>
      <c r="M146" s="6">
        <v>7262.42</v>
      </c>
      <c r="N146" s="8">
        <v>0.6</v>
      </c>
      <c r="O146" s="15">
        <v>13.27</v>
      </c>
      <c r="P146" s="90">
        <v>62608436.405448437</v>
      </c>
      <c r="Q146" s="91">
        <v>78526104.605224356</v>
      </c>
      <c r="R146" s="15">
        <v>6.6</v>
      </c>
      <c r="S146" s="8">
        <v>5.8</v>
      </c>
      <c r="T146" s="8">
        <v>4.0999999999999996</v>
      </c>
      <c r="U146" s="14">
        <v>99.064048449256703</v>
      </c>
      <c r="V146" s="20">
        <v>11261.1</v>
      </c>
      <c r="W146" s="48">
        <v>11.79</v>
      </c>
      <c r="X146" s="8">
        <v>31.25</v>
      </c>
      <c r="Y146" s="16">
        <v>38.8622263841742</v>
      </c>
      <c r="Z146" s="8">
        <v>0.71</v>
      </c>
      <c r="AA146" s="17">
        <v>1.2972462999000001</v>
      </c>
      <c r="AB146" s="34">
        <v>10.4369361401</v>
      </c>
      <c r="AC146" s="34">
        <v>0</v>
      </c>
      <c r="AD146" s="42">
        <v>1</v>
      </c>
      <c r="AE146" s="43">
        <v>0.51897588414042806</v>
      </c>
      <c r="AF146" s="34">
        <v>0</v>
      </c>
      <c r="AG146" s="44">
        <v>0.48499999999999999</v>
      </c>
      <c r="AH146" s="8">
        <v>0.27200000000000002</v>
      </c>
      <c r="AI146" s="17">
        <v>0.59299999999999997</v>
      </c>
      <c r="AJ146" s="8">
        <v>0.59</v>
      </c>
      <c r="AK146" s="45">
        <v>0.61699999999999999</v>
      </c>
      <c r="AL146" s="85">
        <v>6.3270239990565483E-2</v>
      </c>
      <c r="AM146" s="44">
        <v>18.518518518518501</v>
      </c>
      <c r="AN146" s="8">
        <v>1</v>
      </c>
      <c r="AO146" s="44">
        <v>1</v>
      </c>
      <c r="AP146" s="85">
        <v>0.15879474025591131</v>
      </c>
      <c r="AQ146" s="45">
        <v>336.10472315584644</v>
      </c>
      <c r="AR146" s="8">
        <v>878.58953947756356</v>
      </c>
      <c r="AS146" s="45">
        <v>100.2417595377086</v>
      </c>
      <c r="AT146" s="8">
        <v>58.965740904534464</v>
      </c>
      <c r="AU146" s="45"/>
      <c r="AV146" s="45"/>
      <c r="AW146" s="8"/>
      <c r="AX146" s="45"/>
      <c r="AY146" s="8"/>
      <c r="AZ146" s="45"/>
      <c r="BA146" s="8"/>
      <c r="BB146" s="45"/>
      <c r="BC146" s="8"/>
      <c r="BD146" s="45"/>
      <c r="BE146" s="8"/>
      <c r="BF146" s="45"/>
      <c r="BG146" s="8"/>
      <c r="BH146" s="45"/>
      <c r="BI146" s="8"/>
      <c r="BJ146" s="45"/>
      <c r="BK146" s="8"/>
      <c r="BL146" s="45"/>
      <c r="BM146" s="8"/>
      <c r="BN146" s="8"/>
      <c r="BO146" s="45"/>
      <c r="BP146" s="8"/>
      <c r="BQ146" s="45"/>
      <c r="BR146" s="8"/>
      <c r="BS146" s="45"/>
      <c r="BT146" s="8"/>
      <c r="BU146" s="45"/>
      <c r="BV146" s="8"/>
      <c r="BW146" s="45"/>
      <c r="BX146" s="8"/>
      <c r="BY146" s="45"/>
      <c r="BZ146" s="8"/>
      <c r="CA146" s="45"/>
      <c r="CB146" s="8"/>
      <c r="CC146" s="45"/>
      <c r="CD146" s="8"/>
      <c r="CE146" s="45"/>
      <c r="CF146" s="8"/>
      <c r="CG146" s="45"/>
      <c r="CH146" s="8"/>
      <c r="CI146" s="45"/>
      <c r="CJ146" s="8"/>
      <c r="CK146" s="45"/>
      <c r="CL146" s="8"/>
      <c r="CM146" s="45"/>
      <c r="CN146" s="8"/>
      <c r="CO146" s="45"/>
      <c r="CP146" s="8"/>
      <c r="CQ146" s="45"/>
      <c r="CR146" s="8"/>
      <c r="CS146" s="45"/>
      <c r="CT146" s="8"/>
      <c r="CU146" s="45"/>
      <c r="CV146" s="8"/>
      <c r="CW146" s="45"/>
      <c r="CX146" s="8"/>
      <c r="CY146" s="45"/>
      <c r="CZ146" s="8"/>
      <c r="DA146" s="45"/>
      <c r="DB146" s="8"/>
      <c r="DC146" s="45"/>
      <c r="DD146" s="8"/>
      <c r="DE146" s="45"/>
      <c r="DF146" s="8"/>
      <c r="DG146" s="45"/>
      <c r="DH146" s="8"/>
      <c r="DI146" s="45"/>
      <c r="DJ146" s="8"/>
      <c r="DK146" s="45"/>
      <c r="DL146" s="8"/>
      <c r="DM146" s="45"/>
      <c r="DN146" s="8"/>
      <c r="DO146" s="45"/>
      <c r="DP146" s="8"/>
      <c r="DQ146" s="45"/>
      <c r="DR146" s="8"/>
    </row>
    <row r="147" spans="1:122" s="38" customFormat="1" x14ac:dyDescent="0.3">
      <c r="A147" s="21" t="s">
        <v>231</v>
      </c>
      <c r="B147" s="8">
        <v>2310951</v>
      </c>
      <c r="C147" s="61">
        <v>94</v>
      </c>
      <c r="D147" s="14">
        <v>858.36909871244632</v>
      </c>
      <c r="E147" s="18">
        <v>0</v>
      </c>
      <c r="F147" s="18">
        <v>0</v>
      </c>
      <c r="G147" s="7">
        <v>0</v>
      </c>
      <c r="H147" s="63">
        <v>10951</v>
      </c>
      <c r="I147" s="19">
        <v>2956633.3668158157</v>
      </c>
      <c r="J147" s="6">
        <v>75521870.148844853</v>
      </c>
      <c r="K147" s="5">
        <v>244.464</v>
      </c>
      <c r="L147" s="4">
        <v>44.795961777603246</v>
      </c>
      <c r="M147" s="6">
        <v>5351.75</v>
      </c>
      <c r="N147" s="8">
        <v>0.59099999999999997</v>
      </c>
      <c r="O147" s="15">
        <v>10.71</v>
      </c>
      <c r="P147" s="90">
        <v>55650769.975344725</v>
      </c>
      <c r="Q147" s="91">
        <v>94701436.307186559</v>
      </c>
      <c r="R147" s="15">
        <v>8.5</v>
      </c>
      <c r="S147" s="8">
        <v>7.8</v>
      </c>
      <c r="T147" s="8">
        <v>3.9</v>
      </c>
      <c r="U147" s="14">
        <v>98.310387984981205</v>
      </c>
      <c r="V147" s="20">
        <v>8946.17</v>
      </c>
      <c r="W147" s="48">
        <v>0</v>
      </c>
      <c r="X147" s="8">
        <v>41.67</v>
      </c>
      <c r="Y147" s="16">
        <v>37.732933369693697</v>
      </c>
      <c r="Z147" s="8">
        <v>0.55000000000000004</v>
      </c>
      <c r="AA147" s="17">
        <v>0</v>
      </c>
      <c r="AB147" s="34">
        <v>6.9400054789999999</v>
      </c>
      <c r="AC147" s="34">
        <v>0</v>
      </c>
      <c r="AD147" s="42">
        <v>1</v>
      </c>
      <c r="AE147" s="43">
        <v>0.67169146436961624</v>
      </c>
      <c r="AF147" s="34">
        <v>0</v>
      </c>
      <c r="AG147" s="44">
        <v>0.47199999999999998</v>
      </c>
      <c r="AH147" s="8">
        <v>0.33400000000000002</v>
      </c>
      <c r="AI147" s="17">
        <v>0.48499999999999999</v>
      </c>
      <c r="AJ147" s="8">
        <v>0.59599999999999997</v>
      </c>
      <c r="AK147" s="45">
        <v>0.57199999999999995</v>
      </c>
      <c r="AL147" s="85">
        <v>4.1913980458405622E-2</v>
      </c>
      <c r="AM147" s="44"/>
      <c r="AN147" s="8">
        <v>0.98660714285714279</v>
      </c>
      <c r="AO147" s="44">
        <v>0.98660714285714279</v>
      </c>
      <c r="AP147" s="85">
        <v>0.15249748881380695</v>
      </c>
      <c r="AQ147" s="45">
        <v>456.57930782576932</v>
      </c>
      <c r="AR147" s="8">
        <v>228.28965391288466</v>
      </c>
      <c r="AS147" s="45">
        <v>9.1315861565153877</v>
      </c>
      <c r="AT147" s="8">
        <v>18.263172313030775</v>
      </c>
      <c r="AU147" s="45"/>
      <c r="AV147" s="45"/>
      <c r="AW147" s="8"/>
      <c r="AX147" s="45"/>
      <c r="AY147" s="8"/>
      <c r="AZ147" s="45"/>
      <c r="BA147" s="8"/>
      <c r="BB147" s="45"/>
      <c r="BC147" s="8"/>
      <c r="BD147" s="45"/>
      <c r="BE147" s="8"/>
      <c r="BF147" s="45"/>
      <c r="BG147" s="8"/>
      <c r="BH147" s="45"/>
      <c r="BI147" s="8"/>
      <c r="BJ147" s="45"/>
      <c r="BK147" s="8"/>
      <c r="BL147" s="45"/>
      <c r="BM147" s="8"/>
      <c r="BN147" s="8"/>
      <c r="BO147" s="45"/>
      <c r="BP147" s="8"/>
      <c r="BQ147" s="45"/>
      <c r="BR147" s="8"/>
      <c r="BS147" s="45"/>
      <c r="BT147" s="8"/>
      <c r="BU147" s="45"/>
      <c r="BV147" s="8"/>
      <c r="BW147" s="45"/>
      <c r="BX147" s="8"/>
      <c r="BY147" s="45"/>
      <c r="BZ147" s="8"/>
      <c r="CA147" s="45"/>
      <c r="CB147" s="8"/>
      <c r="CC147" s="45"/>
      <c r="CD147" s="8"/>
      <c r="CE147" s="45"/>
      <c r="CF147" s="8"/>
      <c r="CG147" s="45"/>
      <c r="CH147" s="8"/>
      <c r="CI147" s="45"/>
      <c r="CJ147" s="8"/>
      <c r="CK147" s="45"/>
      <c r="CL147" s="8"/>
      <c r="CM147" s="45"/>
      <c r="CN147" s="8"/>
      <c r="CO147" s="45"/>
      <c r="CP147" s="8"/>
      <c r="CQ147" s="45"/>
      <c r="CR147" s="8"/>
      <c r="CS147" s="45"/>
      <c r="CT147" s="8"/>
      <c r="CU147" s="45"/>
      <c r="CV147" s="8"/>
      <c r="CW147" s="45"/>
      <c r="CX147" s="8"/>
      <c r="CY147" s="45"/>
      <c r="CZ147" s="8"/>
      <c r="DA147" s="45"/>
      <c r="DB147" s="8"/>
      <c r="DC147" s="45"/>
      <c r="DD147" s="8"/>
      <c r="DE147" s="45"/>
      <c r="DF147" s="8"/>
      <c r="DG147" s="45"/>
      <c r="DH147" s="8"/>
      <c r="DI147" s="45"/>
      <c r="DJ147" s="8"/>
      <c r="DK147" s="45"/>
      <c r="DL147" s="8"/>
      <c r="DM147" s="45"/>
      <c r="DN147" s="8"/>
      <c r="DO147" s="45"/>
      <c r="DP147" s="8"/>
      <c r="DQ147" s="45"/>
      <c r="DR147" s="8"/>
    </row>
    <row r="148" spans="1:122" s="38" customFormat="1" x14ac:dyDescent="0.3">
      <c r="A148" s="21" t="s">
        <v>232</v>
      </c>
      <c r="B148" s="8">
        <v>2311009</v>
      </c>
      <c r="C148" s="61">
        <v>98</v>
      </c>
      <c r="D148" s="14">
        <v>794.42282749675746</v>
      </c>
      <c r="E148" s="18">
        <v>0</v>
      </c>
      <c r="F148" s="18">
        <v>0</v>
      </c>
      <c r="G148" s="7">
        <v>0</v>
      </c>
      <c r="H148" s="63">
        <v>12336</v>
      </c>
      <c r="I148" s="19">
        <v>3497527.4805447469</v>
      </c>
      <c r="J148" s="6">
        <v>100462062.25680934</v>
      </c>
      <c r="K148" s="5">
        <v>1310.771</v>
      </c>
      <c r="L148" s="4">
        <v>9.4112549026488992</v>
      </c>
      <c r="M148" s="6">
        <v>6103.61</v>
      </c>
      <c r="N148" s="8">
        <v>0.58099999999999996</v>
      </c>
      <c r="O148" s="15">
        <v>19.97</v>
      </c>
      <c r="P148" s="90">
        <v>65610034.776264593</v>
      </c>
      <c r="Q148" s="91">
        <v>103293614.13748379</v>
      </c>
      <c r="R148" s="15">
        <v>5.9</v>
      </c>
      <c r="S148" s="8">
        <v>4.9000000000000004</v>
      </c>
      <c r="T148" s="8">
        <v>4.3</v>
      </c>
      <c r="U148" s="14">
        <v>99.298352654057396</v>
      </c>
      <c r="V148" s="20">
        <v>7930.42</v>
      </c>
      <c r="W148" s="48">
        <v>16.21</v>
      </c>
      <c r="X148" s="8">
        <v>33.33</v>
      </c>
      <c r="Y148" s="16">
        <v>49.995950433303598</v>
      </c>
      <c r="Z148" s="8">
        <v>0.81</v>
      </c>
      <c r="AA148" s="17">
        <v>1.7023346304</v>
      </c>
      <c r="AB148" s="34">
        <v>11.348897535700001</v>
      </c>
      <c r="AC148" s="34">
        <v>0</v>
      </c>
      <c r="AD148" s="42">
        <v>1</v>
      </c>
      <c r="AE148" s="43">
        <v>0.35022081493208901</v>
      </c>
      <c r="AF148" s="34">
        <v>0</v>
      </c>
      <c r="AG148" s="44">
        <v>0.52500000000000002</v>
      </c>
      <c r="AH148" s="8">
        <v>0.47199999999999998</v>
      </c>
      <c r="AI148" s="17">
        <v>0.51800000000000002</v>
      </c>
      <c r="AJ148" s="8">
        <v>0.58599999999999997</v>
      </c>
      <c r="AK148" s="45">
        <v>0.57999999999999996</v>
      </c>
      <c r="AL148" s="85">
        <v>5.5285343709468221E-2</v>
      </c>
      <c r="AM148" s="44">
        <v>19.1082802547771</v>
      </c>
      <c r="AN148" s="8">
        <v>0.8913043478260867</v>
      </c>
      <c r="AO148" s="44">
        <v>0.89130434782608681</v>
      </c>
      <c r="AP148" s="85">
        <v>0.15353437094682232</v>
      </c>
      <c r="AQ148" s="45">
        <v>283.72243839169909</v>
      </c>
      <c r="AR148" s="8">
        <v>875.48638132295719</v>
      </c>
      <c r="AS148" s="45">
        <v>89.169909208819718</v>
      </c>
      <c r="AT148" s="8">
        <v>48.638132295719842</v>
      </c>
      <c r="AU148" s="45"/>
      <c r="AV148" s="45"/>
      <c r="AW148" s="8"/>
      <c r="AX148" s="45"/>
      <c r="AY148" s="8"/>
      <c r="AZ148" s="45"/>
      <c r="BA148" s="8"/>
      <c r="BB148" s="45"/>
      <c r="BC148" s="8"/>
      <c r="BD148" s="45"/>
      <c r="BE148" s="8"/>
      <c r="BF148" s="45"/>
      <c r="BG148" s="8"/>
      <c r="BH148" s="45"/>
      <c r="BI148" s="8"/>
      <c r="BJ148" s="45"/>
      <c r="BK148" s="8"/>
      <c r="BL148" s="45"/>
      <c r="BM148" s="8"/>
      <c r="BN148" s="8"/>
      <c r="BO148" s="45"/>
      <c r="BP148" s="8"/>
      <c r="BQ148" s="45"/>
      <c r="BR148" s="8"/>
      <c r="BS148" s="45"/>
      <c r="BT148" s="8"/>
      <c r="BU148" s="45"/>
      <c r="BV148" s="8"/>
      <c r="BW148" s="45"/>
      <c r="BX148" s="8"/>
      <c r="BY148" s="45"/>
      <c r="BZ148" s="8"/>
      <c r="CA148" s="45"/>
      <c r="CB148" s="8"/>
      <c r="CC148" s="45"/>
      <c r="CD148" s="8"/>
      <c r="CE148" s="45"/>
      <c r="CF148" s="8"/>
      <c r="CG148" s="45"/>
      <c r="CH148" s="8"/>
      <c r="CI148" s="45"/>
      <c r="CJ148" s="8"/>
      <c r="CK148" s="45"/>
      <c r="CL148" s="8"/>
      <c r="CM148" s="45"/>
      <c r="CN148" s="8"/>
      <c r="CO148" s="45"/>
      <c r="CP148" s="8"/>
      <c r="CQ148" s="45"/>
      <c r="CR148" s="8"/>
      <c r="CS148" s="45"/>
      <c r="CT148" s="8"/>
      <c r="CU148" s="45"/>
      <c r="CV148" s="8"/>
      <c r="CW148" s="45"/>
      <c r="CX148" s="8"/>
      <c r="CY148" s="45"/>
      <c r="CZ148" s="8"/>
      <c r="DA148" s="45"/>
      <c r="DB148" s="8"/>
      <c r="DC148" s="45"/>
      <c r="DD148" s="8"/>
      <c r="DE148" s="45"/>
      <c r="DF148" s="8"/>
      <c r="DG148" s="45"/>
      <c r="DH148" s="8"/>
      <c r="DI148" s="45"/>
      <c r="DJ148" s="8"/>
      <c r="DK148" s="45"/>
      <c r="DL148" s="8"/>
      <c r="DM148" s="45"/>
      <c r="DN148" s="8"/>
      <c r="DO148" s="45"/>
      <c r="DP148" s="8"/>
      <c r="DQ148" s="45"/>
      <c r="DR148" s="8"/>
    </row>
    <row r="149" spans="1:122" s="38" customFormat="1" x14ac:dyDescent="0.3">
      <c r="A149" s="21" t="s">
        <v>233</v>
      </c>
      <c r="B149" s="8">
        <v>2311108</v>
      </c>
      <c r="C149" s="61">
        <v>143</v>
      </c>
      <c r="D149" s="14">
        <v>953.58762336623101</v>
      </c>
      <c r="E149" s="18">
        <v>3</v>
      </c>
      <c r="F149" s="18">
        <v>20.005334755934918</v>
      </c>
      <c r="G149" s="7">
        <v>2.097902097902098E-2</v>
      </c>
      <c r="H149" s="63">
        <v>14996</v>
      </c>
      <c r="I149" s="19">
        <v>13847623.632968791</v>
      </c>
      <c r="J149" s="6">
        <v>105976260.33608963</v>
      </c>
      <c r="K149" s="5">
        <v>224.86</v>
      </c>
      <c r="L149" s="4">
        <v>66.690385128524412</v>
      </c>
      <c r="M149" s="6">
        <v>9841.9</v>
      </c>
      <c r="N149" s="8">
        <v>0.622</v>
      </c>
      <c r="O149" s="15">
        <v>19.25</v>
      </c>
      <c r="P149" s="90">
        <v>70310489.263803691</v>
      </c>
      <c r="Q149" s="91">
        <v>114187019.27180582</v>
      </c>
      <c r="R149" s="15">
        <v>6</v>
      </c>
      <c r="S149" s="8">
        <v>4.9000000000000004</v>
      </c>
      <c r="T149" s="8">
        <v>3.8</v>
      </c>
      <c r="U149" s="14">
        <v>99.288888888888906</v>
      </c>
      <c r="V149" s="20">
        <v>14168.69</v>
      </c>
      <c r="W149" s="48">
        <v>46.68</v>
      </c>
      <c r="X149" s="8">
        <v>29.03</v>
      </c>
      <c r="Y149" s="16">
        <v>50.421179302045701</v>
      </c>
      <c r="Z149" s="8">
        <v>0.87</v>
      </c>
      <c r="AA149" s="17">
        <v>1.4670578821</v>
      </c>
      <c r="AB149" s="34">
        <v>10.269405174699999</v>
      </c>
      <c r="AC149" s="34">
        <v>0</v>
      </c>
      <c r="AD149" s="42">
        <v>1</v>
      </c>
      <c r="AE149" s="43">
        <v>0.58907111081601482</v>
      </c>
      <c r="AF149" s="34">
        <v>1</v>
      </c>
      <c r="AG149" s="44">
        <v>0.42799999999999999</v>
      </c>
      <c r="AH149" s="8">
        <v>0.23100000000000001</v>
      </c>
      <c r="AI149" s="17">
        <v>0.46</v>
      </c>
      <c r="AJ149" s="8">
        <v>0.59199999999999997</v>
      </c>
      <c r="AK149" s="45">
        <v>0.60099999999999998</v>
      </c>
      <c r="AL149" s="85">
        <v>7.1952520672179249E-2</v>
      </c>
      <c r="AM149" s="44">
        <v>15.037593984962401</v>
      </c>
      <c r="AN149" s="8">
        <v>0.84999999999999976</v>
      </c>
      <c r="AO149" s="44">
        <v>0.84999999999999964</v>
      </c>
      <c r="AP149" s="85">
        <v>0.14117097892771405</v>
      </c>
      <c r="AQ149" s="45">
        <v>860.22939450520141</v>
      </c>
      <c r="AR149" s="8">
        <v>1473.7263270205387</v>
      </c>
      <c r="AS149" s="45">
        <v>93.358228861029616</v>
      </c>
      <c r="AT149" s="8">
        <v>80.021339023739671</v>
      </c>
      <c r="AU149" s="45"/>
      <c r="AV149" s="45"/>
      <c r="AW149" s="8"/>
      <c r="AX149" s="45"/>
      <c r="AY149" s="8"/>
      <c r="AZ149" s="45"/>
      <c r="BA149" s="8"/>
      <c r="BB149" s="45"/>
      <c r="BC149" s="8"/>
      <c r="BD149" s="45"/>
      <c r="BE149" s="8"/>
      <c r="BF149" s="45"/>
      <c r="BG149" s="8"/>
      <c r="BH149" s="45"/>
      <c r="BI149" s="8"/>
      <c r="BJ149" s="45"/>
      <c r="BK149" s="8"/>
      <c r="BL149" s="45"/>
      <c r="BM149" s="8"/>
      <c r="BN149" s="8"/>
      <c r="BO149" s="45"/>
      <c r="BP149" s="8"/>
      <c r="BQ149" s="45"/>
      <c r="BR149" s="8"/>
      <c r="BS149" s="45"/>
      <c r="BT149" s="8"/>
      <c r="BU149" s="45"/>
      <c r="BV149" s="8"/>
      <c r="BW149" s="45"/>
      <c r="BX149" s="8"/>
      <c r="BY149" s="45"/>
      <c r="BZ149" s="8"/>
      <c r="CA149" s="45"/>
      <c r="CB149" s="8"/>
      <c r="CC149" s="45"/>
      <c r="CD149" s="8"/>
      <c r="CE149" s="45"/>
      <c r="CF149" s="8"/>
      <c r="CG149" s="45"/>
      <c r="CH149" s="8"/>
      <c r="CI149" s="45"/>
      <c r="CJ149" s="8"/>
      <c r="CK149" s="45"/>
      <c r="CL149" s="8"/>
      <c r="CM149" s="45"/>
      <c r="CN149" s="8"/>
      <c r="CO149" s="45"/>
      <c r="CP149" s="8"/>
      <c r="CQ149" s="45"/>
      <c r="CR149" s="8"/>
      <c r="CS149" s="45"/>
      <c r="CT149" s="8"/>
      <c r="CU149" s="45"/>
      <c r="CV149" s="8"/>
      <c r="CW149" s="45"/>
      <c r="CX149" s="8"/>
      <c r="CY149" s="45"/>
      <c r="CZ149" s="8"/>
      <c r="DA149" s="45"/>
      <c r="DB149" s="8"/>
      <c r="DC149" s="45"/>
      <c r="DD149" s="8"/>
      <c r="DE149" s="45"/>
      <c r="DF149" s="8"/>
      <c r="DG149" s="45"/>
      <c r="DH149" s="8"/>
      <c r="DI149" s="45"/>
      <c r="DJ149" s="8"/>
      <c r="DK149" s="45"/>
      <c r="DL149" s="8"/>
      <c r="DM149" s="45"/>
      <c r="DN149" s="8"/>
      <c r="DO149" s="45"/>
      <c r="DP149" s="8"/>
      <c r="DQ149" s="45"/>
      <c r="DR149" s="8"/>
    </row>
    <row r="150" spans="1:122" s="38" customFormat="1" x14ac:dyDescent="0.3">
      <c r="A150" s="21" t="s">
        <v>234</v>
      </c>
      <c r="B150" s="8">
        <v>2311207</v>
      </c>
      <c r="C150" s="61">
        <v>109</v>
      </c>
      <c r="D150" s="14">
        <v>986.87188773200535</v>
      </c>
      <c r="E150" s="18">
        <v>0</v>
      </c>
      <c r="F150" s="18">
        <v>0</v>
      </c>
      <c r="G150" s="7">
        <v>0</v>
      </c>
      <c r="H150" s="63">
        <v>11045</v>
      </c>
      <c r="I150" s="19">
        <v>4734384.7894975096</v>
      </c>
      <c r="J150" s="6">
        <v>79773653.236758724</v>
      </c>
      <c r="K150" s="5">
        <v>343.26400000000001</v>
      </c>
      <c r="L150" s="4">
        <v>32.176400671203503</v>
      </c>
      <c r="M150" s="6">
        <v>7955.5</v>
      </c>
      <c r="N150" s="8">
        <v>0.56200000000000006</v>
      </c>
      <c r="O150" s="15">
        <v>13.52</v>
      </c>
      <c r="P150" s="90">
        <v>82525285.649615213</v>
      </c>
      <c r="Q150" s="91">
        <v>100243548.66455409</v>
      </c>
      <c r="R150" s="15">
        <v>5.0999999999999996</v>
      </c>
      <c r="S150" s="8">
        <v>5</v>
      </c>
      <c r="T150" s="8">
        <v>4.0999999999999996</v>
      </c>
      <c r="U150" s="14">
        <v>99.558573853989799</v>
      </c>
      <c r="V150" s="20">
        <v>6795.28</v>
      </c>
      <c r="W150" s="48">
        <v>27.16</v>
      </c>
      <c r="X150" s="8">
        <v>33.33</v>
      </c>
      <c r="Y150" s="16">
        <v>39.393120835584398</v>
      </c>
      <c r="Z150" s="8">
        <v>1</v>
      </c>
      <c r="AA150" s="17">
        <v>1.6296966953000001</v>
      </c>
      <c r="AB150" s="34">
        <v>8.6011770032000001</v>
      </c>
      <c r="AC150" s="34">
        <v>0</v>
      </c>
      <c r="AD150" s="42">
        <v>1</v>
      </c>
      <c r="AE150" s="43">
        <v>0.44394706111327364</v>
      </c>
      <c r="AF150" s="34">
        <v>0</v>
      </c>
      <c r="AG150" s="44">
        <v>0.53800000000000003</v>
      </c>
      <c r="AH150" s="8">
        <v>0.223</v>
      </c>
      <c r="AI150" s="17">
        <v>0.60799999999999998</v>
      </c>
      <c r="AJ150" s="8">
        <v>0.78200000000000003</v>
      </c>
      <c r="AK150" s="45">
        <v>0.57299999999999995</v>
      </c>
      <c r="AL150" s="85">
        <v>5.5771842462652786E-2</v>
      </c>
      <c r="AM150" s="44">
        <v>14.285714285714301</v>
      </c>
      <c r="AN150" s="8">
        <v>0.98031496062992118</v>
      </c>
      <c r="AO150" s="44">
        <v>0.98031496062992129</v>
      </c>
      <c r="AP150" s="85">
        <v>0.12639203259393392</v>
      </c>
      <c r="AQ150" s="45">
        <v>362.15482118605706</v>
      </c>
      <c r="AR150" s="8">
        <v>380.2625622453599</v>
      </c>
      <c r="AS150" s="45">
        <v>18.107741059302853</v>
      </c>
      <c r="AT150" s="8">
        <v>0</v>
      </c>
      <c r="AU150" s="45"/>
      <c r="AV150" s="45"/>
      <c r="AW150" s="8"/>
      <c r="AX150" s="45"/>
      <c r="AY150" s="8"/>
      <c r="AZ150" s="45"/>
      <c r="BA150" s="8"/>
      <c r="BB150" s="45"/>
      <c r="BC150" s="8"/>
      <c r="BD150" s="45"/>
      <c r="BE150" s="8"/>
      <c r="BF150" s="45"/>
      <c r="BG150" s="8"/>
      <c r="BH150" s="45"/>
      <c r="BI150" s="8"/>
      <c r="BJ150" s="45"/>
      <c r="BK150" s="8"/>
      <c r="BL150" s="45"/>
      <c r="BM150" s="8"/>
      <c r="BN150" s="8"/>
      <c r="BO150" s="45"/>
      <c r="BP150" s="8"/>
      <c r="BQ150" s="45"/>
      <c r="BR150" s="8"/>
      <c r="BS150" s="45"/>
      <c r="BT150" s="8"/>
      <c r="BU150" s="45"/>
      <c r="BV150" s="8"/>
      <c r="BW150" s="45"/>
      <c r="BX150" s="8"/>
      <c r="BY150" s="45"/>
      <c r="BZ150" s="8"/>
      <c r="CA150" s="45"/>
      <c r="CB150" s="8"/>
      <c r="CC150" s="45"/>
      <c r="CD150" s="8"/>
      <c r="CE150" s="45"/>
      <c r="CF150" s="8"/>
      <c r="CG150" s="45"/>
      <c r="CH150" s="8"/>
      <c r="CI150" s="45"/>
      <c r="CJ150" s="8"/>
      <c r="CK150" s="45"/>
      <c r="CL150" s="8"/>
      <c r="CM150" s="45"/>
      <c r="CN150" s="8"/>
      <c r="CO150" s="45"/>
      <c r="CP150" s="8"/>
      <c r="CQ150" s="45"/>
      <c r="CR150" s="8"/>
      <c r="CS150" s="45"/>
      <c r="CT150" s="8"/>
      <c r="CU150" s="45"/>
      <c r="CV150" s="8"/>
      <c r="CW150" s="45"/>
      <c r="CX150" s="8"/>
      <c r="CY150" s="45"/>
      <c r="CZ150" s="8"/>
      <c r="DA150" s="45"/>
      <c r="DB150" s="8"/>
      <c r="DC150" s="45"/>
      <c r="DD150" s="8"/>
      <c r="DE150" s="45"/>
      <c r="DF150" s="8"/>
      <c r="DG150" s="45"/>
      <c r="DH150" s="8"/>
      <c r="DI150" s="45"/>
      <c r="DJ150" s="8"/>
      <c r="DK150" s="45"/>
      <c r="DL150" s="8"/>
      <c r="DM150" s="45"/>
      <c r="DN150" s="8"/>
      <c r="DO150" s="45"/>
      <c r="DP150" s="8"/>
      <c r="DQ150" s="45"/>
      <c r="DR150" s="8"/>
    </row>
    <row r="151" spans="1:122" s="38" customFormat="1" x14ac:dyDescent="0.3">
      <c r="A151" s="21" t="s">
        <v>235</v>
      </c>
      <c r="B151" s="8">
        <v>2311231</v>
      </c>
      <c r="C151" s="61">
        <v>50</v>
      </c>
      <c r="D151" s="14">
        <v>778.93752921015732</v>
      </c>
      <c r="E151" s="18">
        <v>0</v>
      </c>
      <c r="F151" s="18">
        <v>0</v>
      </c>
      <c r="G151" s="7">
        <v>0</v>
      </c>
      <c r="H151" s="63">
        <v>6419</v>
      </c>
      <c r="I151" s="19">
        <v>2049380.1215142542</v>
      </c>
      <c r="J151" s="6">
        <v>98847172.45676896</v>
      </c>
      <c r="K151" s="5">
        <v>409.137</v>
      </c>
      <c r="L151" s="4">
        <v>15.68912124789496</v>
      </c>
      <c r="M151" s="6">
        <v>8804.4699999999993</v>
      </c>
      <c r="N151" s="8">
        <v>0.60399999999999998</v>
      </c>
      <c r="O151" s="15">
        <v>17.28</v>
      </c>
      <c r="P151" s="90">
        <v>73994155.631718338</v>
      </c>
      <c r="Q151" s="91">
        <v>96096416.575790629</v>
      </c>
      <c r="R151" s="15">
        <v>6.8</v>
      </c>
      <c r="S151" s="8">
        <v>5</v>
      </c>
      <c r="T151" s="8">
        <v>3.6</v>
      </c>
      <c r="U151" s="14">
        <v>99.2181682799702</v>
      </c>
      <c r="V151" s="20">
        <v>5458.31</v>
      </c>
      <c r="W151" s="48">
        <v>31.16</v>
      </c>
      <c r="X151" s="8">
        <v>33.33</v>
      </c>
      <c r="Y151" s="16">
        <v>49.805810160012399</v>
      </c>
      <c r="Z151" s="8">
        <v>0.93</v>
      </c>
      <c r="AA151" s="17">
        <v>2.0252375758999999</v>
      </c>
      <c r="AB151" s="34">
        <v>9.5030378564000006</v>
      </c>
      <c r="AC151" s="34">
        <v>0</v>
      </c>
      <c r="AD151" s="42">
        <v>1</v>
      </c>
      <c r="AE151" s="43">
        <v>0.55876591576885404</v>
      </c>
      <c r="AF151" s="34">
        <v>1</v>
      </c>
      <c r="AG151" s="44">
        <v>0.46400000000000002</v>
      </c>
      <c r="AH151" s="8">
        <v>0.38</v>
      </c>
      <c r="AI151" s="17">
        <v>0.496</v>
      </c>
      <c r="AJ151" s="8">
        <v>0.51500000000000001</v>
      </c>
      <c r="AK151" s="45">
        <v>0.56499999999999995</v>
      </c>
      <c r="AL151" s="85">
        <v>9.4407228540271074E-2</v>
      </c>
      <c r="AM151" s="44"/>
      <c r="AN151" s="8">
        <v>0.74375000000000002</v>
      </c>
      <c r="AO151" s="44">
        <v>0.74374999999999991</v>
      </c>
      <c r="AP151" s="85">
        <v>0.13724879264682974</v>
      </c>
      <c r="AQ151" s="45">
        <v>311.57501168406293</v>
      </c>
      <c r="AR151" s="8">
        <v>373.89001402087553</v>
      </c>
      <c r="AS151" s="45">
        <v>62.315002336812583</v>
      </c>
      <c r="AT151" s="8">
        <v>0</v>
      </c>
      <c r="AU151" s="45"/>
      <c r="AV151" s="45"/>
      <c r="AW151" s="8"/>
      <c r="AX151" s="45"/>
      <c r="AY151" s="8"/>
      <c r="AZ151" s="45"/>
      <c r="BA151" s="8"/>
      <c r="BB151" s="45"/>
      <c r="BC151" s="8"/>
      <c r="BD151" s="45"/>
      <c r="BE151" s="8"/>
      <c r="BF151" s="45"/>
      <c r="BG151" s="8"/>
      <c r="BH151" s="45"/>
      <c r="BI151" s="8"/>
      <c r="BJ151" s="45"/>
      <c r="BK151" s="8"/>
      <c r="BL151" s="45"/>
      <c r="BM151" s="8"/>
      <c r="BN151" s="8"/>
      <c r="BO151" s="45"/>
      <c r="BP151" s="8"/>
      <c r="BQ151" s="45"/>
      <c r="BR151" s="8"/>
      <c r="BS151" s="45"/>
      <c r="BT151" s="8"/>
      <c r="BU151" s="45"/>
      <c r="BV151" s="8"/>
      <c r="BW151" s="45"/>
      <c r="BX151" s="8"/>
      <c r="BY151" s="45"/>
      <c r="BZ151" s="8"/>
      <c r="CA151" s="45"/>
      <c r="CB151" s="8"/>
      <c r="CC151" s="45"/>
      <c r="CD151" s="8"/>
      <c r="CE151" s="45"/>
      <c r="CF151" s="8"/>
      <c r="CG151" s="45"/>
      <c r="CH151" s="8"/>
      <c r="CI151" s="45"/>
      <c r="CJ151" s="8"/>
      <c r="CK151" s="45"/>
      <c r="CL151" s="8"/>
      <c r="CM151" s="45"/>
      <c r="CN151" s="8"/>
      <c r="CO151" s="45"/>
      <c r="CP151" s="8"/>
      <c r="CQ151" s="45"/>
      <c r="CR151" s="8"/>
      <c r="CS151" s="45"/>
      <c r="CT151" s="8"/>
      <c r="CU151" s="45"/>
      <c r="CV151" s="8"/>
      <c r="CW151" s="45"/>
      <c r="CX151" s="8"/>
      <c r="CY151" s="45"/>
      <c r="CZ151" s="8"/>
      <c r="DA151" s="45"/>
      <c r="DB151" s="8"/>
      <c r="DC151" s="45"/>
      <c r="DD151" s="8"/>
      <c r="DE151" s="45"/>
      <c r="DF151" s="8"/>
      <c r="DG151" s="45"/>
      <c r="DH151" s="8"/>
      <c r="DI151" s="45"/>
      <c r="DJ151" s="8"/>
      <c r="DK151" s="45"/>
      <c r="DL151" s="8"/>
      <c r="DM151" s="45"/>
      <c r="DN151" s="8"/>
      <c r="DO151" s="45"/>
      <c r="DP151" s="8"/>
      <c r="DQ151" s="45"/>
      <c r="DR151" s="8"/>
    </row>
    <row r="152" spans="1:122" s="38" customFormat="1" x14ac:dyDescent="0.3">
      <c r="A152" s="21" t="s">
        <v>236</v>
      </c>
      <c r="B152" s="8">
        <v>2311264</v>
      </c>
      <c r="C152" s="61">
        <v>185</v>
      </c>
      <c r="D152" s="14">
        <v>877.4426105103397</v>
      </c>
      <c r="E152" s="18">
        <v>2</v>
      </c>
      <c r="F152" s="18">
        <v>9.4858660595712383</v>
      </c>
      <c r="G152" s="7">
        <v>1.0810810810810811E-2</v>
      </c>
      <c r="H152" s="63">
        <v>21084</v>
      </c>
      <c r="I152" s="19">
        <v>8908748.6245494224</v>
      </c>
      <c r="J152" s="6">
        <v>97868525.89641434</v>
      </c>
      <c r="K152" s="5">
        <v>1041.8320000000001</v>
      </c>
      <c r="L152" s="4">
        <v>20.237427915441259</v>
      </c>
      <c r="M152" s="6">
        <v>6913.59</v>
      </c>
      <c r="N152" s="8">
        <v>0.59399999999999997</v>
      </c>
      <c r="O152" s="15">
        <v>13.63</v>
      </c>
      <c r="P152" s="90">
        <v>50035603.206222728</v>
      </c>
      <c r="Q152" s="91">
        <v>89412256.450388923</v>
      </c>
      <c r="R152" s="15">
        <v>6.5</v>
      </c>
      <c r="S152" s="8">
        <v>5.3</v>
      </c>
      <c r="T152" s="8">
        <v>4</v>
      </c>
      <c r="U152" s="14">
        <v>98.169181217155497</v>
      </c>
      <c r="V152" s="20">
        <v>13813.67</v>
      </c>
      <c r="W152" s="48">
        <v>28.46</v>
      </c>
      <c r="X152" s="8">
        <v>29.41</v>
      </c>
      <c r="Y152" s="16">
        <v>45.747897571577099</v>
      </c>
      <c r="Z152" s="8">
        <v>1.57</v>
      </c>
      <c r="AA152" s="17">
        <v>0.90115727570000004</v>
      </c>
      <c r="AB152" s="34">
        <v>10.4818819958</v>
      </c>
      <c r="AC152" s="34">
        <v>0</v>
      </c>
      <c r="AD152" s="42">
        <v>1</v>
      </c>
      <c r="AE152" s="43">
        <v>0.68349982430600875</v>
      </c>
      <c r="AF152" s="34">
        <v>0</v>
      </c>
      <c r="AG152" s="44">
        <v>0.48299999999999998</v>
      </c>
      <c r="AH152" s="8">
        <v>0.34699999999999998</v>
      </c>
      <c r="AI152" s="17">
        <v>0.503</v>
      </c>
      <c r="AJ152" s="8">
        <v>0.6</v>
      </c>
      <c r="AK152" s="45">
        <v>0.503</v>
      </c>
      <c r="AL152" s="85">
        <v>6.1563270726617339E-2</v>
      </c>
      <c r="AM152" s="44">
        <v>19.230769230769202</v>
      </c>
      <c r="AN152" s="8">
        <v>0.82851239669421484</v>
      </c>
      <c r="AO152" s="44">
        <v>0.82851239669421495</v>
      </c>
      <c r="AP152" s="85">
        <v>0.15129956365016126</v>
      </c>
      <c r="AQ152" s="45">
        <v>294.06184784670842</v>
      </c>
      <c r="AR152" s="8">
        <v>341.49117814456463</v>
      </c>
      <c r="AS152" s="45">
        <v>37.943464238284953</v>
      </c>
      <c r="AT152" s="8">
        <v>14.228799089356858</v>
      </c>
      <c r="AU152" s="45"/>
      <c r="AV152" s="45"/>
      <c r="AW152" s="8"/>
      <c r="AX152" s="45"/>
      <c r="AY152" s="8"/>
      <c r="AZ152" s="45"/>
      <c r="BA152" s="8"/>
      <c r="BB152" s="45"/>
      <c r="BC152" s="8"/>
      <c r="BD152" s="45"/>
      <c r="BE152" s="8"/>
      <c r="BF152" s="45"/>
      <c r="BG152" s="8"/>
      <c r="BH152" s="45"/>
      <c r="BI152" s="8"/>
      <c r="BJ152" s="45"/>
      <c r="BK152" s="8"/>
      <c r="BL152" s="45"/>
      <c r="BM152" s="8"/>
      <c r="BN152" s="8"/>
      <c r="BO152" s="45"/>
      <c r="BP152" s="8"/>
      <c r="BQ152" s="45"/>
      <c r="BR152" s="8"/>
      <c r="BS152" s="45"/>
      <c r="BT152" s="8"/>
      <c r="BU152" s="45"/>
      <c r="BV152" s="8"/>
      <c r="BW152" s="45"/>
      <c r="BX152" s="8"/>
      <c r="BY152" s="45"/>
      <c r="BZ152" s="8"/>
      <c r="CA152" s="45"/>
      <c r="CB152" s="8"/>
      <c r="CC152" s="45"/>
      <c r="CD152" s="8"/>
      <c r="CE152" s="45"/>
      <c r="CF152" s="8"/>
      <c r="CG152" s="45"/>
      <c r="CH152" s="8"/>
      <c r="CI152" s="45"/>
      <c r="CJ152" s="8"/>
      <c r="CK152" s="45"/>
      <c r="CL152" s="8"/>
      <c r="CM152" s="45"/>
      <c r="CN152" s="8"/>
      <c r="CO152" s="45"/>
      <c r="CP152" s="8"/>
      <c r="CQ152" s="45"/>
      <c r="CR152" s="8"/>
      <c r="CS152" s="45"/>
      <c r="CT152" s="8"/>
      <c r="CU152" s="45"/>
      <c r="CV152" s="8"/>
      <c r="CW152" s="45"/>
      <c r="CX152" s="8"/>
      <c r="CY152" s="45"/>
      <c r="CZ152" s="8"/>
      <c r="DA152" s="45"/>
      <c r="DB152" s="8"/>
      <c r="DC152" s="45"/>
      <c r="DD152" s="8"/>
      <c r="DE152" s="45"/>
      <c r="DF152" s="8"/>
      <c r="DG152" s="45"/>
      <c r="DH152" s="8"/>
      <c r="DI152" s="45"/>
      <c r="DJ152" s="8"/>
      <c r="DK152" s="45"/>
      <c r="DL152" s="8"/>
      <c r="DM152" s="45"/>
      <c r="DN152" s="8"/>
      <c r="DO152" s="45"/>
      <c r="DP152" s="8"/>
      <c r="DQ152" s="45"/>
      <c r="DR152" s="8"/>
    </row>
    <row r="153" spans="1:122" s="38" customFormat="1" x14ac:dyDescent="0.3">
      <c r="A153" s="21" t="s">
        <v>237</v>
      </c>
      <c r="B153" s="8">
        <v>2311306</v>
      </c>
      <c r="C153" s="61">
        <v>2841</v>
      </c>
      <c r="D153" s="14">
        <v>3238.4187488601133</v>
      </c>
      <c r="E153" s="18">
        <v>59</v>
      </c>
      <c r="F153" s="18">
        <v>67.253328469815798</v>
      </c>
      <c r="G153" s="7">
        <v>2.0767335445265753E-2</v>
      </c>
      <c r="H153" s="63">
        <v>87728</v>
      </c>
      <c r="I153" s="19">
        <v>7087142.9760167785</v>
      </c>
      <c r="J153" s="6">
        <v>96457003.465256244</v>
      </c>
      <c r="K153" s="5">
        <v>2020.586</v>
      </c>
      <c r="L153" s="4">
        <v>43.417107710337497</v>
      </c>
      <c r="M153" s="6">
        <v>11927.82</v>
      </c>
      <c r="N153" s="8">
        <v>0.65900000000000003</v>
      </c>
      <c r="O153" s="15">
        <v>26.24</v>
      </c>
      <c r="P153" s="90">
        <v>60182009.324275032</v>
      </c>
      <c r="Q153" s="91">
        <v>60161679.908353083</v>
      </c>
      <c r="R153" s="15">
        <v>5.5</v>
      </c>
      <c r="S153" s="8">
        <v>4.7</v>
      </c>
      <c r="T153" s="8">
        <v>3.7</v>
      </c>
      <c r="U153" s="14">
        <v>98.836565096952896</v>
      </c>
      <c r="V153" s="20">
        <v>74790.47</v>
      </c>
      <c r="W153" s="48">
        <v>28.5</v>
      </c>
      <c r="X153" s="8">
        <v>32.26</v>
      </c>
      <c r="Y153" s="16">
        <v>43.589859716262303</v>
      </c>
      <c r="Z153" s="8">
        <v>0.43</v>
      </c>
      <c r="AA153" s="17">
        <v>1.2880722231999999</v>
      </c>
      <c r="AB153" s="34">
        <v>10.509757432100001</v>
      </c>
      <c r="AC153" s="34">
        <v>0</v>
      </c>
      <c r="AD153" s="42">
        <v>1</v>
      </c>
      <c r="AE153" s="43">
        <v>0.2868219939457099</v>
      </c>
      <c r="AF153" s="34">
        <v>0</v>
      </c>
      <c r="AG153" s="44">
        <v>0.40100000000000002</v>
      </c>
      <c r="AH153" s="8">
        <v>0.25600000000000001</v>
      </c>
      <c r="AI153" s="17">
        <v>0.47699999999999998</v>
      </c>
      <c r="AJ153" s="8">
        <v>0.47</v>
      </c>
      <c r="AK153" s="45">
        <v>0.379</v>
      </c>
      <c r="AL153" s="85">
        <v>9.3037570672989234E-2</v>
      </c>
      <c r="AM153" s="44">
        <v>16</v>
      </c>
      <c r="AN153" s="8">
        <v>0.70734506503442973</v>
      </c>
      <c r="AO153" s="44">
        <v>0.70734506503442973</v>
      </c>
      <c r="AP153" s="85">
        <v>0.12648185300018239</v>
      </c>
      <c r="AQ153" s="45">
        <v>430.87725697610801</v>
      </c>
      <c r="AR153" s="8">
        <v>608.69961699799376</v>
      </c>
      <c r="AS153" s="45">
        <v>80.931971548422396</v>
      </c>
      <c r="AT153" s="8">
        <v>12.538756155389384</v>
      </c>
      <c r="AU153" s="45"/>
      <c r="AV153" s="45"/>
      <c r="AW153" s="8"/>
      <c r="AX153" s="45"/>
      <c r="AY153" s="8"/>
      <c r="AZ153" s="45"/>
      <c r="BA153" s="8"/>
      <c r="BB153" s="45"/>
      <c r="BC153" s="8"/>
      <c r="BD153" s="45"/>
      <c r="BE153" s="8"/>
      <c r="BF153" s="45"/>
      <c r="BG153" s="8"/>
      <c r="BH153" s="45"/>
      <c r="BI153" s="8"/>
      <c r="BJ153" s="45"/>
      <c r="BK153" s="8"/>
      <c r="BL153" s="45"/>
      <c r="BM153" s="8"/>
      <c r="BN153" s="8"/>
      <c r="BO153" s="45"/>
      <c r="BP153" s="8"/>
      <c r="BQ153" s="45"/>
      <c r="BR153" s="8"/>
      <c r="BS153" s="45"/>
      <c r="BT153" s="8"/>
      <c r="BU153" s="45"/>
      <c r="BV153" s="8"/>
      <c r="BW153" s="45"/>
      <c r="BX153" s="8"/>
      <c r="BY153" s="45"/>
      <c r="BZ153" s="8"/>
      <c r="CA153" s="45"/>
      <c r="CB153" s="8"/>
      <c r="CC153" s="45"/>
      <c r="CD153" s="8"/>
      <c r="CE153" s="45"/>
      <c r="CF153" s="8"/>
      <c r="CG153" s="45"/>
      <c r="CH153" s="8"/>
      <c r="CI153" s="45"/>
      <c r="CJ153" s="8"/>
      <c r="CK153" s="45"/>
      <c r="CL153" s="8"/>
      <c r="CM153" s="45"/>
      <c r="CN153" s="8"/>
      <c r="CO153" s="45"/>
      <c r="CP153" s="8"/>
      <c r="CQ153" s="45"/>
      <c r="CR153" s="8"/>
      <c r="CS153" s="45"/>
      <c r="CT153" s="8"/>
      <c r="CU153" s="45"/>
      <c r="CV153" s="8"/>
      <c r="CW153" s="45"/>
      <c r="CX153" s="8"/>
      <c r="CY153" s="45"/>
      <c r="CZ153" s="8"/>
      <c r="DA153" s="45"/>
      <c r="DB153" s="8"/>
      <c r="DC153" s="45"/>
      <c r="DD153" s="8"/>
      <c r="DE153" s="45"/>
      <c r="DF153" s="8"/>
      <c r="DG153" s="45"/>
      <c r="DH153" s="8"/>
      <c r="DI153" s="45"/>
      <c r="DJ153" s="8"/>
      <c r="DK153" s="45"/>
      <c r="DL153" s="8"/>
      <c r="DM153" s="45"/>
      <c r="DN153" s="8"/>
      <c r="DO153" s="45"/>
      <c r="DP153" s="8"/>
      <c r="DQ153" s="45"/>
      <c r="DR153" s="8"/>
    </row>
    <row r="154" spans="1:122" s="38" customFormat="1" x14ac:dyDescent="0.3">
      <c r="A154" s="21" t="s">
        <v>238</v>
      </c>
      <c r="B154" s="8">
        <v>2311355</v>
      </c>
      <c r="C154" s="61">
        <v>499</v>
      </c>
      <c r="D154" s="14">
        <v>3084.4356533564101</v>
      </c>
      <c r="E154" s="18">
        <v>10</v>
      </c>
      <c r="F154" s="18">
        <v>61.812337742613423</v>
      </c>
      <c r="G154" s="7">
        <v>2.004008016032064E-2</v>
      </c>
      <c r="H154" s="63">
        <v>16178</v>
      </c>
      <c r="I154" s="19">
        <v>1567996.2912597354</v>
      </c>
      <c r="J154" s="6">
        <v>97428606.749907285</v>
      </c>
      <c r="K154" s="5">
        <v>605.34500000000003</v>
      </c>
      <c r="L154" s="4">
        <v>26.725255845839975</v>
      </c>
      <c r="M154" s="6">
        <v>7905.03</v>
      </c>
      <c r="N154" s="8">
        <v>0.59099999999999997</v>
      </c>
      <c r="O154" s="15">
        <v>18.260000000000002</v>
      </c>
      <c r="P154" s="90">
        <v>75777258.25194709</v>
      </c>
      <c r="Q154" s="91">
        <v>87161954.815181121</v>
      </c>
      <c r="R154" s="15">
        <v>6.1</v>
      </c>
      <c r="S154" s="8">
        <v>5.2</v>
      </c>
      <c r="T154" s="8">
        <v>4.4000000000000004</v>
      </c>
      <c r="U154" s="14">
        <v>91.853310361801604</v>
      </c>
      <c r="V154" s="20">
        <v>16078.8</v>
      </c>
      <c r="W154" s="48">
        <v>18.54</v>
      </c>
      <c r="X154" s="8">
        <v>31.08</v>
      </c>
      <c r="Y154" s="16">
        <v>46.733139282838899</v>
      </c>
      <c r="Z154" s="8">
        <v>0.93</v>
      </c>
      <c r="AA154" s="17">
        <v>1.5453084436</v>
      </c>
      <c r="AB154" s="34">
        <v>8.9627889727000003</v>
      </c>
      <c r="AC154" s="34">
        <v>0</v>
      </c>
      <c r="AD154" s="42">
        <v>1</v>
      </c>
      <c r="AE154" s="43">
        <v>0.6714</v>
      </c>
      <c r="AF154" s="34">
        <v>0</v>
      </c>
      <c r="AG154" s="44">
        <v>0.38900000000000001</v>
      </c>
      <c r="AH154" s="8">
        <v>0.16500000000000001</v>
      </c>
      <c r="AI154" s="17">
        <v>0.45900000000000002</v>
      </c>
      <c r="AJ154" s="8">
        <v>0.54400000000000004</v>
      </c>
      <c r="AK154" s="45">
        <v>0.51100000000000001</v>
      </c>
      <c r="AL154" s="85">
        <v>5.4147607862529361E-2</v>
      </c>
      <c r="AM154" s="44">
        <v>34.482758620689701</v>
      </c>
      <c r="AN154" s="8">
        <v>0.89583333333333315</v>
      </c>
      <c r="AO154" s="44">
        <v>0.89583333333333326</v>
      </c>
      <c r="AP154" s="85">
        <v>0.17869946841389542</v>
      </c>
      <c r="AQ154" s="45">
        <v>451.23006552107802</v>
      </c>
      <c r="AR154" s="8">
        <v>1155.8907157868712</v>
      </c>
      <c r="AS154" s="45">
        <v>92.718506613920141</v>
      </c>
      <c r="AT154" s="8">
        <v>18.543701322784027</v>
      </c>
      <c r="AU154" s="45"/>
      <c r="AV154" s="45"/>
      <c r="AW154" s="8"/>
      <c r="AX154" s="45"/>
      <c r="AY154" s="8"/>
      <c r="AZ154" s="45"/>
      <c r="BA154" s="8"/>
      <c r="BB154" s="45"/>
      <c r="BC154" s="8"/>
      <c r="BD154" s="45"/>
      <c r="BE154" s="8"/>
      <c r="BF154" s="45"/>
      <c r="BG154" s="8"/>
      <c r="BH154" s="45"/>
      <c r="BI154" s="8"/>
      <c r="BJ154" s="45"/>
      <c r="BK154" s="8"/>
      <c r="BL154" s="45"/>
      <c r="BM154" s="8"/>
      <c r="BN154" s="8"/>
      <c r="BO154" s="45"/>
      <c r="BP154" s="8"/>
      <c r="BQ154" s="45"/>
      <c r="BR154" s="8"/>
      <c r="BS154" s="45"/>
      <c r="BT154" s="8"/>
      <c r="BU154" s="45"/>
      <c r="BV154" s="8"/>
      <c r="BW154" s="45"/>
      <c r="BX154" s="8"/>
      <c r="BY154" s="45"/>
      <c r="BZ154" s="8"/>
      <c r="CA154" s="45"/>
      <c r="CB154" s="8"/>
      <c r="CC154" s="45"/>
      <c r="CD154" s="8"/>
      <c r="CE154" s="45"/>
      <c r="CF154" s="8"/>
      <c r="CG154" s="45"/>
      <c r="CH154" s="8"/>
      <c r="CI154" s="45"/>
      <c r="CJ154" s="8"/>
      <c r="CK154" s="45"/>
      <c r="CL154" s="8"/>
      <c r="CM154" s="45"/>
      <c r="CN154" s="8"/>
      <c r="CO154" s="45"/>
      <c r="CP154" s="8"/>
      <c r="CQ154" s="45"/>
      <c r="CR154" s="8"/>
      <c r="CS154" s="45"/>
      <c r="CT154" s="8"/>
      <c r="CU154" s="45"/>
      <c r="CV154" s="8"/>
      <c r="CW154" s="45"/>
      <c r="CX154" s="8"/>
      <c r="CY154" s="45"/>
      <c r="CZ154" s="8"/>
      <c r="DA154" s="45"/>
      <c r="DB154" s="8"/>
      <c r="DC154" s="45"/>
      <c r="DD154" s="8"/>
      <c r="DE154" s="45"/>
      <c r="DF154" s="8"/>
      <c r="DG154" s="45"/>
      <c r="DH154" s="8"/>
      <c r="DI154" s="45"/>
      <c r="DJ154" s="8"/>
      <c r="DK154" s="45"/>
      <c r="DL154" s="8"/>
      <c r="DM154" s="45"/>
      <c r="DN154" s="8"/>
      <c r="DO154" s="45"/>
      <c r="DP154" s="8"/>
      <c r="DQ154" s="45"/>
      <c r="DR154" s="8"/>
    </row>
    <row r="155" spans="1:122" s="38" customFormat="1" x14ac:dyDescent="0.3">
      <c r="A155" s="21" t="s">
        <v>239</v>
      </c>
      <c r="B155" s="8">
        <v>2311405</v>
      </c>
      <c r="C155" s="61">
        <v>1353</v>
      </c>
      <c r="D155" s="14">
        <v>1668.6810882809996</v>
      </c>
      <c r="E155" s="18">
        <v>44</v>
      </c>
      <c r="F155" s="18">
        <v>54.266051651414614</v>
      </c>
      <c r="G155" s="7">
        <v>3.2520325203252036E-2</v>
      </c>
      <c r="H155" s="63">
        <v>81082</v>
      </c>
      <c r="I155" s="19">
        <v>3284306.159196863</v>
      </c>
      <c r="J155" s="6">
        <v>80442268.320959032</v>
      </c>
      <c r="K155" s="5">
        <v>3324.9870000000001</v>
      </c>
      <c r="L155" s="4">
        <v>24.385659252201588</v>
      </c>
      <c r="M155" s="6">
        <v>13420.15</v>
      </c>
      <c r="N155" s="8">
        <v>0.64200000000000002</v>
      </c>
      <c r="O155" s="15">
        <v>33.380000000000003</v>
      </c>
      <c r="P155" s="90">
        <v>71186174.514688835</v>
      </c>
      <c r="Q155" s="91">
        <v>80369594.854591653</v>
      </c>
      <c r="R155" s="15">
        <v>8</v>
      </c>
      <c r="S155" s="8">
        <v>6.4</v>
      </c>
      <c r="T155" s="8">
        <v>4.4000000000000004</v>
      </c>
      <c r="U155" s="14">
        <v>93.275412279884506</v>
      </c>
      <c r="V155" s="20">
        <v>91800.63</v>
      </c>
      <c r="W155" s="48">
        <v>19.73</v>
      </c>
      <c r="X155" s="8">
        <v>30.6</v>
      </c>
      <c r="Y155" s="16">
        <v>36.304385042432003</v>
      </c>
      <c r="Z155" s="8">
        <v>0.52</v>
      </c>
      <c r="AA155" s="17">
        <v>3.6629584865</v>
      </c>
      <c r="AB155" s="34">
        <v>15.860486914499999</v>
      </c>
      <c r="AC155" s="34">
        <v>0</v>
      </c>
      <c r="AD155" s="42">
        <v>1</v>
      </c>
      <c r="AE155" s="43">
        <v>0.39594085161433917</v>
      </c>
      <c r="AF155" s="34">
        <v>0</v>
      </c>
      <c r="AG155" s="44">
        <v>0.39100000000000001</v>
      </c>
      <c r="AH155" s="8">
        <v>0.19500000000000001</v>
      </c>
      <c r="AI155" s="17">
        <v>0.49299999999999999</v>
      </c>
      <c r="AJ155" s="8">
        <v>0.48599999999999999</v>
      </c>
      <c r="AK155" s="45">
        <v>0.51100000000000001</v>
      </c>
      <c r="AL155" s="85">
        <v>0.1459016797809625</v>
      </c>
      <c r="AM155" s="44">
        <v>13.821138211382101</v>
      </c>
      <c r="AN155" s="8">
        <v>0.89887111947318898</v>
      </c>
      <c r="AO155" s="44">
        <v>0.89887111947318898</v>
      </c>
      <c r="AP155" s="85">
        <v>0.13609679090303642</v>
      </c>
      <c r="AQ155" s="45">
        <v>656.12589723983126</v>
      </c>
      <c r="AR155" s="8">
        <v>1257.9857428282478</v>
      </c>
      <c r="AS155" s="45">
        <v>76.465800054266055</v>
      </c>
      <c r="AT155" s="8">
        <v>22.199748402851437</v>
      </c>
      <c r="AU155" s="45"/>
      <c r="AV155" s="45"/>
      <c r="AW155" s="8"/>
      <c r="AX155" s="45"/>
      <c r="AY155" s="8"/>
      <c r="AZ155" s="45"/>
      <c r="BA155" s="8"/>
      <c r="BB155" s="45"/>
      <c r="BC155" s="8"/>
      <c r="BD155" s="45"/>
      <c r="BE155" s="8"/>
      <c r="BF155" s="45"/>
      <c r="BG155" s="8"/>
      <c r="BH155" s="45"/>
      <c r="BI155" s="8"/>
      <c r="BJ155" s="45"/>
      <c r="BK155" s="8"/>
      <c r="BL155" s="45"/>
      <c r="BM155" s="8"/>
      <c r="BN155" s="8"/>
      <c r="BO155" s="45"/>
      <c r="BP155" s="8"/>
      <c r="BQ155" s="45"/>
      <c r="BR155" s="8"/>
      <c r="BS155" s="45"/>
      <c r="BT155" s="8"/>
      <c r="BU155" s="45"/>
      <c r="BV155" s="8"/>
      <c r="BW155" s="45"/>
      <c r="BX155" s="8"/>
      <c r="BY155" s="45"/>
      <c r="BZ155" s="8"/>
      <c r="CA155" s="45"/>
      <c r="CB155" s="8"/>
      <c r="CC155" s="45"/>
      <c r="CD155" s="8"/>
      <c r="CE155" s="45"/>
      <c r="CF155" s="8"/>
      <c r="CG155" s="45"/>
      <c r="CH155" s="8"/>
      <c r="CI155" s="45"/>
      <c r="CJ155" s="8"/>
      <c r="CK155" s="45"/>
      <c r="CL155" s="8"/>
      <c r="CM155" s="45"/>
      <c r="CN155" s="8"/>
      <c r="CO155" s="45"/>
      <c r="CP155" s="8"/>
      <c r="CQ155" s="45"/>
      <c r="CR155" s="8"/>
      <c r="CS155" s="45"/>
      <c r="CT155" s="8"/>
      <c r="CU155" s="45"/>
      <c r="CV155" s="8"/>
      <c r="CW155" s="45"/>
      <c r="CX155" s="8"/>
      <c r="CY155" s="45"/>
      <c r="CZ155" s="8"/>
      <c r="DA155" s="45"/>
      <c r="DB155" s="8"/>
      <c r="DC155" s="45"/>
      <c r="DD155" s="8"/>
      <c r="DE155" s="45"/>
      <c r="DF155" s="8"/>
      <c r="DG155" s="45"/>
      <c r="DH155" s="8"/>
      <c r="DI155" s="45"/>
      <c r="DJ155" s="8"/>
      <c r="DK155" s="45"/>
      <c r="DL155" s="8"/>
      <c r="DM155" s="45"/>
      <c r="DN155" s="8"/>
      <c r="DO155" s="45"/>
      <c r="DP155" s="8"/>
      <c r="DQ155" s="45"/>
      <c r="DR155" s="8"/>
    </row>
    <row r="156" spans="1:122" s="38" customFormat="1" x14ac:dyDescent="0.3">
      <c r="A156" s="21" t="s">
        <v>240</v>
      </c>
      <c r="B156" s="8">
        <v>2311504</v>
      </c>
      <c r="C156" s="61">
        <v>479</v>
      </c>
      <c r="D156" s="14">
        <v>2162.6258521829427</v>
      </c>
      <c r="E156" s="18">
        <v>7</v>
      </c>
      <c r="F156" s="18">
        <v>31.604135626890606</v>
      </c>
      <c r="G156" s="7">
        <v>1.4613778705636743E-2</v>
      </c>
      <c r="H156" s="63">
        <v>22149</v>
      </c>
      <c r="I156" s="19">
        <v>4597458.8469005376</v>
      </c>
      <c r="J156" s="6">
        <v>83556819.720980629</v>
      </c>
      <c r="K156" s="5">
        <v>613.09900000000005</v>
      </c>
      <c r="L156" s="4">
        <v>36.126302603657805</v>
      </c>
      <c r="M156" s="6">
        <v>19154.79</v>
      </c>
      <c r="N156" s="8">
        <v>0.622</v>
      </c>
      <c r="O156" s="15">
        <v>28.54</v>
      </c>
      <c r="P156" s="90">
        <v>92048729.062260151</v>
      </c>
      <c r="Q156" s="91">
        <v>89003990.563908085</v>
      </c>
      <c r="R156" s="15">
        <v>6.5</v>
      </c>
      <c r="S156" s="8">
        <v>5.4</v>
      </c>
      <c r="T156" s="8">
        <v>4.5999999999999996</v>
      </c>
      <c r="U156" s="14">
        <v>96.959046454767702</v>
      </c>
      <c r="V156" s="20">
        <v>86617.600000000006</v>
      </c>
      <c r="W156" s="48">
        <v>54.18</v>
      </c>
      <c r="X156" s="8">
        <v>29.51</v>
      </c>
      <c r="Y156" s="16">
        <v>33.4275333064191</v>
      </c>
      <c r="Z156" s="8">
        <v>0.5</v>
      </c>
      <c r="AA156" s="17">
        <v>1.1287191295000001</v>
      </c>
      <c r="AB156" s="34">
        <v>8.7588604451999998</v>
      </c>
      <c r="AC156" s="34">
        <v>0</v>
      </c>
      <c r="AD156" s="42">
        <v>1</v>
      </c>
      <c r="AE156" s="43">
        <v>0.38543169173706987</v>
      </c>
      <c r="AF156" s="34">
        <v>0</v>
      </c>
      <c r="AG156" s="44">
        <v>0.39</v>
      </c>
      <c r="AH156" s="8">
        <v>0.14499999999999999</v>
      </c>
      <c r="AI156" s="17">
        <v>0.51400000000000001</v>
      </c>
      <c r="AJ156" s="8">
        <v>0.51</v>
      </c>
      <c r="AK156" s="45">
        <v>0.35199999999999998</v>
      </c>
      <c r="AL156" s="85">
        <v>0.13057022890423947</v>
      </c>
      <c r="AM156" s="44">
        <v>4.1493775933609998</v>
      </c>
      <c r="AN156" s="8">
        <v>0.92804428044280451</v>
      </c>
      <c r="AO156" s="44">
        <v>0.92804428044280451</v>
      </c>
      <c r="AP156" s="85">
        <v>0.11427152467380017</v>
      </c>
      <c r="AQ156" s="45">
        <v>713.3504898641022</v>
      </c>
      <c r="AR156" s="8">
        <v>912.00505666170022</v>
      </c>
      <c r="AS156" s="45">
        <v>36.119012145017834</v>
      </c>
      <c r="AT156" s="8">
        <v>22.574382590636144</v>
      </c>
      <c r="AU156" s="45"/>
      <c r="AV156" s="45"/>
      <c r="AW156" s="8"/>
      <c r="AX156" s="45"/>
      <c r="AY156" s="8"/>
      <c r="AZ156" s="45"/>
      <c r="BA156" s="8"/>
      <c r="BB156" s="45"/>
      <c r="BC156" s="8"/>
      <c r="BD156" s="45"/>
      <c r="BE156" s="8"/>
      <c r="BF156" s="45"/>
      <c r="BG156" s="8"/>
      <c r="BH156" s="45"/>
      <c r="BI156" s="8"/>
      <c r="BJ156" s="45"/>
      <c r="BK156" s="8"/>
      <c r="BL156" s="45"/>
      <c r="BM156" s="8"/>
      <c r="BN156" s="8"/>
      <c r="BO156" s="45"/>
      <c r="BP156" s="8"/>
      <c r="BQ156" s="45"/>
      <c r="BR156" s="8"/>
      <c r="BS156" s="45"/>
      <c r="BT156" s="8"/>
      <c r="BU156" s="45"/>
      <c r="BV156" s="8"/>
      <c r="BW156" s="45"/>
      <c r="BX156" s="8"/>
      <c r="BY156" s="45"/>
      <c r="BZ156" s="8"/>
      <c r="CA156" s="45"/>
      <c r="CB156" s="8"/>
      <c r="CC156" s="45"/>
      <c r="CD156" s="8"/>
      <c r="CE156" s="45"/>
      <c r="CF156" s="8"/>
      <c r="CG156" s="45"/>
      <c r="CH156" s="8"/>
      <c r="CI156" s="45"/>
      <c r="CJ156" s="8"/>
      <c r="CK156" s="45"/>
      <c r="CL156" s="8"/>
      <c r="CM156" s="45"/>
      <c r="CN156" s="8"/>
      <c r="CO156" s="45"/>
      <c r="CP156" s="8"/>
      <c r="CQ156" s="45"/>
      <c r="CR156" s="8"/>
      <c r="CS156" s="45"/>
      <c r="CT156" s="8"/>
      <c r="CU156" s="45"/>
      <c r="CV156" s="8"/>
      <c r="CW156" s="45"/>
      <c r="CX156" s="8"/>
      <c r="CY156" s="45"/>
      <c r="CZ156" s="8"/>
      <c r="DA156" s="45"/>
      <c r="DB156" s="8"/>
      <c r="DC156" s="45"/>
      <c r="DD156" s="8"/>
      <c r="DE156" s="45"/>
      <c r="DF156" s="8"/>
      <c r="DG156" s="45"/>
      <c r="DH156" s="8"/>
      <c r="DI156" s="45"/>
      <c r="DJ156" s="8"/>
      <c r="DK156" s="45"/>
      <c r="DL156" s="8"/>
      <c r="DM156" s="45"/>
      <c r="DN156" s="8"/>
      <c r="DO156" s="45"/>
      <c r="DP156" s="8"/>
      <c r="DQ156" s="45"/>
      <c r="DR156" s="8"/>
    </row>
    <row r="157" spans="1:122" s="38" customFormat="1" x14ac:dyDescent="0.3">
      <c r="A157" s="21" t="s">
        <v>241</v>
      </c>
      <c r="B157" s="8">
        <v>2311603</v>
      </c>
      <c r="C157" s="61">
        <v>1109</v>
      </c>
      <c r="D157" s="14">
        <v>3817.1617388909922</v>
      </c>
      <c r="E157" s="18">
        <v>34</v>
      </c>
      <c r="F157" s="18">
        <v>117.02750146284377</v>
      </c>
      <c r="G157" s="7">
        <v>3.0658250676284943E-2</v>
      </c>
      <c r="H157" s="63">
        <v>29053</v>
      </c>
      <c r="I157" s="19">
        <v>27396364.953705296</v>
      </c>
      <c r="J157" s="6">
        <v>99056896.017622963</v>
      </c>
      <c r="K157" s="5">
        <v>247.989</v>
      </c>
      <c r="L157" s="4">
        <v>117.1543899124558</v>
      </c>
      <c r="M157" s="6">
        <v>16423.12</v>
      </c>
      <c r="N157" s="8">
        <v>0.626</v>
      </c>
      <c r="O157" s="15">
        <v>41.98</v>
      </c>
      <c r="P157" s="90">
        <v>69059200.185867205</v>
      </c>
      <c r="Q157" s="91">
        <v>79614354.662169144</v>
      </c>
      <c r="R157" s="15">
        <v>5.9</v>
      </c>
      <c r="S157" s="8">
        <v>5.0999999999999996</v>
      </c>
      <c r="T157" s="8">
        <v>4.5999999999999996</v>
      </c>
      <c r="U157" s="14">
        <v>96.404383696589093</v>
      </c>
      <c r="V157" s="20">
        <v>27002.95</v>
      </c>
      <c r="W157" s="48">
        <v>20.65</v>
      </c>
      <c r="X157" s="8">
        <v>34.880000000000003</v>
      </c>
      <c r="Y157" s="16">
        <v>41.552871749125103</v>
      </c>
      <c r="Z157" s="8">
        <v>1</v>
      </c>
      <c r="AA157" s="17">
        <v>1.7209926686000001</v>
      </c>
      <c r="AB157" s="34">
        <v>10.9799332255</v>
      </c>
      <c r="AC157" s="34">
        <v>0</v>
      </c>
      <c r="AD157" s="42">
        <v>1</v>
      </c>
      <c r="AE157" s="43">
        <v>0.42706795381412077</v>
      </c>
      <c r="AF157" s="34">
        <v>0</v>
      </c>
      <c r="AG157" s="44">
        <v>0.434</v>
      </c>
      <c r="AH157" s="8">
        <v>0.33600000000000002</v>
      </c>
      <c r="AI157" s="17">
        <v>0.51500000000000001</v>
      </c>
      <c r="AJ157" s="8">
        <v>0.45200000000000001</v>
      </c>
      <c r="AK157" s="45">
        <v>0.56100000000000005</v>
      </c>
      <c r="AL157" s="85">
        <v>0.1047740336626166</v>
      </c>
      <c r="AM157" s="44">
        <v>16.706443914081099</v>
      </c>
      <c r="AN157" s="8">
        <v>0.84624697336561727</v>
      </c>
      <c r="AO157" s="44">
        <v>0.84624697336561727</v>
      </c>
      <c r="AP157" s="85">
        <v>0.1394348260076412</v>
      </c>
      <c r="AQ157" s="45">
        <v>512.85581523422707</v>
      </c>
      <c r="AR157" s="8">
        <v>1042.9215571541665</v>
      </c>
      <c r="AS157" s="45">
        <v>258.14890028568476</v>
      </c>
      <c r="AT157" s="8">
        <v>130.79544281141361</v>
      </c>
      <c r="AU157" s="45"/>
      <c r="AV157" s="45"/>
      <c r="AW157" s="8"/>
      <c r="AX157" s="45"/>
      <c r="AY157" s="8"/>
      <c r="AZ157" s="45"/>
      <c r="BA157" s="8"/>
      <c r="BB157" s="45"/>
      <c r="BC157" s="8"/>
      <c r="BD157" s="45"/>
      <c r="BE157" s="8"/>
      <c r="BF157" s="45"/>
      <c r="BG157" s="8"/>
      <c r="BH157" s="45"/>
      <c r="BI157" s="8"/>
      <c r="BJ157" s="45"/>
      <c r="BK157" s="8"/>
      <c r="BL157" s="45"/>
      <c r="BM157" s="8"/>
      <c r="BN157" s="8"/>
      <c r="BO157" s="45"/>
      <c r="BP157" s="8"/>
      <c r="BQ157" s="45"/>
      <c r="BR157" s="8"/>
      <c r="BS157" s="45"/>
      <c r="BT157" s="8"/>
      <c r="BU157" s="45"/>
      <c r="BV157" s="8"/>
      <c r="BW157" s="45"/>
      <c r="BX157" s="8"/>
      <c r="BY157" s="45"/>
      <c r="BZ157" s="8"/>
      <c r="CA157" s="45"/>
      <c r="CB157" s="8"/>
      <c r="CC157" s="45"/>
      <c r="CD157" s="8"/>
      <c r="CE157" s="45"/>
      <c r="CF157" s="8"/>
      <c r="CG157" s="45"/>
      <c r="CH157" s="8"/>
      <c r="CI157" s="45"/>
      <c r="CJ157" s="8"/>
      <c r="CK157" s="45"/>
      <c r="CL157" s="8"/>
      <c r="CM157" s="45"/>
      <c r="CN157" s="8"/>
      <c r="CO157" s="45"/>
      <c r="CP157" s="8"/>
      <c r="CQ157" s="45"/>
      <c r="CR157" s="8"/>
      <c r="CS157" s="45"/>
      <c r="CT157" s="8"/>
      <c r="CU157" s="45"/>
      <c r="CV157" s="8"/>
      <c r="CW157" s="45"/>
      <c r="CX157" s="8"/>
      <c r="CY157" s="45"/>
      <c r="CZ157" s="8"/>
      <c r="DA157" s="45"/>
      <c r="DB157" s="8"/>
      <c r="DC157" s="45"/>
      <c r="DD157" s="8"/>
      <c r="DE157" s="45"/>
      <c r="DF157" s="8"/>
      <c r="DG157" s="45"/>
      <c r="DH157" s="8"/>
      <c r="DI157" s="45"/>
      <c r="DJ157" s="8"/>
      <c r="DK157" s="45"/>
      <c r="DL157" s="8"/>
      <c r="DM157" s="45"/>
      <c r="DN157" s="8"/>
      <c r="DO157" s="45"/>
      <c r="DP157" s="8"/>
      <c r="DQ157" s="45"/>
      <c r="DR157" s="8"/>
    </row>
    <row r="158" spans="1:122" s="38" customFormat="1" x14ac:dyDescent="0.3">
      <c r="A158" s="21" t="s">
        <v>242</v>
      </c>
      <c r="B158" s="8">
        <v>2311702</v>
      </c>
      <c r="C158" s="61">
        <v>254</v>
      </c>
      <c r="D158" s="14">
        <v>1373.6412308690713</v>
      </c>
      <c r="E158" s="18">
        <v>9</v>
      </c>
      <c r="F158" s="18">
        <v>48.672327078037966</v>
      </c>
      <c r="G158" s="7">
        <v>3.5433070866141732E-2</v>
      </c>
      <c r="H158" s="63">
        <v>18491</v>
      </c>
      <c r="I158" s="19">
        <v>2811304.2561246012</v>
      </c>
      <c r="J158" s="6">
        <v>95199826.942837059</v>
      </c>
      <c r="K158" s="5">
        <v>372.94900000000001</v>
      </c>
      <c r="L158" s="4">
        <v>49.580505645544029</v>
      </c>
      <c r="M158" s="6">
        <v>9859.8799999999992</v>
      </c>
      <c r="N158" s="8">
        <v>0.60099999999999998</v>
      </c>
      <c r="O158" s="15">
        <v>25.78</v>
      </c>
      <c r="P158" s="90">
        <v>71171216.754096583</v>
      </c>
      <c r="Q158" s="91">
        <v>108961629.11686768</v>
      </c>
      <c r="R158" s="15">
        <v>6.8</v>
      </c>
      <c r="S158" s="8">
        <v>5</v>
      </c>
      <c r="T158" s="8">
        <v>4.8</v>
      </c>
      <c r="U158" s="14">
        <v>96.973122331072602</v>
      </c>
      <c r="V158" s="20">
        <v>17838.52</v>
      </c>
      <c r="W158" s="48">
        <v>10.82</v>
      </c>
      <c r="X158" s="8">
        <v>33.33</v>
      </c>
      <c r="Y158" s="16">
        <v>44.269785150938297</v>
      </c>
      <c r="Z158" s="8">
        <v>0.65</v>
      </c>
      <c r="AA158" s="17">
        <v>1.4060894489</v>
      </c>
      <c r="AB158" s="34">
        <v>9.2477421448000001</v>
      </c>
      <c r="AC158" s="34">
        <v>0</v>
      </c>
      <c r="AD158" s="42">
        <v>1</v>
      </c>
      <c r="AE158" s="43">
        <v>0.45566692367000772</v>
      </c>
      <c r="AF158" s="34">
        <v>0</v>
      </c>
      <c r="AG158" s="44">
        <v>0.436</v>
      </c>
      <c r="AH158" s="8">
        <v>0.20399999999999999</v>
      </c>
      <c r="AI158" s="17">
        <v>0.503</v>
      </c>
      <c r="AJ158" s="8">
        <v>0.60199999999999998</v>
      </c>
      <c r="AK158" s="45">
        <v>0.48399999999999999</v>
      </c>
      <c r="AL158" s="85">
        <v>7.5550267697798934E-2</v>
      </c>
      <c r="AM158" s="44">
        <v>12.2950819672131</v>
      </c>
      <c r="AN158" s="8">
        <v>0.45531914893616998</v>
      </c>
      <c r="AO158" s="44">
        <v>0.45531914893616998</v>
      </c>
      <c r="AP158" s="85">
        <v>0.16489102806770861</v>
      </c>
      <c r="AQ158" s="45">
        <v>275.80985344221511</v>
      </c>
      <c r="AR158" s="8">
        <v>302.85003515223622</v>
      </c>
      <c r="AS158" s="45">
        <v>21.632145368016875</v>
      </c>
      <c r="AT158" s="8">
        <v>21.632145368016875</v>
      </c>
      <c r="AU158" s="45"/>
      <c r="AV158" s="45"/>
      <c r="AW158" s="8"/>
      <c r="AX158" s="45"/>
      <c r="AY158" s="8"/>
      <c r="AZ158" s="45"/>
      <c r="BA158" s="8"/>
      <c r="BB158" s="45"/>
      <c r="BC158" s="8"/>
      <c r="BD158" s="45"/>
      <c r="BE158" s="8"/>
      <c r="BF158" s="45"/>
      <c r="BG158" s="8"/>
      <c r="BH158" s="45"/>
      <c r="BI158" s="8"/>
      <c r="BJ158" s="45"/>
      <c r="BK158" s="8"/>
      <c r="BL158" s="45"/>
      <c r="BM158" s="8"/>
      <c r="BN158" s="8"/>
      <c r="BO158" s="45"/>
      <c r="BP158" s="8"/>
      <c r="BQ158" s="45"/>
      <c r="BR158" s="8"/>
      <c r="BS158" s="45"/>
      <c r="BT158" s="8"/>
      <c r="BU158" s="45"/>
      <c r="BV158" s="8"/>
      <c r="BW158" s="45"/>
      <c r="BX158" s="8"/>
      <c r="BY158" s="45"/>
      <c r="BZ158" s="8"/>
      <c r="CA158" s="45"/>
      <c r="CB158" s="8"/>
      <c r="CC158" s="45"/>
      <c r="CD158" s="8"/>
      <c r="CE158" s="45"/>
      <c r="CF158" s="8"/>
      <c r="CG158" s="45"/>
      <c r="CH158" s="8"/>
      <c r="CI158" s="45"/>
      <c r="CJ158" s="8"/>
      <c r="CK158" s="45"/>
      <c r="CL158" s="8"/>
      <c r="CM158" s="45"/>
      <c r="CN158" s="8"/>
      <c r="CO158" s="45"/>
      <c r="CP158" s="8"/>
      <c r="CQ158" s="45"/>
      <c r="CR158" s="8"/>
      <c r="CS158" s="45"/>
      <c r="CT158" s="8"/>
      <c r="CU158" s="45"/>
      <c r="CV158" s="8"/>
      <c r="CW158" s="45"/>
      <c r="CX158" s="8"/>
      <c r="CY158" s="45"/>
      <c r="CZ158" s="8"/>
      <c r="DA158" s="45"/>
      <c r="DB158" s="8"/>
      <c r="DC158" s="45"/>
      <c r="DD158" s="8"/>
      <c r="DE158" s="45"/>
      <c r="DF158" s="8"/>
      <c r="DG158" s="45"/>
      <c r="DH158" s="8"/>
      <c r="DI158" s="45"/>
      <c r="DJ158" s="8"/>
      <c r="DK158" s="45"/>
      <c r="DL158" s="8"/>
      <c r="DM158" s="45"/>
      <c r="DN158" s="8"/>
      <c r="DO158" s="45"/>
      <c r="DP158" s="8"/>
      <c r="DQ158" s="45"/>
      <c r="DR158" s="8"/>
    </row>
    <row r="159" spans="1:122" s="38" customFormat="1" x14ac:dyDescent="0.3">
      <c r="A159" s="21" t="s">
        <v>243</v>
      </c>
      <c r="B159" s="8">
        <v>2311801</v>
      </c>
      <c r="C159" s="61">
        <v>2139</v>
      </c>
      <c r="D159" s="14">
        <v>2735.5040028646699</v>
      </c>
      <c r="E159" s="18">
        <v>46</v>
      </c>
      <c r="F159" s="18">
        <v>58.82804307235849</v>
      </c>
      <c r="G159" s="7">
        <v>2.1505376344086023E-2</v>
      </c>
      <c r="H159" s="63">
        <v>78194</v>
      </c>
      <c r="I159" s="19">
        <v>7915667.9796403823</v>
      </c>
      <c r="J159" s="6">
        <v>82891526.204056576</v>
      </c>
      <c r="K159" s="5">
        <v>1611.0909999999999</v>
      </c>
      <c r="L159" s="4">
        <v>48.534812744903924</v>
      </c>
      <c r="M159" s="6">
        <v>14304.44</v>
      </c>
      <c r="N159" s="8">
        <v>0.67400000000000004</v>
      </c>
      <c r="O159" s="15">
        <v>37.76</v>
      </c>
      <c r="P159" s="90">
        <v>57941530.142977715</v>
      </c>
      <c r="Q159" s="91">
        <v>79834059.007084936</v>
      </c>
      <c r="R159" s="15">
        <v>6.9</v>
      </c>
      <c r="S159" s="8">
        <v>6</v>
      </c>
      <c r="T159" s="8">
        <v>5.2</v>
      </c>
      <c r="U159" s="14">
        <v>98.154955954775602</v>
      </c>
      <c r="V159" s="20">
        <v>174879.94</v>
      </c>
      <c r="W159" s="48">
        <v>21.74</v>
      </c>
      <c r="X159" s="8">
        <v>30</v>
      </c>
      <c r="Y159" s="16">
        <v>25.429121979665801</v>
      </c>
      <c r="Z159" s="8">
        <v>0.51</v>
      </c>
      <c r="AA159" s="17">
        <v>1.598588127</v>
      </c>
      <c r="AB159" s="34">
        <v>8.0185180449000004</v>
      </c>
      <c r="AC159" s="34">
        <v>0</v>
      </c>
      <c r="AD159" s="42">
        <v>1</v>
      </c>
      <c r="AE159" s="43">
        <v>0.35629287013303168</v>
      </c>
      <c r="AF159" s="34">
        <v>0</v>
      </c>
      <c r="AG159" s="44">
        <v>0.32200000000000001</v>
      </c>
      <c r="AH159" s="8">
        <v>0.17699999999999999</v>
      </c>
      <c r="AI159" s="17">
        <v>0.40400000000000003</v>
      </c>
      <c r="AJ159" s="8">
        <v>0.38400000000000001</v>
      </c>
      <c r="AK159" s="45">
        <v>0.56999999999999995</v>
      </c>
      <c r="AL159" s="85">
        <v>0.12977977849962913</v>
      </c>
      <c r="AM159" s="44">
        <v>12.6182965299685</v>
      </c>
      <c r="AN159" s="8">
        <v>0.9326042726347914</v>
      </c>
      <c r="AO159" s="44">
        <v>0.93260427263479151</v>
      </c>
      <c r="AP159" s="85">
        <v>0.11933140650177763</v>
      </c>
      <c r="AQ159" s="45">
        <v>520.50029414021537</v>
      </c>
      <c r="AR159" s="8">
        <v>1902.9593063406398</v>
      </c>
      <c r="AS159" s="45">
        <v>86.963194106964721</v>
      </c>
      <c r="AT159" s="8">
        <v>140.67575517303118</v>
      </c>
      <c r="AU159" s="45"/>
      <c r="AV159" s="45"/>
      <c r="AW159" s="8"/>
      <c r="AX159" s="45"/>
      <c r="AY159" s="8"/>
      <c r="AZ159" s="45"/>
      <c r="BA159" s="8"/>
      <c r="BB159" s="45"/>
      <c r="BC159" s="8"/>
      <c r="BD159" s="45"/>
      <c r="BE159" s="8"/>
      <c r="BF159" s="45"/>
      <c r="BG159" s="8"/>
      <c r="BH159" s="45"/>
      <c r="BI159" s="8"/>
      <c r="BJ159" s="45"/>
      <c r="BK159" s="8"/>
      <c r="BL159" s="45"/>
      <c r="BM159" s="8"/>
      <c r="BN159" s="8"/>
      <c r="BO159" s="45"/>
      <c r="BP159" s="8"/>
      <c r="BQ159" s="45"/>
      <c r="BR159" s="8"/>
      <c r="BS159" s="45"/>
      <c r="BT159" s="8"/>
      <c r="BU159" s="45"/>
      <c r="BV159" s="8"/>
      <c r="BW159" s="45"/>
      <c r="BX159" s="8"/>
      <c r="BY159" s="45"/>
      <c r="BZ159" s="8"/>
      <c r="CA159" s="45"/>
      <c r="CB159" s="8"/>
      <c r="CC159" s="45"/>
      <c r="CD159" s="8"/>
      <c r="CE159" s="45"/>
      <c r="CF159" s="8"/>
      <c r="CG159" s="45"/>
      <c r="CH159" s="8"/>
      <c r="CI159" s="45"/>
      <c r="CJ159" s="8"/>
      <c r="CK159" s="45"/>
      <c r="CL159" s="8"/>
      <c r="CM159" s="45"/>
      <c r="CN159" s="8"/>
      <c r="CO159" s="45"/>
      <c r="CP159" s="8"/>
      <c r="CQ159" s="45"/>
      <c r="CR159" s="8"/>
      <c r="CS159" s="45"/>
      <c r="CT159" s="8"/>
      <c r="CU159" s="45"/>
      <c r="CV159" s="8"/>
      <c r="CW159" s="45"/>
      <c r="CX159" s="8"/>
      <c r="CY159" s="45"/>
      <c r="CZ159" s="8"/>
      <c r="DA159" s="45"/>
      <c r="DB159" s="8"/>
      <c r="DC159" s="45"/>
      <c r="DD159" s="8"/>
      <c r="DE159" s="45"/>
      <c r="DF159" s="8"/>
      <c r="DG159" s="45"/>
      <c r="DH159" s="8"/>
      <c r="DI159" s="45"/>
      <c r="DJ159" s="8"/>
      <c r="DK159" s="45"/>
      <c r="DL159" s="8"/>
      <c r="DM159" s="45"/>
      <c r="DN159" s="8"/>
      <c r="DO159" s="45"/>
      <c r="DP159" s="8"/>
      <c r="DQ159" s="45"/>
      <c r="DR159" s="8"/>
    </row>
    <row r="160" spans="1:122" s="38" customFormat="1" x14ac:dyDescent="0.3">
      <c r="A160" s="21" t="s">
        <v>244</v>
      </c>
      <c r="B160" s="8">
        <v>2311900</v>
      </c>
      <c r="C160" s="61">
        <v>35</v>
      </c>
      <c r="D160" s="14">
        <v>221.25292369934891</v>
      </c>
      <c r="E160" s="18">
        <v>1</v>
      </c>
      <c r="F160" s="18">
        <v>6.3215121056956827</v>
      </c>
      <c r="G160" s="7">
        <v>2.8571428571428571E-2</v>
      </c>
      <c r="H160" s="63">
        <v>15819</v>
      </c>
      <c r="I160" s="19">
        <v>1701307.7944244263</v>
      </c>
      <c r="J160" s="6">
        <v>90840128.958846956</v>
      </c>
      <c r="K160" s="5">
        <v>1381.2739999999999</v>
      </c>
      <c r="L160" s="4">
        <v>11.452470690102038</v>
      </c>
      <c r="M160" s="6">
        <v>8035.33</v>
      </c>
      <c r="N160" s="8">
        <v>0.57499999999999996</v>
      </c>
      <c r="O160" s="15">
        <v>11.85</v>
      </c>
      <c r="P160" s="90">
        <v>54836999.114988305</v>
      </c>
      <c r="Q160" s="91">
        <v>100440562.23528668</v>
      </c>
      <c r="R160" s="15">
        <v>5.8</v>
      </c>
      <c r="S160" s="8">
        <v>5.7</v>
      </c>
      <c r="T160" s="8">
        <v>4.4000000000000004</v>
      </c>
      <c r="U160" s="14">
        <v>99.199417758369705</v>
      </c>
      <c r="V160" s="20">
        <v>9873.0499999999993</v>
      </c>
      <c r="W160" s="48">
        <v>37.93</v>
      </c>
      <c r="X160" s="8">
        <v>34.69</v>
      </c>
      <c r="Y160" s="16">
        <v>45.711933113757297</v>
      </c>
      <c r="Z160" s="8">
        <v>0.7</v>
      </c>
      <c r="AA160" s="17">
        <v>2.4021746002</v>
      </c>
      <c r="AB160" s="34">
        <v>9.3558379164000005</v>
      </c>
      <c r="AC160" s="34">
        <v>0</v>
      </c>
      <c r="AD160" s="42">
        <v>1</v>
      </c>
      <c r="AE160" s="43">
        <v>0.46324276282376842</v>
      </c>
      <c r="AF160" s="34">
        <v>1</v>
      </c>
      <c r="AG160" s="44">
        <v>0.436</v>
      </c>
      <c r="AH160" s="8">
        <v>0.17100000000000001</v>
      </c>
      <c r="AI160" s="17">
        <v>0.52100000000000002</v>
      </c>
      <c r="AJ160" s="8">
        <v>0.61699999999999999</v>
      </c>
      <c r="AK160" s="45">
        <v>0.63200000000000001</v>
      </c>
      <c r="AL160" s="85">
        <v>5.0888172450850241E-2</v>
      </c>
      <c r="AM160" s="44"/>
      <c r="AN160" s="8">
        <v>0.95165745856353601</v>
      </c>
      <c r="AO160" s="44">
        <v>0.95165745856353601</v>
      </c>
      <c r="AP160" s="85">
        <v>0.16379037865857513</v>
      </c>
      <c r="AQ160" s="45">
        <v>284.46804475630569</v>
      </c>
      <c r="AR160" s="8">
        <v>562.61457740691571</v>
      </c>
      <c r="AS160" s="45">
        <v>44.250584739869772</v>
      </c>
      <c r="AT160" s="8">
        <v>6.3215121056956827</v>
      </c>
      <c r="AU160" s="45"/>
      <c r="AV160" s="45"/>
      <c r="AW160" s="8"/>
      <c r="AX160" s="45"/>
      <c r="AY160" s="8"/>
      <c r="AZ160" s="45"/>
      <c r="BA160" s="8"/>
      <c r="BB160" s="45"/>
      <c r="BC160" s="8"/>
      <c r="BD160" s="45"/>
      <c r="BE160" s="8"/>
      <c r="BF160" s="45"/>
      <c r="BG160" s="8"/>
      <c r="BH160" s="45"/>
      <c r="BI160" s="8"/>
      <c r="BJ160" s="45"/>
      <c r="BK160" s="8"/>
      <c r="BL160" s="45"/>
      <c r="BM160" s="8"/>
      <c r="BN160" s="8"/>
      <c r="BO160" s="45"/>
      <c r="BP160" s="8"/>
      <c r="BQ160" s="45"/>
      <c r="BR160" s="8"/>
      <c r="BS160" s="45"/>
      <c r="BT160" s="8"/>
      <c r="BU160" s="45"/>
      <c r="BV160" s="8"/>
      <c r="BW160" s="45"/>
      <c r="BX160" s="8"/>
      <c r="BY160" s="45"/>
      <c r="BZ160" s="8"/>
      <c r="CA160" s="45"/>
      <c r="CB160" s="8"/>
      <c r="CC160" s="45"/>
      <c r="CD160" s="8"/>
      <c r="CE160" s="45"/>
      <c r="CF160" s="8"/>
      <c r="CG160" s="45"/>
      <c r="CH160" s="8"/>
      <c r="CI160" s="45"/>
      <c r="CJ160" s="8"/>
      <c r="CK160" s="45"/>
      <c r="CL160" s="8"/>
      <c r="CM160" s="45"/>
      <c r="CN160" s="8"/>
      <c r="CO160" s="45"/>
      <c r="CP160" s="8"/>
      <c r="CQ160" s="45"/>
      <c r="CR160" s="8"/>
      <c r="CS160" s="45"/>
      <c r="CT160" s="8"/>
      <c r="CU160" s="45"/>
      <c r="CV160" s="8"/>
      <c r="CW160" s="45"/>
      <c r="CX160" s="8"/>
      <c r="CY160" s="45"/>
      <c r="CZ160" s="8"/>
      <c r="DA160" s="45"/>
      <c r="DB160" s="8"/>
      <c r="DC160" s="45"/>
      <c r="DD160" s="8"/>
      <c r="DE160" s="45"/>
      <c r="DF160" s="8"/>
      <c r="DG160" s="45"/>
      <c r="DH160" s="8"/>
      <c r="DI160" s="45"/>
      <c r="DJ160" s="8"/>
      <c r="DK160" s="45"/>
      <c r="DL160" s="8"/>
      <c r="DM160" s="45"/>
      <c r="DN160" s="8"/>
      <c r="DO160" s="45"/>
      <c r="DP160" s="8"/>
      <c r="DQ160" s="45"/>
      <c r="DR160" s="8"/>
    </row>
    <row r="161" spans="1:122" s="38" customFormat="1" x14ac:dyDescent="0.3">
      <c r="A161" s="21" t="s">
        <v>245</v>
      </c>
      <c r="B161" s="8">
        <v>2311959</v>
      </c>
      <c r="C161" s="61">
        <v>223</v>
      </c>
      <c r="D161" s="14">
        <v>1347.1064395312312</v>
      </c>
      <c r="E161" s="18">
        <v>3</v>
      </c>
      <c r="F161" s="18">
        <v>18.122508155128671</v>
      </c>
      <c r="G161" s="7">
        <v>1.3452914798206279E-2</v>
      </c>
      <c r="H161" s="63">
        <v>16554</v>
      </c>
      <c r="I161" s="19">
        <v>11416908.481333816</v>
      </c>
      <c r="J161" s="6">
        <v>107393983.32729249</v>
      </c>
      <c r="K161" s="5">
        <v>806.25300000000004</v>
      </c>
      <c r="L161" s="4">
        <v>20.532016625054418</v>
      </c>
      <c r="M161" s="6">
        <v>6602.19</v>
      </c>
      <c r="N161" s="8">
        <v>0.54</v>
      </c>
      <c r="O161" s="15">
        <v>11.78</v>
      </c>
      <c r="P161" s="90">
        <v>70025669.747493044</v>
      </c>
      <c r="Q161" s="91">
        <v>115932928.23486772</v>
      </c>
      <c r="R161" s="15">
        <v>7.7</v>
      </c>
      <c r="S161" s="8">
        <v>6</v>
      </c>
      <c r="T161" s="8">
        <v>3.7</v>
      </c>
      <c r="U161" s="14">
        <v>89.807436918990703</v>
      </c>
      <c r="V161" s="20">
        <v>9637.91</v>
      </c>
      <c r="W161" s="48">
        <v>18.12</v>
      </c>
      <c r="X161" s="8">
        <v>33.33</v>
      </c>
      <c r="Y161" s="16">
        <v>59.477006311992803</v>
      </c>
      <c r="Z161" s="8">
        <v>1.0900000000000001</v>
      </c>
      <c r="AA161" s="17">
        <v>0.84571704719999996</v>
      </c>
      <c r="AB161" s="34">
        <v>8.9404373565000004</v>
      </c>
      <c r="AC161" s="34">
        <v>0</v>
      </c>
      <c r="AD161" s="42">
        <v>1</v>
      </c>
      <c r="AE161" s="43">
        <v>0.59470652947647706</v>
      </c>
      <c r="AF161" s="34">
        <v>0</v>
      </c>
      <c r="AG161" s="44">
        <v>0.54600000000000004</v>
      </c>
      <c r="AH161" s="8">
        <v>0.47299999999999998</v>
      </c>
      <c r="AI161" s="17">
        <v>0.59399999999999997</v>
      </c>
      <c r="AJ161" s="8">
        <v>0.57199999999999995</v>
      </c>
      <c r="AK161" s="45">
        <v>0.55300000000000005</v>
      </c>
      <c r="AL161" s="85">
        <v>9.3512142080463934E-2</v>
      </c>
      <c r="AM161" s="44">
        <v>24.390243902439</v>
      </c>
      <c r="AN161" s="8">
        <v>0.93542435424354253</v>
      </c>
      <c r="AO161" s="44">
        <v>0.93542435424354253</v>
      </c>
      <c r="AP161" s="85">
        <v>0.10583544762595143</v>
      </c>
      <c r="AQ161" s="45">
        <v>507.43022834360272</v>
      </c>
      <c r="AR161" s="8">
        <v>815.51286698079014</v>
      </c>
      <c r="AS161" s="45">
        <v>48.326688413676457</v>
      </c>
      <c r="AT161" s="8">
        <v>0</v>
      </c>
      <c r="AU161" s="45"/>
      <c r="AV161" s="45"/>
      <c r="AW161" s="8"/>
      <c r="AX161" s="45"/>
      <c r="AY161" s="8"/>
      <c r="AZ161" s="45"/>
      <c r="BA161" s="8"/>
      <c r="BB161" s="45"/>
      <c r="BC161" s="8"/>
      <c r="BD161" s="45"/>
      <c r="BE161" s="8"/>
      <c r="BF161" s="45"/>
      <c r="BG161" s="8"/>
      <c r="BH161" s="45"/>
      <c r="BI161" s="8"/>
      <c r="BJ161" s="45"/>
      <c r="BK161" s="8"/>
      <c r="BL161" s="45"/>
      <c r="BM161" s="8"/>
      <c r="BN161" s="8"/>
      <c r="BO161" s="45"/>
      <c r="BP161" s="8"/>
      <c r="BQ161" s="45"/>
      <c r="BR161" s="8"/>
      <c r="BS161" s="45"/>
      <c r="BT161" s="8"/>
      <c r="BU161" s="45"/>
      <c r="BV161" s="8"/>
      <c r="BW161" s="45"/>
      <c r="BX161" s="8"/>
      <c r="BY161" s="45"/>
      <c r="BZ161" s="8"/>
      <c r="CA161" s="45"/>
      <c r="CB161" s="8"/>
      <c r="CC161" s="45"/>
      <c r="CD161" s="8"/>
      <c r="CE161" s="45"/>
      <c r="CF161" s="8"/>
      <c r="CG161" s="45"/>
      <c r="CH161" s="8"/>
      <c r="CI161" s="45"/>
      <c r="CJ161" s="8"/>
      <c r="CK161" s="45"/>
      <c r="CL161" s="8"/>
      <c r="CM161" s="45"/>
      <c r="CN161" s="8"/>
      <c r="CO161" s="45"/>
      <c r="CP161" s="8"/>
      <c r="CQ161" s="45"/>
      <c r="CR161" s="8"/>
      <c r="CS161" s="45"/>
      <c r="CT161" s="8"/>
      <c r="CU161" s="45"/>
      <c r="CV161" s="8"/>
      <c r="CW161" s="45"/>
      <c r="CX161" s="8"/>
      <c r="CY161" s="45"/>
      <c r="CZ161" s="8"/>
      <c r="DA161" s="45"/>
      <c r="DB161" s="8"/>
      <c r="DC161" s="45"/>
      <c r="DD161" s="8"/>
      <c r="DE161" s="45"/>
      <c r="DF161" s="8"/>
      <c r="DG161" s="45"/>
      <c r="DH161" s="8"/>
      <c r="DI161" s="45"/>
      <c r="DJ161" s="8"/>
      <c r="DK161" s="45"/>
      <c r="DL161" s="8"/>
      <c r="DM161" s="45"/>
      <c r="DN161" s="8"/>
      <c r="DO161" s="45"/>
      <c r="DP161" s="8"/>
      <c r="DQ161" s="45"/>
      <c r="DR161" s="8"/>
    </row>
    <row r="162" spans="1:122" s="38" customFormat="1" x14ac:dyDescent="0.3">
      <c r="A162" s="21" t="s">
        <v>246</v>
      </c>
      <c r="B162" s="8">
        <v>2312205</v>
      </c>
      <c r="C162" s="61">
        <v>1039</v>
      </c>
      <c r="D162" s="14">
        <v>2377.4111617051462</v>
      </c>
      <c r="E162" s="18">
        <v>18</v>
      </c>
      <c r="F162" s="18">
        <v>41.187103860146898</v>
      </c>
      <c r="G162" s="7">
        <v>1.7324350336862367E-2</v>
      </c>
      <c r="H162" s="63">
        <v>43703</v>
      </c>
      <c r="I162" s="19">
        <v>1187242.4776331144</v>
      </c>
      <c r="J162" s="6">
        <v>39160698.350227669</v>
      </c>
      <c r="K162" s="5">
        <v>4262.2979999999998</v>
      </c>
      <c r="L162" s="4">
        <v>10.253389134218208</v>
      </c>
      <c r="M162" s="6">
        <v>6921.76</v>
      </c>
      <c r="N162" s="8">
        <v>0.61599999999999999</v>
      </c>
      <c r="O162" s="15">
        <v>18.920000000000002</v>
      </c>
      <c r="P162" s="90">
        <v>19643436.240075052</v>
      </c>
      <c r="Q162" s="91">
        <v>37592999.405075163</v>
      </c>
      <c r="R162" s="15">
        <v>5.2</v>
      </c>
      <c r="S162" s="8">
        <v>5.5</v>
      </c>
      <c r="T162" s="8">
        <v>3.5</v>
      </c>
      <c r="U162" s="14">
        <v>99.653697290690602</v>
      </c>
      <c r="V162" s="20">
        <v>10207.48</v>
      </c>
      <c r="W162" s="48">
        <v>41.19</v>
      </c>
      <c r="X162" s="8">
        <v>33.33</v>
      </c>
      <c r="Y162" s="16">
        <v>56.244354110207802</v>
      </c>
      <c r="Z162" s="8">
        <v>0.56000000000000005</v>
      </c>
      <c r="AA162" s="17">
        <v>1.1864406780000001</v>
      </c>
      <c r="AB162" s="34">
        <v>8.2485875705999998</v>
      </c>
      <c r="AC162" s="34">
        <v>0</v>
      </c>
      <c r="AD162" s="42">
        <v>1</v>
      </c>
      <c r="AE162" s="43">
        <v>0.48619685497961562</v>
      </c>
      <c r="AF162" s="34">
        <v>1</v>
      </c>
      <c r="AG162" s="44">
        <v>0.45100000000000001</v>
      </c>
      <c r="AH162" s="8">
        <v>0.33700000000000002</v>
      </c>
      <c r="AI162" s="17">
        <v>0.436</v>
      </c>
      <c r="AJ162" s="8">
        <v>0.57999999999999996</v>
      </c>
      <c r="AK162" s="45">
        <v>0.54900000000000004</v>
      </c>
      <c r="AL162" s="85">
        <v>2.7183488547696956E-2</v>
      </c>
      <c r="AM162" s="44">
        <v>23.722627737226301</v>
      </c>
      <c r="AN162" s="8">
        <v>0.72352342158859473</v>
      </c>
      <c r="AO162" s="44">
        <v>1</v>
      </c>
      <c r="AP162" s="85">
        <v>5.4138159851726424E-2</v>
      </c>
      <c r="AQ162" s="45">
        <v>205.93551930073451</v>
      </c>
      <c r="AR162" s="8">
        <v>144.15486351051416</v>
      </c>
      <c r="AS162" s="45">
        <v>22.88172436674828</v>
      </c>
      <c r="AT162" s="8">
        <v>2.2881724366748277</v>
      </c>
      <c r="AU162" s="45"/>
      <c r="AV162" s="45"/>
      <c r="AW162" s="8"/>
      <c r="AX162" s="45"/>
      <c r="AY162" s="8"/>
      <c r="AZ162" s="45"/>
      <c r="BA162" s="8"/>
      <c r="BB162" s="45"/>
      <c r="BC162" s="8"/>
      <c r="BD162" s="45"/>
      <c r="BE162" s="8"/>
      <c r="BF162" s="45"/>
      <c r="BG162" s="8"/>
      <c r="BH162" s="45"/>
      <c r="BI162" s="8"/>
      <c r="BJ162" s="45"/>
      <c r="BK162" s="8"/>
      <c r="BL162" s="45"/>
      <c r="BM162" s="8"/>
      <c r="BN162" s="8"/>
      <c r="BO162" s="45"/>
      <c r="BP162" s="8"/>
      <c r="BQ162" s="45"/>
      <c r="BR162" s="8"/>
      <c r="BS162" s="45"/>
      <c r="BT162" s="8"/>
      <c r="BU162" s="45"/>
      <c r="BV162" s="8"/>
      <c r="BW162" s="45"/>
      <c r="BX162" s="8"/>
      <c r="BY162" s="45"/>
      <c r="BZ162" s="8"/>
      <c r="CA162" s="45"/>
      <c r="CB162" s="8"/>
      <c r="CC162" s="45"/>
      <c r="CD162" s="8"/>
      <c r="CE162" s="45"/>
      <c r="CF162" s="8"/>
      <c r="CG162" s="45"/>
      <c r="CH162" s="8"/>
      <c r="CI162" s="45"/>
      <c r="CJ162" s="8"/>
      <c r="CK162" s="45"/>
      <c r="CL162" s="8"/>
      <c r="CM162" s="45"/>
      <c r="CN162" s="8"/>
      <c r="CO162" s="45"/>
      <c r="CP162" s="8"/>
      <c r="CQ162" s="45"/>
      <c r="CR162" s="8"/>
      <c r="CS162" s="45"/>
      <c r="CT162" s="8"/>
      <c r="CU162" s="45"/>
      <c r="CV162" s="8"/>
      <c r="CW162" s="45"/>
      <c r="CX162" s="8"/>
      <c r="CY162" s="45"/>
      <c r="CZ162" s="8"/>
      <c r="DA162" s="45"/>
      <c r="DB162" s="8"/>
      <c r="DC162" s="45"/>
      <c r="DD162" s="8"/>
      <c r="DE162" s="45"/>
      <c r="DF162" s="8"/>
      <c r="DG162" s="45"/>
      <c r="DH162" s="8"/>
      <c r="DI162" s="45"/>
      <c r="DJ162" s="8"/>
      <c r="DK162" s="45"/>
      <c r="DL162" s="8"/>
      <c r="DM162" s="45"/>
      <c r="DN162" s="8"/>
      <c r="DO162" s="45"/>
      <c r="DP162" s="8"/>
      <c r="DQ162" s="45"/>
      <c r="DR162" s="8"/>
    </row>
    <row r="163" spans="1:122" s="38" customFormat="1" x14ac:dyDescent="0.3">
      <c r="A163" s="21" t="s">
        <v>247</v>
      </c>
      <c r="B163" s="8">
        <v>2312007</v>
      </c>
      <c r="C163" s="61">
        <v>709</v>
      </c>
      <c r="D163" s="14">
        <v>2184.7651916676937</v>
      </c>
      <c r="E163" s="18">
        <v>26</v>
      </c>
      <c r="F163" s="18">
        <v>80.118328608406259</v>
      </c>
      <c r="G163" s="7">
        <v>3.6671368124118475E-2</v>
      </c>
      <c r="H163" s="63">
        <v>32452</v>
      </c>
      <c r="I163" s="19">
        <v>3015003.2355478862</v>
      </c>
      <c r="J163" s="6">
        <v>127051645.50721066</v>
      </c>
      <c r="K163" s="5">
        <v>972.57299999999998</v>
      </c>
      <c r="L163" s="4">
        <v>33.367161128264925</v>
      </c>
      <c r="M163" s="6">
        <v>10095.69</v>
      </c>
      <c r="N163" s="8">
        <v>0.58699999999999997</v>
      </c>
      <c r="O163" s="15">
        <v>21.13</v>
      </c>
      <c r="P163" s="90">
        <v>57002718.414889686</v>
      </c>
      <c r="Q163" s="91">
        <v>111177360.7173672</v>
      </c>
      <c r="R163" s="15">
        <v>6.3</v>
      </c>
      <c r="S163" s="8">
        <v>5.3</v>
      </c>
      <c r="T163" s="8">
        <v>4.5</v>
      </c>
      <c r="U163" s="14">
        <v>98.3323107814156</v>
      </c>
      <c r="V163" s="20">
        <v>51425.48</v>
      </c>
      <c r="W163" s="48">
        <v>33.9</v>
      </c>
      <c r="X163" s="8">
        <v>30.77</v>
      </c>
      <c r="Y163" s="16">
        <v>43.252270595502303</v>
      </c>
      <c r="Z163" s="8">
        <v>0.46</v>
      </c>
      <c r="AA163" s="17">
        <v>1.1212044940000001</v>
      </c>
      <c r="AB163" s="34">
        <v>7.1619797268000003</v>
      </c>
      <c r="AC163" s="34">
        <v>0</v>
      </c>
      <c r="AD163" s="42">
        <v>1</v>
      </c>
      <c r="AE163" s="43">
        <v>0.47945653953183826</v>
      </c>
      <c r="AF163" s="34">
        <v>1</v>
      </c>
      <c r="AG163" s="44">
        <v>0.505</v>
      </c>
      <c r="AH163" s="8">
        <v>0.32800000000000001</v>
      </c>
      <c r="AI163" s="17">
        <v>0.58599999999999997</v>
      </c>
      <c r="AJ163" s="8">
        <v>0.60099999999999998</v>
      </c>
      <c r="AK163" s="45">
        <v>0.53900000000000003</v>
      </c>
      <c r="AL163" s="85">
        <v>0.12516948107974854</v>
      </c>
      <c r="AM163" s="44">
        <v>13.953488372093</v>
      </c>
      <c r="AN163" s="8">
        <v>0.87710843373493974</v>
      </c>
      <c r="AO163" s="44">
        <v>0.72352342158859473</v>
      </c>
      <c r="AP163" s="85">
        <v>0.19767656847035622</v>
      </c>
      <c r="AQ163" s="45">
        <v>425.2434364600025</v>
      </c>
      <c r="AR163" s="8">
        <v>711.82053494391721</v>
      </c>
      <c r="AS163" s="45">
        <v>67.792431899420677</v>
      </c>
      <c r="AT163" s="8">
        <v>27.733267595217551</v>
      </c>
      <c r="AU163" s="45"/>
      <c r="AV163" s="45"/>
      <c r="AW163" s="8"/>
      <c r="AX163" s="45"/>
      <c r="AY163" s="8"/>
      <c r="AZ163" s="45"/>
      <c r="BA163" s="8"/>
      <c r="BB163" s="45"/>
      <c r="BC163" s="8"/>
      <c r="BD163" s="45"/>
      <c r="BE163" s="8"/>
      <c r="BF163" s="45"/>
      <c r="BG163" s="8"/>
      <c r="BH163" s="45"/>
      <c r="BI163" s="8"/>
      <c r="BJ163" s="45"/>
      <c r="BK163" s="8"/>
      <c r="BL163" s="45"/>
      <c r="BM163" s="8"/>
      <c r="BN163" s="8"/>
      <c r="BO163" s="45"/>
      <c r="BP163" s="8"/>
      <c r="BQ163" s="45"/>
      <c r="BR163" s="8"/>
      <c r="BS163" s="45"/>
      <c r="BT163" s="8"/>
      <c r="BU163" s="45"/>
      <c r="BV163" s="8"/>
      <c r="BW163" s="45"/>
      <c r="BX163" s="8"/>
      <c r="BY163" s="45"/>
      <c r="BZ163" s="8"/>
      <c r="CA163" s="45"/>
      <c r="CB163" s="8"/>
      <c r="CC163" s="45"/>
      <c r="CD163" s="8"/>
      <c r="CE163" s="45"/>
      <c r="CF163" s="8"/>
      <c r="CG163" s="45"/>
      <c r="CH163" s="8"/>
      <c r="CI163" s="45"/>
      <c r="CJ163" s="8"/>
      <c r="CK163" s="45"/>
      <c r="CL163" s="8"/>
      <c r="CM163" s="45"/>
      <c r="CN163" s="8"/>
      <c r="CO163" s="45"/>
      <c r="CP163" s="8"/>
      <c r="CQ163" s="45"/>
      <c r="CR163" s="8"/>
      <c r="CS163" s="45"/>
      <c r="CT163" s="8"/>
      <c r="CU163" s="45"/>
      <c r="CV163" s="8"/>
      <c r="CW163" s="45"/>
      <c r="CX163" s="8"/>
      <c r="CY163" s="45"/>
      <c r="CZ163" s="8"/>
      <c r="DA163" s="45"/>
      <c r="DB163" s="8"/>
      <c r="DC163" s="45"/>
      <c r="DD163" s="8"/>
      <c r="DE163" s="45"/>
      <c r="DF163" s="8"/>
      <c r="DG163" s="45"/>
      <c r="DH163" s="8"/>
      <c r="DI163" s="45"/>
      <c r="DJ163" s="8"/>
      <c r="DK163" s="45"/>
      <c r="DL163" s="8"/>
      <c r="DM163" s="45"/>
      <c r="DN163" s="8"/>
      <c r="DO163" s="45"/>
      <c r="DP163" s="8"/>
      <c r="DQ163" s="45"/>
      <c r="DR163" s="8"/>
    </row>
    <row r="164" spans="1:122" s="38" customFormat="1" x14ac:dyDescent="0.3">
      <c r="A164" s="21" t="s">
        <v>248</v>
      </c>
      <c r="B164" s="8">
        <v>2312106</v>
      </c>
      <c r="C164" s="61">
        <v>135</v>
      </c>
      <c r="D164" s="14">
        <v>762.71186440677968</v>
      </c>
      <c r="E164" s="18">
        <v>6</v>
      </c>
      <c r="F164" s="18">
        <v>33.898305084745765</v>
      </c>
      <c r="G164" s="7">
        <v>4.4444444444444446E-2</v>
      </c>
      <c r="H164" s="63">
        <v>17700</v>
      </c>
      <c r="I164" s="19">
        <v>9354067.4011299424</v>
      </c>
      <c r="J164" s="6">
        <v>180650847.45762712</v>
      </c>
      <c r="K164" s="5">
        <v>855.16499999999996</v>
      </c>
      <c r="L164" s="4">
        <v>20.697760081387802</v>
      </c>
      <c r="M164" s="6">
        <v>6705.45</v>
      </c>
      <c r="N164" s="8">
        <v>0.61199999999999999</v>
      </c>
      <c r="O164" s="15">
        <v>22.83</v>
      </c>
      <c r="P164" s="90">
        <v>72129433.841807902</v>
      </c>
      <c r="Q164" s="91">
        <v>158528558.41807908</v>
      </c>
      <c r="R164" s="15">
        <v>6.3</v>
      </c>
      <c r="S164" s="8">
        <v>4.4000000000000004</v>
      </c>
      <c r="T164" s="8">
        <v>3.8</v>
      </c>
      <c r="U164" s="14">
        <v>99.726177437020795</v>
      </c>
      <c r="V164" s="20">
        <v>18722.43</v>
      </c>
      <c r="W164" s="48">
        <v>11.3</v>
      </c>
      <c r="X164" s="8">
        <v>30.77</v>
      </c>
      <c r="Y164" s="16">
        <v>54.749800943222901</v>
      </c>
      <c r="Z164" s="8">
        <v>0.4</v>
      </c>
      <c r="AA164" s="17">
        <v>1.2325896708999999</v>
      </c>
      <c r="AB164" s="34">
        <v>7.0257611240999998</v>
      </c>
      <c r="AC164" s="34">
        <v>0</v>
      </c>
      <c r="AD164" s="42">
        <v>1</v>
      </c>
      <c r="AE164" s="43">
        <v>0.48667601683029454</v>
      </c>
      <c r="AF164" s="34">
        <v>1</v>
      </c>
      <c r="AG164" s="44">
        <v>0.46800000000000003</v>
      </c>
      <c r="AH164" s="8">
        <v>0.309</v>
      </c>
      <c r="AI164" s="17">
        <v>0.52100000000000002</v>
      </c>
      <c r="AJ164" s="8">
        <v>0.57299999999999995</v>
      </c>
      <c r="AK164" s="45">
        <v>0.42899999999999999</v>
      </c>
      <c r="AL164" s="85">
        <v>8.5932203389830514E-2</v>
      </c>
      <c r="AM164" s="44">
        <v>6.9686411149825798</v>
      </c>
      <c r="AN164" s="8">
        <v>1</v>
      </c>
      <c r="AO164" s="44">
        <v>0.87710843373493974</v>
      </c>
      <c r="AP164" s="85">
        <v>0.21627118644067797</v>
      </c>
      <c r="AQ164" s="45">
        <v>446.32768361581918</v>
      </c>
      <c r="AR164" s="8">
        <v>1180.7909604519775</v>
      </c>
      <c r="AS164" s="45">
        <v>39.548022598870055</v>
      </c>
      <c r="AT164" s="8">
        <v>11.299435028248588</v>
      </c>
      <c r="AU164" s="45"/>
      <c r="AV164" s="45"/>
      <c r="AW164" s="8"/>
      <c r="AX164" s="45"/>
      <c r="AY164" s="8"/>
      <c r="AZ164" s="45"/>
      <c r="BA164" s="8"/>
      <c r="BB164" s="45"/>
      <c r="BC164" s="8"/>
      <c r="BD164" s="45"/>
      <c r="BE164" s="8"/>
      <c r="BF164" s="45"/>
      <c r="BG164" s="8"/>
      <c r="BH164" s="45"/>
      <c r="BI164" s="8"/>
      <c r="BJ164" s="45"/>
      <c r="BK164" s="8"/>
      <c r="BL164" s="45"/>
      <c r="BM164" s="8"/>
      <c r="BN164" s="8"/>
      <c r="BO164" s="45"/>
      <c r="BP164" s="8"/>
      <c r="BQ164" s="45"/>
      <c r="BR164" s="8"/>
      <c r="BS164" s="45"/>
      <c r="BT164" s="8"/>
      <c r="BU164" s="45"/>
      <c r="BV164" s="8"/>
      <c r="BW164" s="45"/>
      <c r="BX164" s="8"/>
      <c r="BY164" s="45"/>
      <c r="BZ164" s="8"/>
      <c r="CA164" s="45"/>
      <c r="CB164" s="8"/>
      <c r="CC164" s="45"/>
      <c r="CD164" s="8"/>
      <c r="CE164" s="45"/>
      <c r="CF164" s="8"/>
      <c r="CG164" s="45"/>
      <c r="CH164" s="8"/>
      <c r="CI164" s="45"/>
      <c r="CJ164" s="8"/>
      <c r="CK164" s="45"/>
      <c r="CL164" s="8"/>
      <c r="CM164" s="45"/>
      <c r="CN164" s="8"/>
      <c r="CO164" s="45"/>
      <c r="CP164" s="8"/>
      <c r="CQ164" s="45"/>
      <c r="CR164" s="8"/>
      <c r="CS164" s="45"/>
      <c r="CT164" s="8"/>
      <c r="CU164" s="45"/>
      <c r="CV164" s="8"/>
      <c r="CW164" s="45"/>
      <c r="CX164" s="8"/>
      <c r="CY164" s="45"/>
      <c r="CZ164" s="8"/>
      <c r="DA164" s="45"/>
      <c r="DB164" s="8"/>
      <c r="DC164" s="45"/>
      <c r="DD164" s="8"/>
      <c r="DE164" s="45"/>
      <c r="DF164" s="8"/>
      <c r="DG164" s="45"/>
      <c r="DH164" s="8"/>
      <c r="DI164" s="45"/>
      <c r="DJ164" s="8"/>
      <c r="DK164" s="45"/>
      <c r="DL164" s="8"/>
      <c r="DM164" s="45"/>
      <c r="DN164" s="8"/>
      <c r="DO164" s="45"/>
      <c r="DP164" s="8"/>
      <c r="DQ164" s="45"/>
      <c r="DR164" s="8"/>
    </row>
    <row r="165" spans="1:122" s="38" customFormat="1" x14ac:dyDescent="0.3">
      <c r="A165" s="21" t="s">
        <v>249</v>
      </c>
      <c r="B165" s="8">
        <v>2312304</v>
      </c>
      <c r="C165" s="61">
        <v>558</v>
      </c>
      <c r="D165" s="14">
        <v>1164.8539757426468</v>
      </c>
      <c r="E165" s="18">
        <v>15</v>
      </c>
      <c r="F165" s="18">
        <v>31.313278917813083</v>
      </c>
      <c r="G165" s="7">
        <v>2.6881720430107527E-2</v>
      </c>
      <c r="H165" s="63">
        <v>47903</v>
      </c>
      <c r="I165" s="19">
        <v>5587727.3239671839</v>
      </c>
      <c r="J165" s="6">
        <v>47596183.955075882</v>
      </c>
      <c r="K165" s="5">
        <v>350.84699999999998</v>
      </c>
      <c r="L165" s="4">
        <v>136.53529886246713</v>
      </c>
      <c r="M165" s="6">
        <v>10796.05</v>
      </c>
      <c r="N165" s="8">
        <v>0.61099999999999999</v>
      </c>
      <c r="O165" s="15">
        <v>38.479999999999997</v>
      </c>
      <c r="P165" s="90">
        <v>51680278.500302687</v>
      </c>
      <c r="Q165" s="91">
        <v>106587040.58200946</v>
      </c>
      <c r="R165" s="15">
        <v>5.4</v>
      </c>
      <c r="S165" s="8">
        <v>4.8</v>
      </c>
      <c r="T165" s="8">
        <v>4.9000000000000004</v>
      </c>
      <c r="U165" s="14">
        <v>99.254458423349007</v>
      </c>
      <c r="V165" s="20">
        <v>37764.67</v>
      </c>
      <c r="W165" s="48">
        <v>27.14</v>
      </c>
      <c r="X165" s="8">
        <v>27.27</v>
      </c>
      <c r="Y165" s="16">
        <v>44.6282021981675</v>
      </c>
      <c r="Z165" s="8">
        <v>0.52</v>
      </c>
      <c r="AA165" s="17">
        <v>1.7535436194</v>
      </c>
      <c r="AB165" s="34">
        <v>7.2229296704000001</v>
      </c>
      <c r="AC165" s="34">
        <v>0</v>
      </c>
      <c r="AD165" s="42">
        <v>1</v>
      </c>
      <c r="AE165" s="43">
        <v>0.44420299696681609</v>
      </c>
      <c r="AF165" s="34">
        <v>0</v>
      </c>
      <c r="AG165" s="44">
        <v>0.4</v>
      </c>
      <c r="AH165" s="8">
        <v>0.215</v>
      </c>
      <c r="AI165" s="17">
        <v>0.47299999999999998</v>
      </c>
      <c r="AJ165" s="8">
        <v>0.51100000000000001</v>
      </c>
      <c r="AK165" s="45">
        <v>0.64600000000000002</v>
      </c>
      <c r="AL165" s="85">
        <v>7.8742458718660632E-2</v>
      </c>
      <c r="AM165" s="44">
        <v>15.719467956469201</v>
      </c>
      <c r="AN165" s="8">
        <v>0.91677503250975267</v>
      </c>
      <c r="AO165" s="44">
        <v>0.80329153605015702</v>
      </c>
      <c r="AP165" s="85">
        <v>0.12915683777633968</v>
      </c>
      <c r="AQ165" s="45">
        <v>363.23403544663176</v>
      </c>
      <c r="AR165" s="8">
        <v>484.31204726217561</v>
      </c>
      <c r="AS165" s="45">
        <v>68.88921361918878</v>
      </c>
      <c r="AT165" s="8">
        <v>10.437759639271027</v>
      </c>
      <c r="AU165" s="45"/>
      <c r="AV165" s="45"/>
      <c r="AW165" s="8"/>
      <c r="AX165" s="45"/>
      <c r="AY165" s="8"/>
      <c r="AZ165" s="45"/>
      <c r="BA165" s="8"/>
      <c r="BB165" s="45"/>
      <c r="BC165" s="8"/>
      <c r="BD165" s="45"/>
      <c r="BE165" s="8"/>
      <c r="BF165" s="45"/>
      <c r="BG165" s="8"/>
      <c r="BH165" s="45"/>
      <c r="BI165" s="8"/>
      <c r="BJ165" s="45"/>
      <c r="BK165" s="8"/>
      <c r="BL165" s="45"/>
      <c r="BM165" s="8"/>
      <c r="BN165" s="8"/>
      <c r="BO165" s="45"/>
      <c r="BP165" s="8"/>
      <c r="BQ165" s="45"/>
      <c r="BR165" s="8"/>
      <c r="BS165" s="45"/>
      <c r="BT165" s="8"/>
      <c r="BU165" s="45"/>
      <c r="BV165" s="8"/>
      <c r="BW165" s="45"/>
      <c r="BX165" s="8"/>
      <c r="BY165" s="45"/>
      <c r="BZ165" s="8"/>
      <c r="CA165" s="45"/>
      <c r="CB165" s="8"/>
      <c r="CC165" s="45"/>
      <c r="CD165" s="8"/>
      <c r="CE165" s="45"/>
      <c r="CF165" s="8"/>
      <c r="CG165" s="45"/>
      <c r="CH165" s="8"/>
      <c r="CI165" s="45"/>
      <c r="CJ165" s="8"/>
      <c r="CK165" s="45"/>
      <c r="CL165" s="8"/>
      <c r="CM165" s="45"/>
      <c r="CN165" s="8"/>
      <c r="CO165" s="45"/>
      <c r="CP165" s="8"/>
      <c r="CQ165" s="45"/>
      <c r="CR165" s="8"/>
      <c r="CS165" s="45"/>
      <c r="CT165" s="8"/>
      <c r="CU165" s="45"/>
      <c r="CV165" s="8"/>
      <c r="CW165" s="45"/>
      <c r="CX165" s="8"/>
      <c r="CY165" s="45"/>
      <c r="CZ165" s="8"/>
      <c r="DA165" s="45"/>
      <c r="DB165" s="8"/>
      <c r="DC165" s="45"/>
      <c r="DD165" s="8"/>
      <c r="DE165" s="45"/>
      <c r="DF165" s="8"/>
      <c r="DG165" s="45"/>
      <c r="DH165" s="8"/>
      <c r="DI165" s="45"/>
      <c r="DJ165" s="8"/>
      <c r="DK165" s="45"/>
      <c r="DL165" s="8"/>
      <c r="DM165" s="45"/>
      <c r="DN165" s="8"/>
      <c r="DO165" s="45"/>
      <c r="DP165" s="8"/>
      <c r="DQ165" s="45"/>
      <c r="DR165" s="8"/>
    </row>
    <row r="166" spans="1:122" s="38" customFormat="1" x14ac:dyDescent="0.3">
      <c r="A166" s="21" t="s">
        <v>250</v>
      </c>
      <c r="B166" s="8">
        <v>2312403</v>
      </c>
      <c r="C166" s="61">
        <v>1982</v>
      </c>
      <c r="D166" s="14">
        <v>4093.1807855933257</v>
      </c>
      <c r="E166" s="18">
        <v>46</v>
      </c>
      <c r="F166" s="18">
        <v>94.998141340712891</v>
      </c>
      <c r="G166" s="7">
        <v>2.3208879919273461E-2</v>
      </c>
      <c r="H166" s="63">
        <v>48422</v>
      </c>
      <c r="I166" s="19">
        <v>1059206.3731361779</v>
      </c>
      <c r="J166" s="6">
        <v>15756474.329850066</v>
      </c>
      <c r="K166" s="5">
        <v>842.63499999999999</v>
      </c>
      <c r="L166" s="4">
        <v>57.464975938573644</v>
      </c>
      <c r="M166" s="6">
        <v>87086.02</v>
      </c>
      <c r="N166" s="8">
        <v>0.66500000000000004</v>
      </c>
      <c r="O166" s="15">
        <v>60.98</v>
      </c>
      <c r="P166" s="90">
        <v>108373309.07438768</v>
      </c>
      <c r="Q166" s="91">
        <v>165366952.43897399</v>
      </c>
      <c r="R166" s="15">
        <v>6.7</v>
      </c>
      <c r="S166" s="8">
        <v>5.7</v>
      </c>
      <c r="T166" s="8">
        <v>4.3</v>
      </c>
      <c r="U166" s="14">
        <v>99.604700854700894</v>
      </c>
      <c r="V166" s="20">
        <v>100429.05</v>
      </c>
      <c r="W166" s="48">
        <v>51.63</v>
      </c>
      <c r="X166" s="8">
        <v>33.54</v>
      </c>
      <c r="Y166" s="16">
        <v>44.422844748204398</v>
      </c>
      <c r="Z166" s="8">
        <v>0.6</v>
      </c>
      <c r="AA166" s="17">
        <v>0.86737433399999997</v>
      </c>
      <c r="AB166" s="34">
        <v>14.270372971</v>
      </c>
      <c r="AC166" s="34">
        <v>1</v>
      </c>
      <c r="AD166" s="42">
        <v>0</v>
      </c>
      <c r="AE166" s="43">
        <v>0.34980633401686034</v>
      </c>
      <c r="AF166" s="34">
        <v>0</v>
      </c>
      <c r="AG166" s="44">
        <v>0.42899999999999999</v>
      </c>
      <c r="AH166" s="8">
        <v>0.38800000000000001</v>
      </c>
      <c r="AI166" s="17">
        <v>0.47599999999999998</v>
      </c>
      <c r="AJ166" s="8">
        <v>0.42399999999999999</v>
      </c>
      <c r="AK166" s="45">
        <v>0.45800000000000002</v>
      </c>
      <c r="AL166" s="85">
        <v>0.26271116434678454</v>
      </c>
      <c r="AM166" s="44">
        <v>16.073478760045901</v>
      </c>
      <c r="AN166" s="8">
        <v>0.77431289640591983</v>
      </c>
      <c r="AO166" s="44">
        <v>0.64325842696629199</v>
      </c>
      <c r="AP166" s="85">
        <v>0.10358927760109041</v>
      </c>
      <c r="AQ166" s="45">
        <v>413.03539713353433</v>
      </c>
      <c r="AR166" s="8">
        <v>346.94973359216885</v>
      </c>
      <c r="AS166" s="45">
        <v>53.694601627359461</v>
      </c>
      <c r="AT166" s="8">
        <v>12.391061914006029</v>
      </c>
      <c r="AU166" s="45"/>
      <c r="AV166" s="45"/>
      <c r="AW166" s="8"/>
      <c r="AX166" s="45"/>
      <c r="AY166" s="8"/>
      <c r="AZ166" s="45"/>
      <c r="BA166" s="8"/>
      <c r="BB166" s="45"/>
      <c r="BC166" s="8"/>
      <c r="BD166" s="45"/>
      <c r="BE166" s="8"/>
      <c r="BF166" s="45"/>
      <c r="BG166" s="8"/>
      <c r="BH166" s="45"/>
      <c r="BI166" s="8"/>
      <c r="BJ166" s="45"/>
      <c r="BK166" s="8"/>
      <c r="BL166" s="45"/>
      <c r="BM166" s="8"/>
      <c r="BN166" s="8"/>
      <c r="BO166" s="45"/>
      <c r="BP166" s="8"/>
      <c r="BQ166" s="45"/>
      <c r="BR166" s="8"/>
      <c r="BS166" s="45"/>
      <c r="BT166" s="8"/>
      <c r="BU166" s="45"/>
      <c r="BV166" s="8"/>
      <c r="BW166" s="45"/>
      <c r="BX166" s="8"/>
      <c r="BY166" s="45"/>
      <c r="BZ166" s="8"/>
      <c r="CA166" s="45"/>
      <c r="CB166" s="8"/>
      <c r="CC166" s="45"/>
      <c r="CD166" s="8"/>
      <c r="CE166" s="45"/>
      <c r="CF166" s="8"/>
      <c r="CG166" s="45"/>
      <c r="CH166" s="8"/>
      <c r="CI166" s="45"/>
      <c r="CJ166" s="8"/>
      <c r="CK166" s="45"/>
      <c r="CL166" s="8"/>
      <c r="CM166" s="45"/>
      <c r="CN166" s="8"/>
      <c r="CO166" s="45"/>
      <c r="CP166" s="8"/>
      <c r="CQ166" s="45"/>
      <c r="CR166" s="8"/>
      <c r="CS166" s="45"/>
      <c r="CT166" s="8"/>
      <c r="CU166" s="45"/>
      <c r="CV166" s="8"/>
      <c r="CW166" s="45"/>
      <c r="CX166" s="8"/>
      <c r="CY166" s="45"/>
      <c r="CZ166" s="8"/>
      <c r="DA166" s="45"/>
      <c r="DB166" s="8"/>
      <c r="DC166" s="45"/>
      <c r="DD166" s="8"/>
      <c r="DE166" s="45"/>
      <c r="DF166" s="8"/>
      <c r="DG166" s="45"/>
      <c r="DH166" s="8"/>
      <c r="DI166" s="45"/>
      <c r="DJ166" s="8"/>
      <c r="DK166" s="45"/>
      <c r="DL166" s="8"/>
      <c r="DM166" s="45"/>
      <c r="DN166" s="8"/>
      <c r="DO166" s="45"/>
      <c r="DP166" s="8"/>
      <c r="DQ166" s="45"/>
      <c r="DR166" s="8"/>
    </row>
    <row r="167" spans="1:122" s="38" customFormat="1" x14ac:dyDescent="0.3">
      <c r="A167" s="21" t="s">
        <v>251</v>
      </c>
      <c r="B167" s="8">
        <v>2312502</v>
      </c>
      <c r="C167" s="61">
        <v>151</v>
      </c>
      <c r="D167" s="14">
        <v>1975.14715500327</v>
      </c>
      <c r="E167" s="18">
        <v>3</v>
      </c>
      <c r="F167" s="18">
        <v>39.241334205362982</v>
      </c>
      <c r="G167" s="7">
        <v>1.9867549668874173E-2</v>
      </c>
      <c r="H167" s="63">
        <v>7645</v>
      </c>
      <c r="I167" s="19">
        <v>405048949.11706996</v>
      </c>
      <c r="J167" s="6">
        <v>2294432962.7207322</v>
      </c>
      <c r="K167" s="5">
        <v>279.45100000000002</v>
      </c>
      <c r="L167" s="4">
        <v>27.357211103198768</v>
      </c>
      <c r="M167" s="6">
        <v>11662.2</v>
      </c>
      <c r="N167" s="8">
        <v>0.65400000000000003</v>
      </c>
      <c r="O167" s="15">
        <v>14.24</v>
      </c>
      <c r="P167" s="90">
        <v>83250246.827992156</v>
      </c>
      <c r="Q167" s="91">
        <v>70981998.691955522</v>
      </c>
      <c r="R167" s="15">
        <v>5.7</v>
      </c>
      <c r="S167" s="8">
        <v>5.5</v>
      </c>
      <c r="T167" s="8">
        <v>4.5999999999999996</v>
      </c>
      <c r="U167" s="14">
        <v>100</v>
      </c>
      <c r="V167" s="20">
        <v>10947.52</v>
      </c>
      <c r="W167" s="48">
        <v>104.64</v>
      </c>
      <c r="X167" s="8">
        <v>29.03</v>
      </c>
      <c r="Y167" s="16">
        <v>31.890540718326498</v>
      </c>
      <c r="Z167" s="8">
        <v>0.52</v>
      </c>
      <c r="AA167" s="17">
        <v>0</v>
      </c>
      <c r="AB167" s="34">
        <v>11.510791366899999</v>
      </c>
      <c r="AC167" s="34">
        <v>0</v>
      </c>
      <c r="AD167" s="42">
        <v>1</v>
      </c>
      <c r="AE167" s="43">
        <v>0.5988607594936709</v>
      </c>
      <c r="AF167" s="34">
        <v>0</v>
      </c>
      <c r="AG167" s="44">
        <v>0.27300000000000002</v>
      </c>
      <c r="AH167" s="8">
        <v>0.104</v>
      </c>
      <c r="AI167" s="17">
        <v>0.36299999999999999</v>
      </c>
      <c r="AJ167" s="8">
        <v>0.35199999999999998</v>
      </c>
      <c r="AK167" s="45">
        <v>0.54600000000000004</v>
      </c>
      <c r="AL167" s="85">
        <v>6.3701765860039242E-2</v>
      </c>
      <c r="AM167" s="44">
        <v>25.6410256410256</v>
      </c>
      <c r="AN167" s="8">
        <v>0.83132530120481929</v>
      </c>
      <c r="AO167" s="44">
        <v>0.87034795763993955</v>
      </c>
      <c r="AP167" s="85">
        <v>0.21635055591890123</v>
      </c>
      <c r="AQ167" s="45">
        <v>562.45912361020271</v>
      </c>
      <c r="AR167" s="8">
        <v>967.95291039895346</v>
      </c>
      <c r="AS167" s="45">
        <v>26.160889470241987</v>
      </c>
      <c r="AT167" s="8">
        <v>91.56311314584697</v>
      </c>
      <c r="AU167" s="45"/>
      <c r="AV167" s="45"/>
      <c r="AW167" s="8"/>
      <c r="AX167" s="45"/>
      <c r="AY167" s="8"/>
      <c r="AZ167" s="45"/>
      <c r="BA167" s="8"/>
      <c r="BB167" s="45"/>
      <c r="BC167" s="8"/>
      <c r="BD167" s="45"/>
      <c r="BE167" s="8"/>
      <c r="BF167" s="45"/>
      <c r="BG167" s="8"/>
      <c r="BH167" s="45"/>
      <c r="BI167" s="8"/>
      <c r="BJ167" s="45"/>
      <c r="BK167" s="8"/>
      <c r="BL167" s="45"/>
      <c r="BM167" s="8"/>
      <c r="BN167" s="8"/>
      <c r="BO167" s="45"/>
      <c r="BP167" s="8"/>
      <c r="BQ167" s="45"/>
      <c r="BR167" s="8"/>
      <c r="BS167" s="45"/>
      <c r="BT167" s="8"/>
      <c r="BU167" s="45"/>
      <c r="BV167" s="8"/>
      <c r="BW167" s="45"/>
      <c r="BX167" s="8"/>
      <c r="BY167" s="45"/>
      <c r="BZ167" s="8"/>
      <c r="CA167" s="45"/>
      <c r="CB167" s="8"/>
      <c r="CC167" s="45"/>
      <c r="CD167" s="8"/>
      <c r="CE167" s="45"/>
      <c r="CF167" s="8"/>
      <c r="CG167" s="45"/>
      <c r="CH167" s="8"/>
      <c r="CI167" s="45"/>
      <c r="CJ167" s="8"/>
      <c r="CK167" s="45"/>
      <c r="CL167" s="8"/>
      <c r="CM167" s="45"/>
      <c r="CN167" s="8"/>
      <c r="CO167" s="45"/>
      <c r="CP167" s="8"/>
      <c r="CQ167" s="45"/>
      <c r="CR167" s="8"/>
      <c r="CS167" s="45"/>
      <c r="CT167" s="8"/>
      <c r="CU167" s="45"/>
      <c r="CV167" s="8"/>
      <c r="CW167" s="45"/>
      <c r="CX167" s="8"/>
      <c r="CY167" s="45"/>
      <c r="CZ167" s="8"/>
      <c r="DA167" s="45"/>
      <c r="DB167" s="8"/>
      <c r="DC167" s="45"/>
      <c r="DD167" s="8"/>
      <c r="DE167" s="45"/>
      <c r="DF167" s="8"/>
      <c r="DG167" s="45"/>
      <c r="DH167" s="8"/>
      <c r="DI167" s="45"/>
      <c r="DJ167" s="8"/>
      <c r="DK167" s="45"/>
      <c r="DL167" s="8"/>
      <c r="DM167" s="45"/>
      <c r="DN167" s="8"/>
      <c r="DO167" s="45"/>
      <c r="DP167" s="8"/>
      <c r="DQ167" s="45"/>
      <c r="DR167" s="8"/>
    </row>
    <row r="168" spans="1:122" s="38" customFormat="1" x14ac:dyDescent="0.3">
      <c r="A168" s="21" t="s">
        <v>252</v>
      </c>
      <c r="B168" s="8">
        <v>2312601</v>
      </c>
      <c r="C168" s="61">
        <v>135</v>
      </c>
      <c r="D168" s="14">
        <v>1038.4615384615383</v>
      </c>
      <c r="E168" s="18">
        <v>7</v>
      </c>
      <c r="F168" s="18">
        <v>53.846153846153847</v>
      </c>
      <c r="G168" s="7">
        <v>5.185185185185185E-2</v>
      </c>
      <c r="H168" s="63">
        <v>13000</v>
      </c>
      <c r="I168" s="19">
        <v>4717029.461538461</v>
      </c>
      <c r="J168" s="6">
        <v>110875384.61538461</v>
      </c>
      <c r="K168" s="5">
        <v>122.86499999999999</v>
      </c>
      <c r="L168" s="4">
        <v>105.80718674968462</v>
      </c>
      <c r="M168" s="6">
        <v>8042.9</v>
      </c>
      <c r="N168" s="8">
        <v>0.62</v>
      </c>
      <c r="O168" s="15">
        <v>21.21</v>
      </c>
      <c r="P168" s="90">
        <v>54145217.769230768</v>
      </c>
      <c r="Q168" s="91">
        <v>73831354.461538464</v>
      </c>
      <c r="R168" s="15">
        <v>4.9000000000000004</v>
      </c>
      <c r="S168" s="8">
        <v>4.4000000000000004</v>
      </c>
      <c r="T168" s="8">
        <v>4.0999999999999996</v>
      </c>
      <c r="U168" s="14">
        <v>98.665395614871301</v>
      </c>
      <c r="V168" s="20">
        <v>18239.18</v>
      </c>
      <c r="W168" s="48">
        <v>15.38</v>
      </c>
      <c r="X168" s="8">
        <v>33.33</v>
      </c>
      <c r="Y168" s="16">
        <v>48.681386077890203</v>
      </c>
      <c r="Z168" s="8">
        <v>0.85</v>
      </c>
      <c r="AA168" s="17">
        <v>1.5384615385</v>
      </c>
      <c r="AB168" s="34">
        <v>8.2307692308</v>
      </c>
      <c r="AC168" s="34">
        <v>1</v>
      </c>
      <c r="AD168" s="42">
        <v>0</v>
      </c>
      <c r="AE168" s="43">
        <v>0.35444372364579957</v>
      </c>
      <c r="AF168" s="34">
        <v>1</v>
      </c>
      <c r="AG168" s="44">
        <v>0.47899999999999998</v>
      </c>
      <c r="AH168" s="8">
        <v>0.33100000000000002</v>
      </c>
      <c r="AI168" s="17">
        <v>0.54500000000000004</v>
      </c>
      <c r="AJ168" s="8">
        <v>0.56100000000000005</v>
      </c>
      <c r="AK168" s="45">
        <v>0.58599999999999997</v>
      </c>
      <c r="AL168" s="85">
        <v>5.969230769230769E-2</v>
      </c>
      <c r="AM168" s="44">
        <v>5.81395348837209</v>
      </c>
      <c r="AN168" s="8">
        <v>0.384493670886076</v>
      </c>
      <c r="AO168" s="44">
        <v>0.68990384615384603</v>
      </c>
      <c r="AP168" s="85">
        <v>0.14046153846153847</v>
      </c>
      <c r="AQ168" s="45">
        <v>153.84615384615384</v>
      </c>
      <c r="AR168" s="8">
        <v>146.15384615384616</v>
      </c>
      <c r="AS168" s="45">
        <v>38.46153846153846</v>
      </c>
      <c r="AT168" s="8">
        <v>0</v>
      </c>
      <c r="AU168" s="45"/>
      <c r="AV168" s="45"/>
      <c r="AW168" s="8"/>
      <c r="AX168" s="45"/>
      <c r="AY168" s="8"/>
      <c r="AZ168" s="45"/>
      <c r="BA168" s="8"/>
      <c r="BB168" s="45"/>
      <c r="BC168" s="8"/>
      <c r="BD168" s="45"/>
      <c r="BE168" s="8"/>
      <c r="BF168" s="45"/>
      <c r="BG168" s="8"/>
      <c r="BH168" s="45"/>
      <c r="BI168" s="8"/>
      <c r="BJ168" s="45"/>
      <c r="BK168" s="8"/>
      <c r="BL168" s="45"/>
      <c r="BM168" s="8"/>
      <c r="BN168" s="8"/>
      <c r="BO168" s="45"/>
      <c r="BP168" s="8"/>
      <c r="BQ168" s="45"/>
      <c r="BR168" s="8"/>
      <c r="BS168" s="45"/>
      <c r="BT168" s="8"/>
      <c r="BU168" s="45"/>
      <c r="BV168" s="8"/>
      <c r="BW168" s="45"/>
      <c r="BX168" s="8"/>
      <c r="BY168" s="45"/>
      <c r="BZ168" s="8"/>
      <c r="CA168" s="45"/>
      <c r="CB168" s="8"/>
      <c r="CC168" s="45"/>
      <c r="CD168" s="8"/>
      <c r="CE168" s="45"/>
      <c r="CF168" s="8"/>
      <c r="CG168" s="45"/>
      <c r="CH168" s="8"/>
      <c r="CI168" s="45"/>
      <c r="CJ168" s="8"/>
      <c r="CK168" s="45"/>
      <c r="CL168" s="8"/>
      <c r="CM168" s="45"/>
      <c r="CN168" s="8"/>
      <c r="CO168" s="45"/>
      <c r="CP168" s="8"/>
      <c r="CQ168" s="45"/>
      <c r="CR168" s="8"/>
      <c r="CS168" s="45"/>
      <c r="CT168" s="8"/>
      <c r="CU168" s="45"/>
      <c r="CV168" s="8"/>
      <c r="CW168" s="45"/>
      <c r="CX168" s="8"/>
      <c r="CY168" s="45"/>
      <c r="CZ168" s="8"/>
      <c r="DA168" s="45"/>
      <c r="DB168" s="8"/>
      <c r="DC168" s="45"/>
      <c r="DD168" s="8"/>
      <c r="DE168" s="45"/>
      <c r="DF168" s="8"/>
      <c r="DG168" s="45"/>
      <c r="DH168" s="8"/>
      <c r="DI168" s="45"/>
      <c r="DJ168" s="8"/>
      <c r="DK168" s="45"/>
      <c r="DL168" s="8"/>
      <c r="DM168" s="45"/>
      <c r="DN168" s="8"/>
      <c r="DO168" s="45"/>
      <c r="DP168" s="8"/>
      <c r="DQ168" s="45"/>
      <c r="DR168" s="8"/>
    </row>
    <row r="169" spans="1:122" s="38" customFormat="1" x14ac:dyDescent="0.3">
      <c r="A169" s="21" t="s">
        <v>253</v>
      </c>
      <c r="B169" s="8">
        <v>2312700</v>
      </c>
      <c r="C169" s="61">
        <v>191</v>
      </c>
      <c r="D169" s="14">
        <v>749.13711954816438</v>
      </c>
      <c r="E169" s="18">
        <v>2</v>
      </c>
      <c r="F169" s="18">
        <v>7.844367743959836</v>
      </c>
      <c r="G169" s="7">
        <v>1.0471204188481676E-2</v>
      </c>
      <c r="H169" s="63">
        <v>25496</v>
      </c>
      <c r="I169" s="19">
        <v>12057635.550674615</v>
      </c>
      <c r="J169" s="6">
        <v>177740822.08973956</v>
      </c>
      <c r="K169" s="5">
        <v>956.88199999999995</v>
      </c>
      <c r="L169" s="4">
        <v>26.644873662583265</v>
      </c>
      <c r="M169" s="6">
        <v>11443.71</v>
      </c>
      <c r="N169" s="8">
        <v>0.61899999999999999</v>
      </c>
      <c r="O169" s="15">
        <v>24.74</v>
      </c>
      <c r="P169" s="90">
        <v>67228616.17508629</v>
      </c>
      <c r="Q169" s="91">
        <v>75626229.565422028</v>
      </c>
      <c r="R169" s="15">
        <v>6.4</v>
      </c>
      <c r="S169" s="8">
        <v>5</v>
      </c>
      <c r="T169" s="8">
        <v>4.5999999999999996</v>
      </c>
      <c r="U169" s="14">
        <v>98.546325878594303</v>
      </c>
      <c r="V169" s="20">
        <v>30038.77</v>
      </c>
      <c r="W169" s="48">
        <v>23.53</v>
      </c>
      <c r="X169" s="8">
        <v>30.88</v>
      </c>
      <c r="Y169" s="16">
        <v>44.064267756128203</v>
      </c>
      <c r="Z169" s="8">
        <v>0.86</v>
      </c>
      <c r="AA169" s="17">
        <v>2.0787574521000001</v>
      </c>
      <c r="AB169" s="34">
        <v>10.825227486699999</v>
      </c>
      <c r="AC169" s="34">
        <v>0</v>
      </c>
      <c r="AD169" s="42">
        <v>1</v>
      </c>
      <c r="AE169" s="43">
        <v>0.40662661981941139</v>
      </c>
      <c r="AF169" s="34">
        <v>0</v>
      </c>
      <c r="AG169" s="44">
        <v>0.434</v>
      </c>
      <c r="AH169" s="8">
        <v>0.18099999999999999</v>
      </c>
      <c r="AI169" s="17">
        <v>0.55700000000000005</v>
      </c>
      <c r="AJ169" s="8">
        <v>0.56499999999999995</v>
      </c>
      <c r="AK169" s="45">
        <v>0.56799999999999995</v>
      </c>
      <c r="AL169" s="85">
        <v>0.11656730467524318</v>
      </c>
      <c r="AM169" s="44">
        <v>21.739130434782599</v>
      </c>
      <c r="AN169" s="8">
        <v>0.80329153605015702</v>
      </c>
      <c r="AO169" s="44">
        <v>0.91677503250975279</v>
      </c>
      <c r="AP169" s="85">
        <v>0.16500627549419516</v>
      </c>
      <c r="AQ169" s="45">
        <v>545.18355820520867</v>
      </c>
      <c r="AR169" s="8">
        <v>717.75964857232498</v>
      </c>
      <c r="AS169" s="45">
        <v>152.96517100721681</v>
      </c>
      <c r="AT169" s="8">
        <v>15.688735487919672</v>
      </c>
      <c r="AU169" s="45"/>
      <c r="AV169" s="45"/>
      <c r="AW169" s="8"/>
      <c r="AX169" s="45"/>
      <c r="AY169" s="8"/>
      <c r="AZ169" s="45"/>
      <c r="BA169" s="8"/>
      <c r="BB169" s="45"/>
      <c r="BC169" s="8"/>
      <c r="BD169" s="45"/>
      <c r="BE169" s="8"/>
      <c r="BF169" s="45"/>
      <c r="BG169" s="8"/>
      <c r="BH169" s="45"/>
      <c r="BI169" s="8"/>
      <c r="BJ169" s="45"/>
      <c r="BK169" s="8"/>
      <c r="BL169" s="45"/>
      <c r="BM169" s="8"/>
      <c r="BN169" s="8"/>
      <c r="BO169" s="45"/>
      <c r="BP169" s="8"/>
      <c r="BQ169" s="45"/>
      <c r="BR169" s="8"/>
      <c r="BS169" s="45"/>
      <c r="BT169" s="8"/>
      <c r="BU169" s="45"/>
      <c r="BV169" s="8"/>
      <c r="BW169" s="45"/>
      <c r="BX169" s="8"/>
      <c r="BY169" s="45"/>
      <c r="BZ169" s="8"/>
      <c r="CA169" s="45"/>
      <c r="CB169" s="8"/>
      <c r="CC169" s="45"/>
      <c r="CD169" s="8"/>
      <c r="CE169" s="45"/>
      <c r="CF169" s="8"/>
      <c r="CG169" s="45"/>
      <c r="CH169" s="8"/>
      <c r="CI169" s="45"/>
      <c r="CJ169" s="8"/>
      <c r="CK169" s="45"/>
      <c r="CL169" s="8"/>
      <c r="CM169" s="45"/>
      <c r="CN169" s="8"/>
      <c r="CO169" s="45"/>
      <c r="CP169" s="8"/>
      <c r="CQ169" s="45"/>
      <c r="CR169" s="8"/>
      <c r="CS169" s="45"/>
      <c r="CT169" s="8"/>
      <c r="CU169" s="45"/>
      <c r="CV169" s="8"/>
      <c r="CW169" s="45"/>
      <c r="CX169" s="8"/>
      <c r="CY169" s="45"/>
      <c r="CZ169" s="8"/>
      <c r="DA169" s="45"/>
      <c r="DB169" s="8"/>
      <c r="DC169" s="45"/>
      <c r="DD169" s="8"/>
      <c r="DE169" s="45"/>
      <c r="DF169" s="8"/>
      <c r="DG169" s="45"/>
      <c r="DH169" s="8"/>
      <c r="DI169" s="45"/>
      <c r="DJ169" s="8"/>
      <c r="DK169" s="45"/>
      <c r="DL169" s="8"/>
      <c r="DM169" s="45"/>
      <c r="DN169" s="8"/>
      <c r="DO169" s="45"/>
      <c r="DP169" s="8"/>
      <c r="DQ169" s="45"/>
      <c r="DR169" s="8"/>
    </row>
    <row r="170" spans="1:122" s="38" customFormat="1" x14ac:dyDescent="0.3">
      <c r="A170" s="21" t="s">
        <v>254</v>
      </c>
      <c r="B170" s="8">
        <v>2312809</v>
      </c>
      <c r="C170" s="61">
        <v>337</v>
      </c>
      <c r="D170" s="14">
        <v>4420.8316935589664</v>
      </c>
      <c r="E170" s="18">
        <v>2</v>
      </c>
      <c r="F170" s="18">
        <v>26.236389872753509</v>
      </c>
      <c r="G170" s="7">
        <v>5.9347181008902079E-3</v>
      </c>
      <c r="H170" s="63">
        <v>7623</v>
      </c>
      <c r="I170" s="19">
        <v>43716856.618129343</v>
      </c>
      <c r="J170" s="6">
        <v>695655253.83707201</v>
      </c>
      <c r="K170" s="5">
        <v>424.642</v>
      </c>
      <c r="L170" s="4">
        <v>17.951592164694024</v>
      </c>
      <c r="M170" s="6">
        <v>6992.89</v>
      </c>
      <c r="N170" s="8">
        <v>0.60299999999999998</v>
      </c>
      <c r="O170" s="15">
        <v>20.85</v>
      </c>
      <c r="P170" s="90">
        <v>49658489.177489176</v>
      </c>
      <c r="Q170" s="91">
        <v>118810647.51410206</v>
      </c>
      <c r="R170" s="15">
        <v>7.1</v>
      </c>
      <c r="S170" s="8">
        <v>5.0999999999999996</v>
      </c>
      <c r="T170" s="8">
        <v>4.0999999999999996</v>
      </c>
      <c r="U170" s="14">
        <v>97.956168431420807</v>
      </c>
      <c r="V170" s="20">
        <v>5317.38</v>
      </c>
      <c r="W170" s="48">
        <v>26.24</v>
      </c>
      <c r="X170" s="8">
        <v>31.25</v>
      </c>
      <c r="Y170" s="16">
        <v>51.631777402158399</v>
      </c>
      <c r="Z170" s="8">
        <v>0.66</v>
      </c>
      <c r="AA170" s="17">
        <v>0</v>
      </c>
      <c r="AB170" s="34">
        <v>6.2967335694999997</v>
      </c>
      <c r="AC170" s="34">
        <v>0</v>
      </c>
      <c r="AD170" s="42">
        <v>0</v>
      </c>
      <c r="AE170" s="43">
        <v>0.26036193812025687</v>
      </c>
      <c r="AF170" s="34">
        <v>1</v>
      </c>
      <c r="AG170" s="44">
        <v>0.49299999999999999</v>
      </c>
      <c r="AH170" s="8">
        <v>0.46899999999999997</v>
      </c>
      <c r="AI170" s="17">
        <v>0.50700000000000001</v>
      </c>
      <c r="AJ170" s="8">
        <v>0.503</v>
      </c>
      <c r="AK170" s="45">
        <v>0.60099999999999998</v>
      </c>
      <c r="AL170" s="85">
        <v>6.1786698150334517E-2</v>
      </c>
      <c r="AM170" s="44">
        <v>9.2592592592592595</v>
      </c>
      <c r="AN170" s="8">
        <v>0.64325842696629199</v>
      </c>
      <c r="AO170" s="44">
        <v>0.77431289640591972</v>
      </c>
      <c r="AP170" s="85">
        <v>0.11793257247802702</v>
      </c>
      <c r="AQ170" s="45">
        <v>419.78223796405615</v>
      </c>
      <c r="AR170" s="8">
        <v>367.30945821854914</v>
      </c>
      <c r="AS170" s="45">
        <v>65.590974681883779</v>
      </c>
      <c r="AT170" s="8">
        <v>13.118194936376755</v>
      </c>
      <c r="AU170" s="45"/>
      <c r="AV170" s="45"/>
      <c r="AW170" s="8"/>
      <c r="AX170" s="45"/>
      <c r="AY170" s="8"/>
      <c r="AZ170" s="45"/>
      <c r="BA170" s="8"/>
      <c r="BB170" s="45"/>
      <c r="BC170" s="8"/>
      <c r="BD170" s="45"/>
      <c r="BE170" s="8"/>
      <c r="BF170" s="45"/>
      <c r="BG170" s="8"/>
      <c r="BH170" s="45"/>
      <c r="BI170" s="8"/>
      <c r="BJ170" s="45"/>
      <c r="BK170" s="8"/>
      <c r="BL170" s="45"/>
      <c r="BM170" s="8"/>
      <c r="BN170" s="8"/>
      <c r="BO170" s="45"/>
      <c r="BP170" s="8"/>
      <c r="BQ170" s="45"/>
      <c r="BR170" s="8"/>
      <c r="BS170" s="45"/>
      <c r="BT170" s="8"/>
      <c r="BU170" s="45"/>
      <c r="BV170" s="8"/>
      <c r="BW170" s="45"/>
      <c r="BX170" s="8"/>
      <c r="BY170" s="45"/>
      <c r="BZ170" s="8"/>
      <c r="CA170" s="45"/>
      <c r="CB170" s="8"/>
      <c r="CC170" s="45"/>
      <c r="CD170" s="8"/>
      <c r="CE170" s="45"/>
      <c r="CF170" s="8"/>
      <c r="CG170" s="45"/>
      <c r="CH170" s="8"/>
      <c r="CI170" s="45"/>
      <c r="CJ170" s="8"/>
      <c r="CK170" s="45"/>
      <c r="CL170" s="8"/>
      <c r="CM170" s="45"/>
      <c r="CN170" s="8"/>
      <c r="CO170" s="45"/>
      <c r="CP170" s="8"/>
      <c r="CQ170" s="45"/>
      <c r="CR170" s="8"/>
      <c r="CS170" s="45"/>
      <c r="CT170" s="8"/>
      <c r="CU170" s="45"/>
      <c r="CV170" s="8"/>
      <c r="CW170" s="45"/>
      <c r="CX170" s="8"/>
      <c r="CY170" s="45"/>
      <c r="CZ170" s="8"/>
      <c r="DA170" s="45"/>
      <c r="DB170" s="8"/>
      <c r="DC170" s="45"/>
      <c r="DD170" s="8"/>
      <c r="DE170" s="45"/>
      <c r="DF170" s="8"/>
      <c r="DG170" s="45"/>
      <c r="DH170" s="8"/>
      <c r="DI170" s="45"/>
      <c r="DJ170" s="8"/>
      <c r="DK170" s="45"/>
      <c r="DL170" s="8"/>
      <c r="DM170" s="45"/>
      <c r="DN170" s="8"/>
      <c r="DO170" s="45"/>
      <c r="DP170" s="8"/>
      <c r="DQ170" s="45"/>
      <c r="DR170" s="8"/>
    </row>
    <row r="171" spans="1:122" s="38" customFormat="1" x14ac:dyDescent="0.3">
      <c r="A171" s="21" t="s">
        <v>255</v>
      </c>
      <c r="B171" s="8">
        <v>2312908</v>
      </c>
      <c r="C171" s="61">
        <v>9851</v>
      </c>
      <c r="D171" s="14">
        <v>4714.8634742862614</v>
      </c>
      <c r="E171" s="18">
        <v>283</v>
      </c>
      <c r="F171" s="18">
        <v>135.44882379687462</v>
      </c>
      <c r="G171" s="7">
        <v>2.8728047913917368E-2</v>
      </c>
      <c r="H171" s="63">
        <v>208935</v>
      </c>
      <c r="I171" s="19">
        <v>327680.72367004096</v>
      </c>
      <c r="J171" s="6">
        <v>3128724.244382224</v>
      </c>
      <c r="K171" s="5">
        <v>2068.4740000000002</v>
      </c>
      <c r="L171" s="4">
        <v>101.00924642997687</v>
      </c>
      <c r="M171" s="6">
        <v>23104.7</v>
      </c>
      <c r="N171" s="8">
        <v>0.71399999999999997</v>
      </c>
      <c r="O171" s="15">
        <v>42.06</v>
      </c>
      <c r="P171" s="90">
        <v>121318509.07698567</v>
      </c>
      <c r="Q171" s="91">
        <v>84258894.321200371</v>
      </c>
      <c r="R171" s="15">
        <v>8.4</v>
      </c>
      <c r="S171" s="8">
        <v>6.9</v>
      </c>
      <c r="T171" s="8">
        <v>4.9000000000000004</v>
      </c>
      <c r="U171" s="14">
        <v>99.969437652811706</v>
      </c>
      <c r="V171" s="20">
        <v>318753.34999999998</v>
      </c>
      <c r="W171" s="48">
        <v>29.2</v>
      </c>
      <c r="X171" s="8">
        <v>32.950000000000003</v>
      </c>
      <c r="Y171" s="16">
        <v>27.070727204559802</v>
      </c>
      <c r="Z171" s="8">
        <v>0.43</v>
      </c>
      <c r="AA171" s="17">
        <v>4.5133654006999997</v>
      </c>
      <c r="AB171" s="34">
        <v>13.9947830665</v>
      </c>
      <c r="AC171" s="34">
        <v>0</v>
      </c>
      <c r="AD171" s="42">
        <v>1</v>
      </c>
      <c r="AE171" s="43">
        <v>0.11646735694591277</v>
      </c>
      <c r="AF171" s="34">
        <v>0</v>
      </c>
      <c r="AG171" s="44">
        <v>0.28599999999999998</v>
      </c>
      <c r="AH171" s="8">
        <v>9.8000000000000004E-2</v>
      </c>
      <c r="AI171" s="17">
        <v>0.38100000000000001</v>
      </c>
      <c r="AJ171" s="8">
        <v>0.379</v>
      </c>
      <c r="AK171" s="45">
        <v>0.53300000000000003</v>
      </c>
      <c r="AL171" s="85">
        <v>0.21732596261995357</v>
      </c>
      <c r="AM171" s="44">
        <v>6.4476512127724899</v>
      </c>
      <c r="AN171" s="8">
        <v>0.87034795763993955</v>
      </c>
      <c r="AO171" s="44">
        <v>0.83132530120481929</v>
      </c>
      <c r="AP171" s="85">
        <v>9.747050518103717E-2</v>
      </c>
      <c r="AQ171" s="45">
        <v>416.39744418120472</v>
      </c>
      <c r="AR171" s="8">
        <v>404.91061813482668</v>
      </c>
      <c r="AS171" s="45">
        <v>33.503242635269338</v>
      </c>
      <c r="AT171" s="8">
        <v>9.0937372867159656</v>
      </c>
      <c r="AU171" s="45"/>
      <c r="AV171" s="45"/>
      <c r="AW171" s="8"/>
      <c r="AX171" s="45"/>
      <c r="AY171" s="8"/>
      <c r="AZ171" s="45"/>
      <c r="BA171" s="8"/>
      <c r="BB171" s="45"/>
      <c r="BC171" s="8"/>
      <c r="BD171" s="45"/>
      <c r="BE171" s="8"/>
      <c r="BF171" s="45"/>
      <c r="BG171" s="8"/>
      <c r="BH171" s="45"/>
      <c r="BI171" s="8"/>
      <c r="BJ171" s="45"/>
      <c r="BK171" s="8"/>
      <c r="BL171" s="45"/>
      <c r="BM171" s="8"/>
      <c r="BN171" s="8"/>
      <c r="BO171" s="45"/>
      <c r="BP171" s="8"/>
      <c r="BQ171" s="45"/>
      <c r="BR171" s="8"/>
      <c r="BS171" s="45"/>
      <c r="BT171" s="8"/>
      <c r="BU171" s="45"/>
      <c r="BV171" s="8"/>
      <c r="BW171" s="45"/>
      <c r="BX171" s="8"/>
      <c r="BY171" s="45"/>
      <c r="BZ171" s="8"/>
      <c r="CA171" s="45"/>
      <c r="CB171" s="8"/>
      <c r="CC171" s="45"/>
      <c r="CD171" s="8"/>
      <c r="CE171" s="45"/>
      <c r="CF171" s="8"/>
      <c r="CG171" s="45"/>
      <c r="CH171" s="8"/>
      <c r="CI171" s="45"/>
      <c r="CJ171" s="8"/>
      <c r="CK171" s="45"/>
      <c r="CL171" s="8"/>
      <c r="CM171" s="45"/>
      <c r="CN171" s="8"/>
      <c r="CO171" s="45"/>
      <c r="CP171" s="8"/>
      <c r="CQ171" s="45"/>
      <c r="CR171" s="8"/>
      <c r="CS171" s="45"/>
      <c r="CT171" s="8"/>
      <c r="CU171" s="45"/>
      <c r="CV171" s="8"/>
      <c r="CW171" s="45"/>
      <c r="CX171" s="8"/>
      <c r="CY171" s="45"/>
      <c r="CZ171" s="8"/>
      <c r="DA171" s="45"/>
      <c r="DB171" s="8"/>
      <c r="DC171" s="45"/>
      <c r="DD171" s="8"/>
      <c r="DE171" s="45"/>
      <c r="DF171" s="8"/>
      <c r="DG171" s="45"/>
      <c r="DH171" s="8"/>
      <c r="DI171" s="45"/>
      <c r="DJ171" s="8"/>
      <c r="DK171" s="45"/>
      <c r="DL171" s="8"/>
      <c r="DM171" s="45"/>
      <c r="DN171" s="8"/>
      <c r="DO171" s="45"/>
      <c r="DP171" s="8"/>
      <c r="DQ171" s="45"/>
      <c r="DR171" s="8"/>
    </row>
    <row r="172" spans="1:122" s="38" customFormat="1" x14ac:dyDescent="0.3">
      <c r="A172" s="21" t="s">
        <v>256</v>
      </c>
      <c r="B172" s="8">
        <v>2313005</v>
      </c>
      <c r="C172" s="61">
        <v>257</v>
      </c>
      <c r="D172" s="14">
        <v>1402.5321982099979</v>
      </c>
      <c r="E172" s="18">
        <v>7</v>
      </c>
      <c r="F172" s="18">
        <v>38.201266099104998</v>
      </c>
      <c r="G172" s="7">
        <v>2.7237354085603113E-2</v>
      </c>
      <c r="H172" s="63">
        <v>18324</v>
      </c>
      <c r="I172" s="19">
        <v>1630315.4333115038</v>
      </c>
      <c r="J172" s="6">
        <v>74512115.25867714</v>
      </c>
      <c r="K172" s="5">
        <v>1535.855</v>
      </c>
      <c r="L172" s="4">
        <v>11.930813781248881</v>
      </c>
      <c r="M172" s="6">
        <v>10514.05</v>
      </c>
      <c r="N172" s="8">
        <v>0.625</v>
      </c>
      <c r="O172" s="15">
        <v>26.75</v>
      </c>
      <c r="P172" s="90">
        <v>75659303.099759877</v>
      </c>
      <c r="Q172" s="91">
        <v>72871067.889107183</v>
      </c>
      <c r="R172" s="15">
        <v>6.1</v>
      </c>
      <c r="S172" s="8">
        <v>5</v>
      </c>
      <c r="T172" s="8">
        <v>4</v>
      </c>
      <c r="U172" s="14">
        <v>99.076177495077999</v>
      </c>
      <c r="V172" s="20">
        <v>17913.849999999999</v>
      </c>
      <c r="W172" s="48">
        <v>27.29</v>
      </c>
      <c r="X172" s="8">
        <v>34.72</v>
      </c>
      <c r="Y172" s="16">
        <v>35.980824753500002</v>
      </c>
      <c r="Z172" s="8">
        <v>1.04</v>
      </c>
      <c r="AA172" s="17">
        <v>1.4189041694</v>
      </c>
      <c r="AB172" s="34">
        <v>11.132940405999999</v>
      </c>
      <c r="AC172" s="34">
        <v>0</v>
      </c>
      <c r="AD172" s="42">
        <v>1</v>
      </c>
      <c r="AE172" s="43">
        <v>0.4845174073025757</v>
      </c>
      <c r="AF172" s="34">
        <v>0</v>
      </c>
      <c r="AG172" s="44">
        <v>0.375</v>
      </c>
      <c r="AH172" s="8">
        <v>0.129</v>
      </c>
      <c r="AI172" s="17">
        <v>0.48499999999999999</v>
      </c>
      <c r="AJ172" s="8">
        <v>0.51100000000000001</v>
      </c>
      <c r="AK172" s="45">
        <v>0.59</v>
      </c>
      <c r="AL172" s="85">
        <v>8.8354071163501413E-2</v>
      </c>
      <c r="AM172" s="44">
        <v>23.0414746543779</v>
      </c>
      <c r="AN172" s="8">
        <v>0.68990384615384603</v>
      </c>
      <c r="AO172" s="44">
        <v>0.38449367088607606</v>
      </c>
      <c r="AP172" s="85">
        <v>0.17556210434402969</v>
      </c>
      <c r="AQ172" s="45">
        <v>387.46998471949354</v>
      </c>
      <c r="AR172" s="8">
        <v>633.04955249945431</v>
      </c>
      <c r="AS172" s="45">
        <v>147.34774066797644</v>
      </c>
      <c r="AT172" s="8">
        <v>0</v>
      </c>
      <c r="AU172" s="45"/>
      <c r="AV172" s="45"/>
      <c r="AW172" s="8"/>
      <c r="AX172" s="45"/>
      <c r="AY172" s="8"/>
      <c r="AZ172" s="45"/>
      <c r="BA172" s="8"/>
      <c r="BB172" s="45"/>
      <c r="BC172" s="8"/>
      <c r="BD172" s="45"/>
      <c r="BE172" s="8"/>
      <c r="BF172" s="45"/>
      <c r="BG172" s="8"/>
      <c r="BH172" s="45"/>
      <c r="BI172" s="8"/>
      <c r="BJ172" s="45"/>
      <c r="BK172" s="8"/>
      <c r="BL172" s="45"/>
      <c r="BM172" s="8"/>
      <c r="BN172" s="8"/>
      <c r="BO172" s="45"/>
      <c r="BP172" s="8"/>
      <c r="BQ172" s="45"/>
      <c r="BR172" s="8"/>
      <c r="BS172" s="45"/>
      <c r="BT172" s="8"/>
      <c r="BU172" s="45"/>
      <c r="BV172" s="8"/>
      <c r="BW172" s="45"/>
      <c r="BX172" s="8"/>
      <c r="BY172" s="45"/>
      <c r="BZ172" s="8"/>
      <c r="CA172" s="45"/>
      <c r="CB172" s="8"/>
      <c r="CC172" s="45"/>
      <c r="CD172" s="8"/>
      <c r="CE172" s="45"/>
      <c r="CF172" s="8"/>
      <c r="CG172" s="45"/>
      <c r="CH172" s="8"/>
      <c r="CI172" s="45"/>
      <c r="CJ172" s="8"/>
      <c r="CK172" s="45"/>
      <c r="CL172" s="8"/>
      <c r="CM172" s="45"/>
      <c r="CN172" s="8"/>
      <c r="CO172" s="45"/>
      <c r="CP172" s="8"/>
      <c r="CQ172" s="45"/>
      <c r="CR172" s="8"/>
      <c r="CS172" s="45"/>
      <c r="CT172" s="8"/>
      <c r="CU172" s="45"/>
      <c r="CV172" s="8"/>
      <c r="CW172" s="45"/>
      <c r="CX172" s="8"/>
      <c r="CY172" s="45"/>
      <c r="CZ172" s="8"/>
      <c r="DA172" s="45"/>
      <c r="DB172" s="8"/>
      <c r="DC172" s="45"/>
      <c r="DD172" s="8"/>
      <c r="DE172" s="45"/>
      <c r="DF172" s="8"/>
      <c r="DG172" s="45"/>
      <c r="DH172" s="8"/>
      <c r="DI172" s="45"/>
      <c r="DJ172" s="8"/>
      <c r="DK172" s="45"/>
      <c r="DL172" s="8"/>
      <c r="DM172" s="45"/>
      <c r="DN172" s="8"/>
      <c r="DO172" s="45"/>
      <c r="DP172" s="8"/>
      <c r="DQ172" s="45"/>
      <c r="DR172" s="8"/>
    </row>
    <row r="173" spans="1:122" s="38" customFormat="1" x14ac:dyDescent="0.3">
      <c r="A173" s="21" t="s">
        <v>257</v>
      </c>
      <c r="B173" s="8">
        <v>2313104</v>
      </c>
      <c r="C173" s="61">
        <v>664</v>
      </c>
      <c r="D173" s="14">
        <v>2163.0778251946444</v>
      </c>
      <c r="E173" s="18">
        <v>13</v>
      </c>
      <c r="F173" s="18">
        <v>42.349415252304787</v>
      </c>
      <c r="G173" s="7">
        <v>1.9578313253012049E-2</v>
      </c>
      <c r="H173" s="63">
        <v>30697</v>
      </c>
      <c r="I173" s="19">
        <v>7651947.2912662467</v>
      </c>
      <c r="J173" s="6">
        <v>97360002.606117859</v>
      </c>
      <c r="K173" s="5">
        <v>849.14499999999998</v>
      </c>
      <c r="L173" s="4">
        <v>36.150480777723473</v>
      </c>
      <c r="M173" s="6">
        <v>10276.06</v>
      </c>
      <c r="N173" s="8">
        <v>0.64500000000000002</v>
      </c>
      <c r="O173" s="15">
        <v>24.7</v>
      </c>
      <c r="P173" s="90">
        <v>58262646.708147369</v>
      </c>
      <c r="Q173" s="91">
        <v>64049959.051373094</v>
      </c>
      <c r="R173" s="15">
        <v>6.4</v>
      </c>
      <c r="S173" s="8">
        <v>5.3</v>
      </c>
      <c r="T173" s="8">
        <v>4.5999999999999996</v>
      </c>
      <c r="U173" s="14">
        <v>98.275569627409993</v>
      </c>
      <c r="V173" s="20">
        <v>57116.37</v>
      </c>
      <c r="W173" s="48">
        <v>32.58</v>
      </c>
      <c r="X173" s="8">
        <v>31.37</v>
      </c>
      <c r="Y173" s="16">
        <v>36.8455221215957</v>
      </c>
      <c r="Z173" s="8">
        <v>0.65</v>
      </c>
      <c r="AA173" s="17">
        <v>1.8242825032000001</v>
      </c>
      <c r="AB173" s="34">
        <v>9.8706714010999992</v>
      </c>
      <c r="AC173" s="34">
        <v>0</v>
      </c>
      <c r="AD173" s="42">
        <v>1</v>
      </c>
      <c r="AE173" s="43">
        <v>0.35604711683331053</v>
      </c>
      <c r="AF173" s="34">
        <v>1</v>
      </c>
      <c r="AG173" s="44">
        <v>0.377</v>
      </c>
      <c r="AH173" s="8">
        <v>0.17199999999999999</v>
      </c>
      <c r="AI173" s="17">
        <v>0.47599999999999998</v>
      </c>
      <c r="AJ173" s="8">
        <v>0.48399999999999999</v>
      </c>
      <c r="AK173" s="45">
        <v>0.50800000000000001</v>
      </c>
      <c r="AL173" s="85">
        <v>7.560999446199955E-2</v>
      </c>
      <c r="AM173" s="44">
        <v>15.4639175257732</v>
      </c>
      <c r="AN173" s="8">
        <v>0.89507042253521119</v>
      </c>
      <c r="AO173" s="44">
        <v>0.8950704225352113</v>
      </c>
      <c r="AP173" s="85">
        <v>0.1449978825292374</v>
      </c>
      <c r="AQ173" s="45">
        <v>456.07062579405158</v>
      </c>
      <c r="AR173" s="8">
        <v>830.70006841059387</v>
      </c>
      <c r="AS173" s="45">
        <v>29.318825943903313</v>
      </c>
      <c r="AT173" s="8">
        <v>13.030589308401472</v>
      </c>
      <c r="AU173" s="45"/>
      <c r="AV173" s="45"/>
      <c r="AW173" s="8"/>
      <c r="AX173" s="45"/>
      <c r="AY173" s="8"/>
      <c r="AZ173" s="45"/>
      <c r="BA173" s="8"/>
      <c r="BB173" s="45"/>
      <c r="BC173" s="8"/>
      <c r="BD173" s="45"/>
      <c r="BE173" s="8"/>
      <c r="BF173" s="45"/>
      <c r="BG173" s="8"/>
      <c r="BH173" s="45"/>
      <c r="BI173" s="8"/>
      <c r="BJ173" s="45"/>
      <c r="BK173" s="8"/>
      <c r="BL173" s="45"/>
      <c r="BM173" s="8"/>
      <c r="BN173" s="8"/>
      <c r="BO173" s="45"/>
      <c r="BP173" s="8"/>
      <c r="BQ173" s="45"/>
      <c r="BR173" s="8"/>
      <c r="BS173" s="45"/>
      <c r="BT173" s="8"/>
      <c r="BU173" s="45"/>
      <c r="BV173" s="8"/>
      <c r="BW173" s="45"/>
      <c r="BX173" s="8"/>
      <c r="BY173" s="45"/>
      <c r="BZ173" s="8"/>
      <c r="CA173" s="45"/>
      <c r="CB173" s="8"/>
      <c r="CC173" s="45"/>
      <c r="CD173" s="8"/>
      <c r="CE173" s="45"/>
      <c r="CF173" s="8"/>
      <c r="CG173" s="45"/>
      <c r="CH173" s="8"/>
      <c r="CI173" s="45"/>
      <c r="CJ173" s="8"/>
      <c r="CK173" s="45"/>
      <c r="CL173" s="8"/>
      <c r="CM173" s="45"/>
      <c r="CN173" s="8"/>
      <c r="CO173" s="45"/>
      <c r="CP173" s="8"/>
      <c r="CQ173" s="45"/>
      <c r="CR173" s="8"/>
      <c r="CS173" s="45"/>
      <c r="CT173" s="8"/>
      <c r="CU173" s="45"/>
      <c r="CV173" s="8"/>
      <c r="CW173" s="45"/>
      <c r="CX173" s="8"/>
      <c r="CY173" s="45"/>
      <c r="CZ173" s="8"/>
      <c r="DA173" s="45"/>
      <c r="DB173" s="8"/>
      <c r="DC173" s="45"/>
      <c r="DD173" s="8"/>
      <c r="DE173" s="45"/>
      <c r="DF173" s="8"/>
      <c r="DG173" s="45"/>
      <c r="DH173" s="8"/>
      <c r="DI173" s="45"/>
      <c r="DJ173" s="8"/>
      <c r="DK173" s="45"/>
      <c r="DL173" s="8"/>
      <c r="DM173" s="45"/>
      <c r="DN173" s="8"/>
      <c r="DO173" s="45"/>
      <c r="DP173" s="8"/>
      <c r="DQ173" s="45"/>
      <c r="DR173" s="8"/>
    </row>
    <row r="174" spans="1:122" s="38" customFormat="1" x14ac:dyDescent="0.3">
      <c r="A174" s="21" t="s">
        <v>258</v>
      </c>
      <c r="B174" s="8">
        <v>2313203</v>
      </c>
      <c r="C174" s="61">
        <v>165</v>
      </c>
      <c r="D174" s="14">
        <v>628.54748390537497</v>
      </c>
      <c r="E174" s="18">
        <v>4</v>
      </c>
      <c r="F174" s="18">
        <v>15.237514761342425</v>
      </c>
      <c r="G174" s="7">
        <v>2.4242424242424242E-2</v>
      </c>
      <c r="H174" s="63">
        <v>26251</v>
      </c>
      <c r="I174" s="19">
        <v>8190122.623900041</v>
      </c>
      <c r="J174" s="6">
        <v>102332101.63422346</v>
      </c>
      <c r="K174" s="5">
        <v>2014.5429999999999</v>
      </c>
      <c r="L174" s="4">
        <v>13.030746923743996</v>
      </c>
      <c r="M174" s="6">
        <v>7947.74</v>
      </c>
      <c r="N174" s="8">
        <v>0.57999999999999996</v>
      </c>
      <c r="O174" s="15">
        <v>22.25</v>
      </c>
      <c r="P174" s="90">
        <v>75716374.042893603</v>
      </c>
      <c r="Q174" s="91">
        <v>106133813.11188145</v>
      </c>
      <c r="R174" s="15">
        <v>6.9</v>
      </c>
      <c r="S174" s="8">
        <v>4.9000000000000004</v>
      </c>
      <c r="T174" s="8">
        <v>4.3</v>
      </c>
      <c r="U174" s="14">
        <v>99.239391513210606</v>
      </c>
      <c r="V174" s="20">
        <v>20515</v>
      </c>
      <c r="W174" s="48">
        <v>15.24</v>
      </c>
      <c r="X174" s="8">
        <v>31.11</v>
      </c>
      <c r="Y174" s="16">
        <v>54.367969494756899</v>
      </c>
      <c r="Z174" s="8">
        <v>0.65</v>
      </c>
      <c r="AA174" s="17">
        <v>1.4856576892</v>
      </c>
      <c r="AB174" s="34">
        <v>9.3329777912999994</v>
      </c>
      <c r="AC174" s="34">
        <v>0</v>
      </c>
      <c r="AD174" s="42">
        <v>1</v>
      </c>
      <c r="AE174" s="43">
        <v>0.44198656241405054</v>
      </c>
      <c r="AF174" s="34">
        <v>1</v>
      </c>
      <c r="AG174" s="44">
        <v>0.48599999999999999</v>
      </c>
      <c r="AH174" s="8">
        <v>0.35</v>
      </c>
      <c r="AI174" s="17">
        <v>0.53700000000000003</v>
      </c>
      <c r="AJ174" s="8">
        <v>0.56999999999999995</v>
      </c>
      <c r="AK174" s="45">
        <v>0.42599999999999999</v>
      </c>
      <c r="AL174" s="85">
        <v>4.6893451678031314E-2</v>
      </c>
      <c r="AM174" s="44">
        <v>11.834319526627199</v>
      </c>
      <c r="AN174" s="8">
        <v>0.97989510489510512</v>
      </c>
      <c r="AO174" s="44">
        <v>0.97989510489510501</v>
      </c>
      <c r="AP174" s="85">
        <v>0.16677459906289285</v>
      </c>
      <c r="AQ174" s="45">
        <v>419.03165593691671</v>
      </c>
      <c r="AR174" s="8">
        <v>788.54138889947046</v>
      </c>
      <c r="AS174" s="45">
        <v>76.187573806712123</v>
      </c>
      <c r="AT174" s="8">
        <v>11.428136071006818</v>
      </c>
      <c r="AU174" s="45"/>
      <c r="AV174" s="45"/>
      <c r="AW174" s="8"/>
      <c r="AX174" s="45"/>
      <c r="AY174" s="8"/>
      <c r="AZ174" s="45"/>
      <c r="BA174" s="8"/>
      <c r="BB174" s="45"/>
      <c r="BC174" s="8"/>
      <c r="BD174" s="45"/>
      <c r="BE174" s="8"/>
      <c r="BF174" s="45"/>
      <c r="BG174" s="8"/>
      <c r="BH174" s="45"/>
      <c r="BI174" s="8"/>
      <c r="BJ174" s="45"/>
      <c r="BK174" s="8"/>
      <c r="BL174" s="45"/>
      <c r="BM174" s="8"/>
      <c r="BN174" s="8"/>
      <c r="BO174" s="45"/>
      <c r="BP174" s="8"/>
      <c r="BQ174" s="45"/>
      <c r="BR174" s="8"/>
      <c r="BS174" s="45"/>
      <c r="BT174" s="8"/>
      <c r="BU174" s="45"/>
      <c r="BV174" s="8"/>
      <c r="BW174" s="45"/>
      <c r="BX174" s="8"/>
      <c r="BY174" s="45"/>
      <c r="BZ174" s="8"/>
      <c r="CA174" s="45"/>
      <c r="CB174" s="8"/>
      <c r="CC174" s="45"/>
      <c r="CD174" s="8"/>
      <c r="CE174" s="45"/>
      <c r="CF174" s="8"/>
      <c r="CG174" s="45"/>
      <c r="CH174" s="8"/>
      <c r="CI174" s="45"/>
      <c r="CJ174" s="8"/>
      <c r="CK174" s="45"/>
      <c r="CL174" s="8"/>
      <c r="CM174" s="45"/>
      <c r="CN174" s="8"/>
      <c r="CO174" s="45"/>
      <c r="CP174" s="8"/>
      <c r="CQ174" s="45"/>
      <c r="CR174" s="8"/>
      <c r="CS174" s="45"/>
      <c r="CT174" s="8"/>
      <c r="CU174" s="45"/>
      <c r="CV174" s="8"/>
      <c r="CW174" s="45"/>
      <c r="CX174" s="8"/>
      <c r="CY174" s="45"/>
      <c r="CZ174" s="8"/>
      <c r="DA174" s="45"/>
      <c r="DB174" s="8"/>
      <c r="DC174" s="45"/>
      <c r="DD174" s="8"/>
      <c r="DE174" s="45"/>
      <c r="DF174" s="8"/>
      <c r="DG174" s="45"/>
      <c r="DH174" s="8"/>
      <c r="DI174" s="45"/>
      <c r="DJ174" s="8"/>
      <c r="DK174" s="45"/>
      <c r="DL174" s="8"/>
      <c r="DM174" s="45"/>
      <c r="DN174" s="8"/>
      <c r="DO174" s="45"/>
      <c r="DP174" s="8"/>
      <c r="DQ174" s="45"/>
      <c r="DR174" s="8"/>
    </row>
    <row r="175" spans="1:122" s="38" customFormat="1" x14ac:dyDescent="0.3">
      <c r="A175" s="21" t="s">
        <v>259</v>
      </c>
      <c r="B175" s="8">
        <v>2313252</v>
      </c>
      <c r="C175" s="61">
        <v>32</v>
      </c>
      <c r="D175" s="14">
        <v>372.43947858472995</v>
      </c>
      <c r="E175" s="18">
        <v>2</v>
      </c>
      <c r="F175" s="18">
        <v>23.277467411545622</v>
      </c>
      <c r="G175" s="7">
        <v>6.25E-2</v>
      </c>
      <c r="H175" s="63">
        <v>8592</v>
      </c>
      <c r="I175" s="19">
        <v>5308921.4385474864</v>
      </c>
      <c r="J175" s="6">
        <v>97702513.966480449</v>
      </c>
      <c r="K175" s="5">
        <v>412.71899999999999</v>
      </c>
      <c r="L175" s="4">
        <v>20.81803842323712</v>
      </c>
      <c r="M175" s="6">
        <v>6788.95</v>
      </c>
      <c r="N175" s="8">
        <v>0.57599999999999996</v>
      </c>
      <c r="O175" s="15">
        <v>11.89</v>
      </c>
      <c r="P175" s="90">
        <v>64265097.64897579</v>
      </c>
      <c r="Q175" s="91">
        <v>106412647.46275605</v>
      </c>
      <c r="R175" s="15">
        <v>6.3</v>
      </c>
      <c r="S175" s="8">
        <v>5.0999999999999996</v>
      </c>
      <c r="T175" s="8">
        <v>4.5</v>
      </c>
      <c r="U175" s="14">
        <v>98.656126482213395</v>
      </c>
      <c r="V175" s="20">
        <v>6370.61</v>
      </c>
      <c r="W175" s="48">
        <v>23.28</v>
      </c>
      <c r="X175" s="8">
        <v>29.17</v>
      </c>
      <c r="Y175" s="16">
        <v>47.194680975154597</v>
      </c>
      <c r="Z175" s="8">
        <v>0.57999999999999996</v>
      </c>
      <c r="AA175" s="17">
        <v>1.8621973929</v>
      </c>
      <c r="AB175" s="34">
        <v>8.9618249534000007</v>
      </c>
      <c r="AC175" s="34">
        <v>0</v>
      </c>
      <c r="AD175" s="42">
        <v>1</v>
      </c>
      <c r="AE175" s="43">
        <v>0.70549943883277222</v>
      </c>
      <c r="AF175" s="34">
        <v>1</v>
      </c>
      <c r="AG175" s="44">
        <v>0.435</v>
      </c>
      <c r="AH175" s="8">
        <v>0.115</v>
      </c>
      <c r="AI175" s="17">
        <v>0.55800000000000005</v>
      </c>
      <c r="AJ175" s="8">
        <v>0.63200000000000001</v>
      </c>
      <c r="AK175" s="45">
        <v>0.48899999999999999</v>
      </c>
      <c r="AL175" s="85">
        <v>9.5204841713221605E-2</v>
      </c>
      <c r="AM175" s="44">
        <v>20.202020202020201</v>
      </c>
      <c r="AN175" s="8">
        <v>0.9707207207207208</v>
      </c>
      <c r="AO175" s="44">
        <v>0.97072072072072069</v>
      </c>
      <c r="AP175" s="85">
        <v>0.16294227188081936</v>
      </c>
      <c r="AQ175" s="45">
        <v>314.24581005586595</v>
      </c>
      <c r="AR175" s="8">
        <v>418.99441340782124</v>
      </c>
      <c r="AS175" s="45">
        <v>58.193668528864066</v>
      </c>
      <c r="AT175" s="8">
        <v>0</v>
      </c>
      <c r="AU175" s="45"/>
      <c r="AV175" s="45"/>
      <c r="AW175" s="8"/>
      <c r="AX175" s="45"/>
      <c r="AY175" s="8"/>
      <c r="AZ175" s="45"/>
      <c r="BA175" s="8"/>
      <c r="BB175" s="45"/>
      <c r="BC175" s="8"/>
      <c r="BD175" s="45"/>
      <c r="BE175" s="8"/>
      <c r="BF175" s="45"/>
      <c r="BG175" s="8"/>
      <c r="BH175" s="45"/>
      <c r="BI175" s="8"/>
      <c r="BJ175" s="45"/>
      <c r="BK175" s="8"/>
      <c r="BL175" s="45"/>
      <c r="BM175" s="8"/>
      <c r="BN175" s="8"/>
      <c r="BO175" s="45"/>
      <c r="BP175" s="8"/>
      <c r="BQ175" s="45"/>
      <c r="BR175" s="8"/>
      <c r="BS175" s="45"/>
      <c r="BT175" s="8"/>
      <c r="BU175" s="45"/>
      <c r="BV175" s="8"/>
      <c r="BW175" s="45"/>
      <c r="BX175" s="8"/>
      <c r="BY175" s="45"/>
      <c r="BZ175" s="8"/>
      <c r="CA175" s="45"/>
      <c r="CB175" s="8"/>
      <c r="CC175" s="45"/>
      <c r="CD175" s="8"/>
      <c r="CE175" s="45"/>
      <c r="CF175" s="8"/>
      <c r="CG175" s="45"/>
      <c r="CH175" s="8"/>
      <c r="CI175" s="45"/>
      <c r="CJ175" s="8"/>
      <c r="CK175" s="45"/>
      <c r="CL175" s="8"/>
      <c r="CM175" s="45"/>
      <c r="CN175" s="8"/>
      <c r="CO175" s="45"/>
      <c r="CP175" s="8"/>
      <c r="CQ175" s="45"/>
      <c r="CR175" s="8"/>
      <c r="CS175" s="45"/>
      <c r="CT175" s="8"/>
      <c r="CU175" s="45"/>
      <c r="CV175" s="8"/>
      <c r="CW175" s="45"/>
      <c r="CX175" s="8"/>
      <c r="CY175" s="45"/>
      <c r="CZ175" s="8"/>
      <c r="DA175" s="45"/>
      <c r="DB175" s="8"/>
      <c r="DC175" s="45"/>
      <c r="DD175" s="8"/>
      <c r="DE175" s="45"/>
      <c r="DF175" s="8"/>
      <c r="DG175" s="45"/>
      <c r="DH175" s="8"/>
      <c r="DI175" s="45"/>
      <c r="DJ175" s="8"/>
      <c r="DK175" s="45"/>
      <c r="DL175" s="8"/>
      <c r="DM175" s="45"/>
      <c r="DN175" s="8"/>
      <c r="DO175" s="45"/>
      <c r="DP175" s="8"/>
      <c r="DQ175" s="45"/>
      <c r="DR175" s="8"/>
    </row>
    <row r="176" spans="1:122" s="38" customFormat="1" x14ac:dyDescent="0.3">
      <c r="A176" s="21" t="s">
        <v>260</v>
      </c>
      <c r="B176" s="8">
        <v>2313302</v>
      </c>
      <c r="C176" s="61">
        <v>802</v>
      </c>
      <c r="D176" s="14">
        <v>1362.5783652457567</v>
      </c>
      <c r="E176" s="18">
        <v>15</v>
      </c>
      <c r="F176" s="18">
        <v>25.484632766441838</v>
      </c>
      <c r="G176" s="7">
        <v>1.8703241895261846E-2</v>
      </c>
      <c r="H176" s="63">
        <v>58859</v>
      </c>
      <c r="I176" s="19">
        <v>15825290.524813537</v>
      </c>
      <c r="J176" s="6">
        <v>82112506.158786252</v>
      </c>
      <c r="K176" s="5">
        <v>4010.6179999999999</v>
      </c>
      <c r="L176" s="4">
        <v>14.675793107196945</v>
      </c>
      <c r="M176" s="6">
        <v>10253.799999999999</v>
      </c>
      <c r="N176" s="8">
        <v>0.63300000000000001</v>
      </c>
      <c r="O176" s="15">
        <v>26.74</v>
      </c>
      <c r="P176" s="90">
        <v>61431574.372653291</v>
      </c>
      <c r="Q176" s="91">
        <v>88235119.913692042</v>
      </c>
      <c r="R176" s="15">
        <v>6.1</v>
      </c>
      <c r="S176" s="8">
        <v>5.2</v>
      </c>
      <c r="T176" s="8">
        <v>4.5</v>
      </c>
      <c r="U176" s="14">
        <v>99.677560205555395</v>
      </c>
      <c r="V176" s="20">
        <v>58065.25</v>
      </c>
      <c r="W176" s="48">
        <v>8.49</v>
      </c>
      <c r="X176" s="8">
        <v>32.08</v>
      </c>
      <c r="Y176" s="16">
        <v>29.0389759913311</v>
      </c>
      <c r="Z176" s="8">
        <v>0.61</v>
      </c>
      <c r="AA176" s="17">
        <v>2.2086681731</v>
      </c>
      <c r="AB176" s="34">
        <v>11.213238417199999</v>
      </c>
      <c r="AC176" s="34">
        <v>0</v>
      </c>
      <c r="AD176" s="42">
        <v>1</v>
      </c>
      <c r="AE176" s="43">
        <v>0.42101012276545335</v>
      </c>
      <c r="AF176" s="34">
        <v>1</v>
      </c>
      <c r="AG176" s="44">
        <v>0.44</v>
      </c>
      <c r="AH176" s="8">
        <v>0.29099999999999998</v>
      </c>
      <c r="AI176" s="17">
        <v>0.47699999999999998</v>
      </c>
      <c r="AJ176" s="8">
        <v>0.55300000000000005</v>
      </c>
      <c r="AK176" s="45">
        <v>0.38200000000000001</v>
      </c>
      <c r="AL176" s="85">
        <v>7.9817869824495832E-2</v>
      </c>
      <c r="AM176" s="44">
        <v>12.9533678756477</v>
      </c>
      <c r="AN176" s="8">
        <v>0.94031377899045021</v>
      </c>
      <c r="AO176" s="44">
        <v>0.94031377899045032</v>
      </c>
      <c r="AP176" s="85">
        <v>0.15853140556244585</v>
      </c>
      <c r="AQ176" s="45">
        <v>948.0283389116363</v>
      </c>
      <c r="AR176" s="8">
        <v>1467.9148473470498</v>
      </c>
      <c r="AS176" s="45">
        <v>188.58628247166959</v>
      </c>
      <c r="AT176" s="8">
        <v>20.387706213153468</v>
      </c>
      <c r="AU176" s="45"/>
      <c r="AV176" s="45"/>
      <c r="AW176" s="8"/>
      <c r="AX176" s="45"/>
      <c r="AY176" s="8"/>
      <c r="AZ176" s="45"/>
      <c r="BA176" s="8"/>
      <c r="BB176" s="45"/>
      <c r="BC176" s="8"/>
      <c r="BD176" s="45"/>
      <c r="BE176" s="8"/>
      <c r="BF176" s="45"/>
      <c r="BG176" s="8"/>
      <c r="BH176" s="45"/>
      <c r="BI176" s="8"/>
      <c r="BJ176" s="45"/>
      <c r="BK176" s="8"/>
      <c r="BL176" s="45"/>
      <c r="BM176" s="8"/>
      <c r="BN176" s="8"/>
      <c r="BO176" s="45"/>
      <c r="BP176" s="8"/>
      <c r="BQ176" s="45"/>
      <c r="BR176" s="8"/>
      <c r="BS176" s="45"/>
      <c r="BT176" s="8"/>
      <c r="BU176" s="45"/>
      <c r="BV176" s="8"/>
      <c r="BW176" s="45"/>
      <c r="BX176" s="8"/>
      <c r="BY176" s="45"/>
      <c r="BZ176" s="8"/>
      <c r="CA176" s="45"/>
      <c r="CB176" s="8"/>
      <c r="CC176" s="45"/>
      <c r="CD176" s="8"/>
      <c r="CE176" s="45"/>
      <c r="CF176" s="8"/>
      <c r="CG176" s="45"/>
      <c r="CH176" s="8"/>
      <c r="CI176" s="45"/>
      <c r="CJ176" s="8"/>
      <c r="CK176" s="45"/>
      <c r="CL176" s="8"/>
      <c r="CM176" s="45"/>
      <c r="CN176" s="8"/>
      <c r="CO176" s="45"/>
      <c r="CP176" s="8"/>
      <c r="CQ176" s="45"/>
      <c r="CR176" s="8"/>
      <c r="CS176" s="45"/>
      <c r="CT176" s="8"/>
      <c r="CU176" s="45"/>
      <c r="CV176" s="8"/>
      <c r="CW176" s="45"/>
      <c r="CX176" s="8"/>
      <c r="CY176" s="45"/>
      <c r="CZ176" s="8"/>
      <c r="DA176" s="45"/>
      <c r="DB176" s="8"/>
      <c r="DC176" s="45"/>
      <c r="DD176" s="8"/>
      <c r="DE176" s="45"/>
      <c r="DF176" s="8"/>
      <c r="DG176" s="45"/>
      <c r="DH176" s="8"/>
      <c r="DI176" s="45"/>
      <c r="DJ176" s="8"/>
      <c r="DK176" s="45"/>
      <c r="DL176" s="8"/>
      <c r="DM176" s="45"/>
      <c r="DN176" s="8"/>
      <c r="DO176" s="45"/>
      <c r="DP176" s="8"/>
      <c r="DQ176" s="45"/>
      <c r="DR176" s="8"/>
    </row>
    <row r="177" spans="1:122" s="38" customFormat="1" x14ac:dyDescent="0.3">
      <c r="A177" s="21" t="s">
        <v>261</v>
      </c>
      <c r="B177" s="8">
        <v>2313351</v>
      </c>
      <c r="C177" s="61">
        <v>399</v>
      </c>
      <c r="D177" s="14">
        <v>2079.5330171470264</v>
      </c>
      <c r="E177" s="18">
        <v>10</v>
      </c>
      <c r="F177" s="18">
        <v>52.118621983634753</v>
      </c>
      <c r="G177" s="7">
        <v>2.5062656641604009E-2</v>
      </c>
      <c r="H177" s="63">
        <v>19187</v>
      </c>
      <c r="I177" s="19">
        <v>3988917.8089331319</v>
      </c>
      <c r="J177" s="6">
        <v>105793506.01970084</v>
      </c>
      <c r="K177" s="5">
        <v>758.70699999999999</v>
      </c>
      <c r="L177" s="4">
        <v>25.289077338155572</v>
      </c>
      <c r="M177" s="6">
        <v>5555.49</v>
      </c>
      <c r="N177" s="8">
        <v>0.58399999999999996</v>
      </c>
      <c r="O177" s="15">
        <v>12.89</v>
      </c>
      <c r="P177" s="90">
        <v>75075957.262729973</v>
      </c>
      <c r="Q177" s="91">
        <v>94970590.920936063</v>
      </c>
      <c r="R177" s="15">
        <v>5.5</v>
      </c>
      <c r="S177" s="8">
        <v>4.5</v>
      </c>
      <c r="T177" s="8">
        <v>4.0999999999999996</v>
      </c>
      <c r="U177" s="14">
        <v>97.936849659131695</v>
      </c>
      <c r="V177" s="20">
        <v>10393.74</v>
      </c>
      <c r="W177" s="48">
        <v>10.42</v>
      </c>
      <c r="X177" s="8">
        <v>34.67</v>
      </c>
      <c r="Y177" s="16">
        <v>59.542615249599898</v>
      </c>
      <c r="Z177" s="8">
        <v>0.83</v>
      </c>
      <c r="AA177" s="17">
        <v>0.83389795170000003</v>
      </c>
      <c r="AB177" s="34">
        <v>7.4529629437000002</v>
      </c>
      <c r="AC177" s="34">
        <v>0</v>
      </c>
      <c r="AD177" s="42">
        <v>1</v>
      </c>
      <c r="AE177" s="43">
        <v>0.62352172104356096</v>
      </c>
      <c r="AF177" s="34">
        <v>1</v>
      </c>
      <c r="AG177" s="44">
        <v>0.50700000000000001</v>
      </c>
      <c r="AH177" s="8">
        <v>0.41799999999999998</v>
      </c>
      <c r="AI177" s="17">
        <v>0.56399999999999995</v>
      </c>
      <c r="AJ177" s="8">
        <v>0.53900000000000003</v>
      </c>
      <c r="AK177" s="45">
        <v>0.46400000000000002</v>
      </c>
      <c r="AL177" s="85">
        <v>6.8535987908479701E-2</v>
      </c>
      <c r="AM177" s="44">
        <v>31.531531531531499</v>
      </c>
      <c r="AN177" s="8">
        <v>0.94911504424778759</v>
      </c>
      <c r="AO177" s="44">
        <v>0.94911504424778748</v>
      </c>
      <c r="AP177" s="85">
        <v>0.11356647730234012</v>
      </c>
      <c r="AQ177" s="45">
        <v>135.50841715745037</v>
      </c>
      <c r="AR177" s="8">
        <v>166.7795903476312</v>
      </c>
      <c r="AS177" s="45">
        <v>15.635586595090425</v>
      </c>
      <c r="AT177" s="8">
        <v>10.42372439672695</v>
      </c>
      <c r="AU177" s="45"/>
      <c r="AV177" s="45"/>
      <c r="AW177" s="8"/>
      <c r="AX177" s="45"/>
      <c r="AY177" s="8"/>
      <c r="AZ177" s="45"/>
      <c r="BA177" s="8"/>
      <c r="BB177" s="45"/>
      <c r="BC177" s="8"/>
      <c r="BD177" s="45"/>
      <c r="BE177" s="8"/>
      <c r="BF177" s="45"/>
      <c r="BG177" s="8"/>
      <c r="BH177" s="45"/>
      <c r="BI177" s="8"/>
      <c r="BJ177" s="45"/>
      <c r="BK177" s="8"/>
      <c r="BL177" s="45"/>
      <c r="BM177" s="8"/>
      <c r="BN177" s="8"/>
      <c r="BO177" s="45"/>
      <c r="BP177" s="8"/>
      <c r="BQ177" s="45"/>
      <c r="BR177" s="8"/>
      <c r="BS177" s="45"/>
      <c r="BT177" s="8"/>
      <c r="BU177" s="45"/>
      <c r="BV177" s="8"/>
      <c r="BW177" s="45"/>
      <c r="BX177" s="8"/>
      <c r="BY177" s="45"/>
      <c r="BZ177" s="8"/>
      <c r="CA177" s="45"/>
      <c r="CB177" s="8"/>
      <c r="CC177" s="45"/>
      <c r="CD177" s="8"/>
      <c r="CE177" s="45"/>
      <c r="CF177" s="8"/>
      <c r="CG177" s="45"/>
      <c r="CH177" s="8"/>
      <c r="CI177" s="45"/>
      <c r="CJ177" s="8"/>
      <c r="CK177" s="45"/>
      <c r="CL177" s="8"/>
      <c r="CM177" s="45"/>
      <c r="CN177" s="8"/>
      <c r="CO177" s="45"/>
      <c r="CP177" s="8"/>
      <c r="CQ177" s="45"/>
      <c r="CR177" s="8"/>
      <c r="CS177" s="45"/>
      <c r="CT177" s="8"/>
      <c r="CU177" s="45"/>
      <c r="CV177" s="8"/>
      <c r="CW177" s="45"/>
      <c r="CX177" s="8"/>
      <c r="CY177" s="45"/>
      <c r="CZ177" s="8"/>
      <c r="DA177" s="45"/>
      <c r="DB177" s="8"/>
      <c r="DC177" s="45"/>
      <c r="DD177" s="8"/>
      <c r="DE177" s="45"/>
      <c r="DF177" s="8"/>
      <c r="DG177" s="45"/>
      <c r="DH177" s="8"/>
      <c r="DI177" s="45"/>
      <c r="DJ177" s="8"/>
      <c r="DK177" s="45"/>
      <c r="DL177" s="8"/>
      <c r="DM177" s="45"/>
      <c r="DN177" s="8"/>
      <c r="DO177" s="45"/>
      <c r="DP177" s="8"/>
      <c r="DQ177" s="45"/>
      <c r="DR177" s="8"/>
    </row>
    <row r="178" spans="1:122" s="38" customFormat="1" x14ac:dyDescent="0.3">
      <c r="A178" s="21" t="s">
        <v>262</v>
      </c>
      <c r="B178" s="8">
        <v>2313401</v>
      </c>
      <c r="C178" s="61">
        <v>2606</v>
      </c>
      <c r="D178" s="14">
        <v>3431.3854580886418</v>
      </c>
      <c r="E178" s="18">
        <v>61</v>
      </c>
      <c r="F178" s="18">
        <v>80.320227530087166</v>
      </c>
      <c r="G178" s="7">
        <v>2.3407521105141979E-2</v>
      </c>
      <c r="H178" s="63">
        <v>75946</v>
      </c>
      <c r="I178" s="19">
        <v>13027345.824664894</v>
      </c>
      <c r="J178" s="6">
        <v>106811945.32957627</v>
      </c>
      <c r="K178" s="5">
        <v>909.85299999999995</v>
      </c>
      <c r="L178" s="4">
        <v>83.470626573743232</v>
      </c>
      <c r="M178" s="6">
        <v>17463.86</v>
      </c>
      <c r="N178" s="8">
        <v>0.65700000000000003</v>
      </c>
      <c r="O178" s="15">
        <v>47.37</v>
      </c>
      <c r="P178" s="90">
        <v>56125496.128828377</v>
      </c>
      <c r="Q178" s="91">
        <v>95191828.101545826</v>
      </c>
      <c r="R178" s="15">
        <v>6.4</v>
      </c>
      <c r="S178" s="8">
        <v>5.2</v>
      </c>
      <c r="T178" s="8">
        <v>4.4000000000000004</v>
      </c>
      <c r="U178" s="14">
        <v>99.333858301232297</v>
      </c>
      <c r="V178" s="20">
        <v>79545.679999999993</v>
      </c>
      <c r="W178" s="48">
        <v>15.8</v>
      </c>
      <c r="X178" s="8">
        <v>31.82</v>
      </c>
      <c r="Y178" s="16">
        <v>50.784587846401102</v>
      </c>
      <c r="Z178" s="8">
        <v>0.62</v>
      </c>
      <c r="AA178" s="17">
        <v>1.6985753035</v>
      </c>
      <c r="AB178" s="34">
        <v>8.7562215257999991</v>
      </c>
      <c r="AC178" s="34">
        <v>0</v>
      </c>
      <c r="AD178" s="42">
        <v>0</v>
      </c>
      <c r="AE178" s="43">
        <v>0.33491551994426061</v>
      </c>
      <c r="AF178" s="34">
        <v>1</v>
      </c>
      <c r="AG178" s="44">
        <v>0.378</v>
      </c>
      <c r="AH178" s="8">
        <v>0.22600000000000001</v>
      </c>
      <c r="AI178" s="17">
        <v>0.47799999999999998</v>
      </c>
      <c r="AJ178" s="8">
        <v>0.42899999999999999</v>
      </c>
      <c r="AK178" s="45">
        <v>0.374</v>
      </c>
      <c r="AL178" s="85">
        <v>0.11509493587549048</v>
      </c>
      <c r="AM178" s="44">
        <v>11.572498298161999</v>
      </c>
      <c r="AN178" s="8">
        <v>0.87133105802047783</v>
      </c>
      <c r="AO178" s="44">
        <v>0.87133105802047772</v>
      </c>
      <c r="AP178" s="85">
        <v>0.1038369367708635</v>
      </c>
      <c r="AQ178" s="45">
        <v>441.10288889474094</v>
      </c>
      <c r="AR178" s="8">
        <v>786.08484976167279</v>
      </c>
      <c r="AS178" s="45">
        <v>39.501751244305161</v>
      </c>
      <c r="AT178" s="8">
        <v>15.800700497722067</v>
      </c>
      <c r="AU178" s="45"/>
      <c r="AV178" s="45"/>
      <c r="AW178" s="8"/>
      <c r="AX178" s="45"/>
      <c r="AY178" s="8"/>
      <c r="AZ178" s="45"/>
      <c r="BA178" s="8"/>
      <c r="BB178" s="45"/>
      <c r="BC178" s="8"/>
      <c r="BD178" s="45"/>
      <c r="BE178" s="8"/>
      <c r="BF178" s="45"/>
      <c r="BG178" s="8"/>
      <c r="BH178" s="45"/>
      <c r="BI178" s="8"/>
      <c r="BJ178" s="45"/>
      <c r="BK178" s="8"/>
      <c r="BL178" s="45"/>
      <c r="BM178" s="8"/>
      <c r="BN178" s="8"/>
      <c r="BO178" s="45"/>
      <c r="BP178" s="8"/>
      <c r="BQ178" s="45"/>
      <c r="BR178" s="8"/>
      <c r="BS178" s="45"/>
      <c r="BT178" s="8"/>
      <c r="BU178" s="45"/>
      <c r="BV178" s="8"/>
      <c r="BW178" s="45"/>
      <c r="BX178" s="8"/>
      <c r="BY178" s="45"/>
      <c r="BZ178" s="8"/>
      <c r="CA178" s="45"/>
      <c r="CB178" s="8"/>
      <c r="CC178" s="45"/>
      <c r="CD178" s="8"/>
      <c r="CE178" s="45"/>
      <c r="CF178" s="8"/>
      <c r="CG178" s="45"/>
      <c r="CH178" s="8"/>
      <c r="CI178" s="45"/>
      <c r="CJ178" s="8"/>
      <c r="CK178" s="45"/>
      <c r="CL178" s="8"/>
      <c r="CM178" s="45"/>
      <c r="CN178" s="8"/>
      <c r="CO178" s="45"/>
      <c r="CP178" s="8"/>
      <c r="CQ178" s="45"/>
      <c r="CR178" s="8"/>
      <c r="CS178" s="45"/>
      <c r="CT178" s="8"/>
      <c r="CU178" s="45"/>
      <c r="CV178" s="8"/>
      <c r="CW178" s="45"/>
      <c r="CX178" s="8"/>
      <c r="CY178" s="45"/>
      <c r="CZ178" s="8"/>
      <c r="DA178" s="45"/>
      <c r="DB178" s="8"/>
      <c r="DC178" s="45"/>
      <c r="DD178" s="8"/>
      <c r="DE178" s="45"/>
      <c r="DF178" s="8"/>
      <c r="DG178" s="45"/>
      <c r="DH178" s="8"/>
      <c r="DI178" s="45"/>
      <c r="DJ178" s="8"/>
      <c r="DK178" s="45"/>
      <c r="DL178" s="8"/>
      <c r="DM178" s="45"/>
      <c r="DN178" s="8"/>
      <c r="DO178" s="45"/>
      <c r="DP178" s="8"/>
      <c r="DQ178" s="45"/>
      <c r="DR178" s="8"/>
    </row>
    <row r="179" spans="1:122" s="38" customFormat="1" x14ac:dyDescent="0.3">
      <c r="A179" s="21" t="s">
        <v>263</v>
      </c>
      <c r="B179" s="8">
        <v>2313500</v>
      </c>
      <c r="C179" s="61">
        <v>667</v>
      </c>
      <c r="D179" s="14">
        <v>1192.8180550091206</v>
      </c>
      <c r="E179" s="18">
        <v>40</v>
      </c>
      <c r="F179" s="18">
        <v>71.533316642226112</v>
      </c>
      <c r="G179" s="7">
        <v>5.9970014992503748E-2</v>
      </c>
      <c r="H179" s="63">
        <v>55918</v>
      </c>
      <c r="I179" s="19">
        <v>5249231.6069959588</v>
      </c>
      <c r="J179" s="6">
        <v>117792839.51500411</v>
      </c>
      <c r="K179" s="5">
        <v>928.72500000000002</v>
      </c>
      <c r="L179" s="4">
        <v>60.209426902473822</v>
      </c>
      <c r="M179" s="6">
        <v>14855.42</v>
      </c>
      <c r="N179" s="8">
        <v>0.60599999999999998</v>
      </c>
      <c r="O179" s="15">
        <v>28.3</v>
      </c>
      <c r="P179" s="90">
        <v>50407852.909617655</v>
      </c>
      <c r="Q179" s="91">
        <v>97719320.469258547</v>
      </c>
      <c r="R179" s="15">
        <v>6.2</v>
      </c>
      <c r="S179" s="8">
        <v>5.0999999999999996</v>
      </c>
      <c r="T179" s="8">
        <v>4.5</v>
      </c>
      <c r="U179" s="14">
        <v>92.239427691750393</v>
      </c>
      <c r="V179" s="20">
        <v>51010.879999999997</v>
      </c>
      <c r="W179" s="48">
        <v>53.65</v>
      </c>
      <c r="X179" s="8">
        <v>30.87</v>
      </c>
      <c r="Y179" s="16">
        <v>63.333392549430599</v>
      </c>
      <c r="Z179" s="8">
        <v>0.38</v>
      </c>
      <c r="AA179" s="17">
        <v>0.2324832791</v>
      </c>
      <c r="AB179" s="34">
        <v>6.1876318896000004</v>
      </c>
      <c r="AC179" s="34">
        <v>1</v>
      </c>
      <c r="AD179" s="42">
        <v>0</v>
      </c>
      <c r="AE179" s="43">
        <v>0.63470887946793197</v>
      </c>
      <c r="AF179" s="34">
        <v>1</v>
      </c>
      <c r="AG179" s="44">
        <v>0.53500000000000003</v>
      </c>
      <c r="AH179" s="8">
        <v>0.502</v>
      </c>
      <c r="AI179" s="17">
        <v>0.55300000000000005</v>
      </c>
      <c r="AJ179" s="8">
        <v>0.54900000000000004</v>
      </c>
      <c r="AK179" s="45">
        <v>0.28299999999999997</v>
      </c>
      <c r="AL179" s="85">
        <v>6.1375585679030009E-2</v>
      </c>
      <c r="AM179" s="44">
        <v>12.8755364806867</v>
      </c>
      <c r="AN179" s="8">
        <v>0.95618247298919568</v>
      </c>
      <c r="AO179" s="44">
        <v>0.95618247298919568</v>
      </c>
      <c r="AP179" s="85">
        <v>0.11786902249722808</v>
      </c>
      <c r="AQ179" s="45">
        <v>259.30827282806968</v>
      </c>
      <c r="AR179" s="8">
        <v>286.13326656890445</v>
      </c>
      <c r="AS179" s="45">
        <v>21.459994992667834</v>
      </c>
      <c r="AT179" s="8">
        <v>14.306663328445223</v>
      </c>
      <c r="AU179" s="45"/>
      <c r="AV179" s="45"/>
      <c r="AW179" s="8"/>
      <c r="AX179" s="45"/>
      <c r="AY179" s="8"/>
      <c r="AZ179" s="45"/>
      <c r="BA179" s="8"/>
      <c r="BB179" s="45"/>
      <c r="BC179" s="8"/>
      <c r="BD179" s="45"/>
      <c r="BE179" s="8"/>
      <c r="BF179" s="45"/>
      <c r="BG179" s="8"/>
      <c r="BH179" s="45"/>
      <c r="BI179" s="8"/>
      <c r="BJ179" s="45"/>
      <c r="BK179" s="8"/>
      <c r="BL179" s="45"/>
      <c r="BM179" s="8"/>
      <c r="BN179" s="8"/>
      <c r="BO179" s="45"/>
      <c r="BP179" s="8"/>
      <c r="BQ179" s="45"/>
      <c r="BR179" s="8"/>
      <c r="BS179" s="45"/>
      <c r="BT179" s="8"/>
      <c r="BU179" s="45"/>
      <c r="BV179" s="8"/>
      <c r="BW179" s="45"/>
      <c r="BX179" s="8"/>
      <c r="BY179" s="45"/>
      <c r="BZ179" s="8"/>
      <c r="CA179" s="45"/>
      <c r="CB179" s="8"/>
      <c r="CC179" s="45"/>
      <c r="CD179" s="8"/>
      <c r="CE179" s="45"/>
      <c r="CF179" s="8"/>
      <c r="CG179" s="45"/>
      <c r="CH179" s="8"/>
      <c r="CI179" s="45"/>
      <c r="CJ179" s="8"/>
      <c r="CK179" s="45"/>
      <c r="CL179" s="8"/>
      <c r="CM179" s="45"/>
      <c r="CN179" s="8"/>
      <c r="CO179" s="45"/>
      <c r="CP179" s="8"/>
      <c r="CQ179" s="45"/>
      <c r="CR179" s="8"/>
      <c r="CS179" s="45"/>
      <c r="CT179" s="8"/>
      <c r="CU179" s="45"/>
      <c r="CV179" s="8"/>
      <c r="CW179" s="45"/>
      <c r="CX179" s="8"/>
      <c r="CY179" s="45"/>
      <c r="CZ179" s="8"/>
      <c r="DA179" s="45"/>
      <c r="DB179" s="8"/>
      <c r="DC179" s="45"/>
      <c r="DD179" s="8"/>
      <c r="DE179" s="45"/>
      <c r="DF179" s="8"/>
      <c r="DG179" s="45"/>
      <c r="DH179" s="8"/>
      <c r="DI179" s="45"/>
      <c r="DJ179" s="8"/>
      <c r="DK179" s="45"/>
      <c r="DL179" s="8"/>
      <c r="DM179" s="45"/>
      <c r="DN179" s="8"/>
      <c r="DO179" s="45"/>
      <c r="DP179" s="8"/>
      <c r="DQ179" s="45"/>
      <c r="DR179" s="8"/>
    </row>
    <row r="180" spans="1:122" s="38" customFormat="1" x14ac:dyDescent="0.3">
      <c r="A180" s="21" t="s">
        <v>264</v>
      </c>
      <c r="B180" s="8">
        <v>2313559</v>
      </c>
      <c r="C180" s="61">
        <v>309</v>
      </c>
      <c r="D180" s="14">
        <v>1899.0842603404831</v>
      </c>
      <c r="E180" s="18">
        <v>15</v>
      </c>
      <c r="F180" s="18">
        <v>92.18855632720792</v>
      </c>
      <c r="G180" s="7">
        <v>4.8543689320388349E-2</v>
      </c>
      <c r="H180" s="63">
        <v>16271</v>
      </c>
      <c r="I180" s="19">
        <v>3746843.4023723193</v>
      </c>
      <c r="J180" s="6">
        <v>114667813.9020343</v>
      </c>
      <c r="K180" s="5">
        <v>201.27</v>
      </c>
      <c r="L180" s="4">
        <v>80.841655487653398</v>
      </c>
      <c r="M180" s="6">
        <v>6539.47</v>
      </c>
      <c r="N180" s="8">
        <v>0.60599999999999998</v>
      </c>
      <c r="O180" s="15">
        <v>22.45</v>
      </c>
      <c r="P180" s="90">
        <v>53757207.362792701</v>
      </c>
      <c r="Q180" s="91">
        <v>100760617.04873702</v>
      </c>
      <c r="R180" s="15">
        <v>6</v>
      </c>
      <c r="S180" s="8">
        <v>4.8</v>
      </c>
      <c r="T180" s="8">
        <v>4</v>
      </c>
      <c r="U180" s="14">
        <v>98.771441817338896</v>
      </c>
      <c r="V180" s="20">
        <v>11242.08</v>
      </c>
      <c r="W180" s="48">
        <v>24.58</v>
      </c>
      <c r="X180" s="8">
        <v>31.25</v>
      </c>
      <c r="Y180" s="16">
        <v>57.628872253666799</v>
      </c>
      <c r="Z180" s="8">
        <v>0.61</v>
      </c>
      <c r="AA180" s="17">
        <v>0.79896748819999996</v>
      </c>
      <c r="AB180" s="34">
        <v>8.5428062196999992</v>
      </c>
      <c r="AC180" s="34">
        <v>0</v>
      </c>
      <c r="AD180" s="42">
        <v>0</v>
      </c>
      <c r="AE180" s="43">
        <v>0.63298167684619655</v>
      </c>
      <c r="AF180" s="34">
        <v>0</v>
      </c>
      <c r="AG180" s="44">
        <v>0.51200000000000001</v>
      </c>
      <c r="AH180" s="8">
        <v>0.28999999999999998</v>
      </c>
      <c r="AI180" s="17">
        <v>0.59899999999999998</v>
      </c>
      <c r="AJ180" s="8">
        <v>0.64600000000000002</v>
      </c>
      <c r="AK180" s="45">
        <v>0.46899999999999997</v>
      </c>
      <c r="AL180" s="85">
        <v>5.4452707270604139E-2</v>
      </c>
      <c r="AM180" s="44">
        <v>27.272727272727298</v>
      </c>
      <c r="AN180" s="8">
        <v>0.83801498127340823</v>
      </c>
      <c r="AO180" s="44">
        <v>0.83801498127340823</v>
      </c>
      <c r="AP180" s="85">
        <v>0.12525351852989983</v>
      </c>
      <c r="AQ180" s="45">
        <v>399.4837440845676</v>
      </c>
      <c r="AR180" s="8">
        <v>485.52639665662838</v>
      </c>
      <c r="AS180" s="45">
        <v>73.750845061766327</v>
      </c>
      <c r="AT180" s="8">
        <v>6.1459037551471933</v>
      </c>
      <c r="AU180" s="45"/>
      <c r="AV180" s="45"/>
      <c r="AW180" s="8"/>
      <c r="AX180" s="45"/>
      <c r="AY180" s="8"/>
      <c r="AZ180" s="45"/>
      <c r="BA180" s="8"/>
      <c r="BB180" s="45"/>
      <c r="BC180" s="8"/>
      <c r="BD180" s="45"/>
      <c r="BE180" s="8"/>
      <c r="BF180" s="45"/>
      <c r="BG180" s="8"/>
      <c r="BH180" s="45"/>
      <c r="BI180" s="8"/>
      <c r="BJ180" s="45"/>
      <c r="BK180" s="8"/>
      <c r="BL180" s="45"/>
      <c r="BM180" s="8"/>
      <c r="BN180" s="8"/>
      <c r="BO180" s="45"/>
      <c r="BP180" s="8"/>
      <c r="BQ180" s="45"/>
      <c r="BR180" s="8"/>
      <c r="BS180" s="45"/>
      <c r="BT180" s="8"/>
      <c r="BU180" s="45"/>
      <c r="BV180" s="8"/>
      <c r="BW180" s="45"/>
      <c r="BX180" s="8"/>
      <c r="BY180" s="45"/>
      <c r="BZ180" s="8"/>
      <c r="CA180" s="45"/>
      <c r="CB180" s="8"/>
      <c r="CC180" s="45"/>
      <c r="CD180" s="8"/>
      <c r="CE180" s="45"/>
      <c r="CF180" s="8"/>
      <c r="CG180" s="45"/>
      <c r="CH180" s="8"/>
      <c r="CI180" s="45"/>
      <c r="CJ180" s="8"/>
      <c r="CK180" s="45"/>
      <c r="CL180" s="8"/>
      <c r="CM180" s="45"/>
      <c r="CN180" s="8"/>
      <c r="CO180" s="45"/>
      <c r="CP180" s="8"/>
      <c r="CQ180" s="45"/>
      <c r="CR180" s="8"/>
      <c r="CS180" s="45"/>
      <c r="CT180" s="8"/>
      <c r="CU180" s="45"/>
      <c r="CV180" s="8"/>
      <c r="CW180" s="45"/>
      <c r="CX180" s="8"/>
      <c r="CY180" s="45"/>
      <c r="CZ180" s="8"/>
      <c r="DA180" s="45"/>
      <c r="DB180" s="8"/>
      <c r="DC180" s="45"/>
      <c r="DD180" s="8"/>
      <c r="DE180" s="45"/>
      <c r="DF180" s="8"/>
      <c r="DG180" s="45"/>
      <c r="DH180" s="8"/>
      <c r="DI180" s="45"/>
      <c r="DJ180" s="8"/>
      <c r="DK180" s="45"/>
      <c r="DL180" s="8"/>
      <c r="DM180" s="45"/>
      <c r="DN180" s="8"/>
      <c r="DO180" s="45"/>
      <c r="DP180" s="8"/>
      <c r="DQ180" s="45"/>
      <c r="DR180" s="8"/>
    </row>
    <row r="181" spans="1:122" s="38" customFormat="1" x14ac:dyDescent="0.3">
      <c r="A181" s="21" t="s">
        <v>265</v>
      </c>
      <c r="B181" s="8">
        <v>2313609</v>
      </c>
      <c r="C181" s="61">
        <v>805</v>
      </c>
      <c r="D181" s="14">
        <v>2313.750287422396</v>
      </c>
      <c r="E181" s="18">
        <v>25</v>
      </c>
      <c r="F181" s="18">
        <v>71.855598988273158</v>
      </c>
      <c r="G181" s="7">
        <v>3.1055900621118012E-2</v>
      </c>
      <c r="H181" s="63">
        <v>34792</v>
      </c>
      <c r="I181" s="19">
        <v>3075340.4518280062</v>
      </c>
      <c r="J181" s="6">
        <v>94561393.423775569</v>
      </c>
      <c r="K181" s="5">
        <v>423.673</v>
      </c>
      <c r="L181" s="4">
        <v>82.119936838080307</v>
      </c>
      <c r="M181" s="6">
        <v>16719.18</v>
      </c>
      <c r="N181" s="8">
        <v>0.64800000000000002</v>
      </c>
      <c r="O181" s="15">
        <v>36.340000000000003</v>
      </c>
      <c r="P181" s="90">
        <v>65559000.229937918</v>
      </c>
      <c r="Q181" s="91">
        <v>97816960.565647274</v>
      </c>
      <c r="R181" s="15">
        <v>6.8</v>
      </c>
      <c r="S181" s="8">
        <v>5.5</v>
      </c>
      <c r="T181" s="8">
        <v>4.4000000000000004</v>
      </c>
      <c r="U181" s="14">
        <v>98.761048575961297</v>
      </c>
      <c r="V181" s="20">
        <v>32587.73</v>
      </c>
      <c r="W181" s="48">
        <v>8.6199999999999992</v>
      </c>
      <c r="X181" s="8">
        <v>30.65</v>
      </c>
      <c r="Y181" s="16">
        <v>46.968356778040899</v>
      </c>
      <c r="Z181" s="8">
        <v>0.66</v>
      </c>
      <c r="AA181" s="17">
        <v>0.68981375030000003</v>
      </c>
      <c r="AB181" s="34">
        <v>7.9328581283000004</v>
      </c>
      <c r="AC181" s="34">
        <v>0</v>
      </c>
      <c r="AD181" s="42">
        <v>0</v>
      </c>
      <c r="AE181" s="43">
        <v>0.51709818479252523</v>
      </c>
      <c r="AF181" s="34">
        <v>0</v>
      </c>
      <c r="AG181" s="44">
        <v>0.35099999999999998</v>
      </c>
      <c r="AH181" s="8">
        <v>0.188</v>
      </c>
      <c r="AI181" s="17">
        <v>0.40699999999999997</v>
      </c>
      <c r="AJ181" s="8">
        <v>0.45800000000000002</v>
      </c>
      <c r="AK181" s="45">
        <v>0.38300000000000001</v>
      </c>
      <c r="AL181" s="85">
        <v>8.5536905035640376E-2</v>
      </c>
      <c r="AM181" s="44">
        <v>13.445378151260501</v>
      </c>
      <c r="AN181" s="8">
        <v>0.95860566448801743</v>
      </c>
      <c r="AO181" s="44">
        <v>0.95860566448801754</v>
      </c>
      <c r="AP181" s="85">
        <v>0.11844676937226949</v>
      </c>
      <c r="AQ181" s="45">
        <v>321.91308346746376</v>
      </c>
      <c r="AR181" s="8">
        <v>646.70039089445856</v>
      </c>
      <c r="AS181" s="45">
        <v>63.232927109680389</v>
      </c>
      <c r="AT181" s="8">
        <v>2.8742239595309269</v>
      </c>
      <c r="AU181" s="45"/>
      <c r="AV181" s="45"/>
      <c r="AW181" s="8"/>
      <c r="AX181" s="45"/>
      <c r="AY181" s="8"/>
      <c r="AZ181" s="45"/>
      <c r="BA181" s="8"/>
      <c r="BB181" s="45"/>
      <c r="BC181" s="8"/>
      <c r="BD181" s="45"/>
      <c r="BE181" s="8"/>
      <c r="BF181" s="45"/>
      <c r="BG181" s="8"/>
      <c r="BH181" s="45"/>
      <c r="BI181" s="8"/>
      <c r="BJ181" s="45"/>
      <c r="BK181" s="8"/>
      <c r="BL181" s="45"/>
      <c r="BM181" s="8"/>
      <c r="BN181" s="8"/>
      <c r="BO181" s="45"/>
      <c r="BP181" s="8"/>
      <c r="BQ181" s="45"/>
      <c r="BR181" s="8"/>
      <c r="BS181" s="45"/>
      <c r="BT181" s="8"/>
      <c r="BU181" s="45"/>
      <c r="BV181" s="8"/>
      <c r="BW181" s="45"/>
      <c r="BX181" s="8"/>
      <c r="BY181" s="45"/>
      <c r="BZ181" s="8"/>
      <c r="CA181" s="45"/>
      <c r="CB181" s="8"/>
      <c r="CC181" s="45"/>
      <c r="CD181" s="8"/>
      <c r="CE181" s="45"/>
      <c r="CF181" s="8"/>
      <c r="CG181" s="45"/>
      <c r="CH181" s="8"/>
      <c r="CI181" s="45"/>
      <c r="CJ181" s="8"/>
      <c r="CK181" s="45"/>
      <c r="CL181" s="8"/>
      <c r="CM181" s="45"/>
      <c r="CN181" s="8"/>
      <c r="CO181" s="45"/>
      <c r="CP181" s="8"/>
      <c r="CQ181" s="45"/>
      <c r="CR181" s="8"/>
      <c r="CS181" s="45"/>
      <c r="CT181" s="8"/>
      <c r="CU181" s="45"/>
      <c r="CV181" s="8"/>
      <c r="CW181" s="45"/>
      <c r="CX181" s="8"/>
      <c r="CY181" s="45"/>
      <c r="CZ181" s="8"/>
      <c r="DA181" s="45"/>
      <c r="DB181" s="8"/>
      <c r="DC181" s="45"/>
      <c r="DD181" s="8"/>
      <c r="DE181" s="45"/>
      <c r="DF181" s="8"/>
      <c r="DG181" s="45"/>
      <c r="DH181" s="8"/>
      <c r="DI181" s="45"/>
      <c r="DJ181" s="8"/>
      <c r="DK181" s="45"/>
      <c r="DL181" s="8"/>
      <c r="DM181" s="45"/>
      <c r="DN181" s="8"/>
      <c r="DO181" s="45"/>
      <c r="DP181" s="8"/>
      <c r="DQ181" s="45"/>
      <c r="DR181" s="8"/>
    </row>
    <row r="182" spans="1:122" s="38" customFormat="1" x14ac:dyDescent="0.3">
      <c r="A182" s="21" t="s">
        <v>266</v>
      </c>
      <c r="B182" s="8">
        <v>2313708</v>
      </c>
      <c r="C182" s="61">
        <v>57</v>
      </c>
      <c r="D182" s="14">
        <v>737.10073710073709</v>
      </c>
      <c r="E182" s="18">
        <v>0</v>
      </c>
      <c r="F182" s="18">
        <v>0</v>
      </c>
      <c r="G182" s="7">
        <v>0</v>
      </c>
      <c r="H182" s="63">
        <v>7733</v>
      </c>
      <c r="I182" s="19">
        <v>3282714.3411353938</v>
      </c>
      <c r="J182" s="6">
        <v>93829044.35536015</v>
      </c>
      <c r="K182" s="5">
        <v>263.18299999999999</v>
      </c>
      <c r="L182" s="4">
        <v>29.382596900255717</v>
      </c>
      <c r="M182" s="6">
        <v>6863.11</v>
      </c>
      <c r="N182" s="8">
        <v>0.59099999999999997</v>
      </c>
      <c r="O182" s="15">
        <v>11.89</v>
      </c>
      <c r="P182" s="90">
        <v>65584668.04603646</v>
      </c>
      <c r="Q182" s="91">
        <v>93129288.374498904</v>
      </c>
      <c r="R182" s="15">
        <v>6.3</v>
      </c>
      <c r="S182" s="8">
        <v>4.9000000000000004</v>
      </c>
      <c r="T182" s="8">
        <v>4.2</v>
      </c>
      <c r="U182" s="14">
        <v>99.866354827931801</v>
      </c>
      <c r="V182" s="20">
        <v>5412.05</v>
      </c>
      <c r="W182" s="48">
        <v>0</v>
      </c>
      <c r="X182" s="8">
        <v>35.14</v>
      </c>
      <c r="Y182" s="16">
        <v>50.827300930713498</v>
      </c>
      <c r="Z182" s="8">
        <v>0.52</v>
      </c>
      <c r="AA182" s="17">
        <v>2.5863183757999999</v>
      </c>
      <c r="AB182" s="34">
        <v>9.6986939091999993</v>
      </c>
      <c r="AC182" s="34">
        <v>0</v>
      </c>
      <c r="AD182" s="42">
        <v>1</v>
      </c>
      <c r="AE182" s="43">
        <v>0.48071570576540756</v>
      </c>
      <c r="AF182" s="34">
        <v>0</v>
      </c>
      <c r="AG182" s="44">
        <v>0.46700000000000003</v>
      </c>
      <c r="AH182" s="8">
        <v>0.33300000000000002</v>
      </c>
      <c r="AI182" s="17">
        <v>0.52200000000000002</v>
      </c>
      <c r="AJ182" s="8">
        <v>0.54600000000000004</v>
      </c>
      <c r="AK182" s="45">
        <v>0.44900000000000001</v>
      </c>
      <c r="AL182" s="85">
        <v>7.2675546359756885E-2</v>
      </c>
      <c r="AM182" s="44"/>
      <c r="AN182" s="8">
        <v>0.89772727272727282</v>
      </c>
      <c r="AO182" s="44">
        <v>0.89772727272727271</v>
      </c>
      <c r="AP182" s="85">
        <v>0.17768007241691453</v>
      </c>
      <c r="AQ182" s="45">
        <v>206.90547006336482</v>
      </c>
      <c r="AR182" s="8">
        <v>982.80098280098275</v>
      </c>
      <c r="AS182" s="45">
        <v>90.521143152722104</v>
      </c>
      <c r="AT182" s="8">
        <v>155.1791025475236</v>
      </c>
      <c r="AU182" s="45"/>
      <c r="AV182" s="45"/>
      <c r="AW182" s="8"/>
      <c r="AX182" s="45"/>
      <c r="AY182" s="8"/>
      <c r="AZ182" s="45"/>
      <c r="BA182" s="8"/>
      <c r="BB182" s="45"/>
      <c r="BC182" s="8"/>
      <c r="BD182" s="45"/>
      <c r="BE182" s="8"/>
      <c r="BF182" s="45"/>
      <c r="BG182" s="8"/>
      <c r="BH182" s="45"/>
      <c r="BI182" s="8"/>
      <c r="BJ182" s="45"/>
      <c r="BK182" s="8"/>
      <c r="BL182" s="45"/>
      <c r="BM182" s="8"/>
      <c r="BN182" s="8"/>
      <c r="BO182" s="45"/>
      <c r="BP182" s="8"/>
      <c r="BQ182" s="45"/>
      <c r="BR182" s="8"/>
      <c r="BS182" s="45"/>
      <c r="BT182" s="8"/>
      <c r="BU182" s="45"/>
      <c r="BV182" s="8"/>
      <c r="BW182" s="45"/>
      <c r="BX182" s="8"/>
      <c r="BY182" s="45"/>
      <c r="BZ182" s="8"/>
      <c r="CA182" s="45"/>
      <c r="CB182" s="8"/>
      <c r="CC182" s="45"/>
      <c r="CD182" s="8"/>
      <c r="CE182" s="45"/>
      <c r="CF182" s="8"/>
      <c r="CG182" s="45"/>
      <c r="CH182" s="8"/>
      <c r="CI182" s="45"/>
      <c r="CJ182" s="8"/>
      <c r="CK182" s="45"/>
      <c r="CL182" s="8"/>
      <c r="CM182" s="45"/>
      <c r="CN182" s="8"/>
      <c r="CO182" s="45"/>
      <c r="CP182" s="8"/>
      <c r="CQ182" s="45"/>
      <c r="CR182" s="8"/>
      <c r="CS182" s="45"/>
      <c r="CT182" s="8"/>
      <c r="CU182" s="45"/>
      <c r="CV182" s="8"/>
      <c r="CW182" s="45"/>
      <c r="CX182" s="8"/>
      <c r="CY182" s="45"/>
      <c r="CZ182" s="8"/>
      <c r="DA182" s="45"/>
      <c r="DB182" s="8"/>
      <c r="DC182" s="45"/>
      <c r="DD182" s="8"/>
      <c r="DE182" s="45"/>
      <c r="DF182" s="8"/>
      <c r="DG182" s="45"/>
      <c r="DH182" s="8"/>
      <c r="DI182" s="45"/>
      <c r="DJ182" s="8"/>
      <c r="DK182" s="45"/>
      <c r="DL182" s="8"/>
      <c r="DM182" s="45"/>
      <c r="DN182" s="8"/>
      <c r="DO182" s="45"/>
      <c r="DP182" s="8"/>
      <c r="DQ182" s="45"/>
      <c r="DR182" s="8"/>
    </row>
    <row r="183" spans="1:122" s="38" customFormat="1" x14ac:dyDescent="0.3">
      <c r="A183" s="21" t="s">
        <v>267</v>
      </c>
      <c r="B183" s="8">
        <v>2313757</v>
      </c>
      <c r="C183" s="61">
        <v>254</v>
      </c>
      <c r="D183" s="14">
        <v>1281.2105926860024</v>
      </c>
      <c r="E183" s="18">
        <v>23</v>
      </c>
      <c r="F183" s="18">
        <v>116.01513240857503</v>
      </c>
      <c r="G183" s="7">
        <v>9.055118110236221E-2</v>
      </c>
      <c r="H183" s="63">
        <v>19825</v>
      </c>
      <c r="I183" s="19">
        <v>1381350.1639344261</v>
      </c>
      <c r="J183" s="6">
        <v>99087011.349306434</v>
      </c>
      <c r="K183" s="5">
        <v>315.64800000000002</v>
      </c>
      <c r="L183" s="4">
        <v>62.807304339010535</v>
      </c>
      <c r="M183" s="6">
        <v>7754.01</v>
      </c>
      <c r="N183" s="8">
        <v>0.58699999999999997</v>
      </c>
      <c r="O183" s="15">
        <v>22.01</v>
      </c>
      <c r="P183" s="90">
        <v>62161330.340479195</v>
      </c>
      <c r="Q183" s="91">
        <v>155601177.75535938</v>
      </c>
      <c r="R183" s="15">
        <v>5.3</v>
      </c>
      <c r="S183" s="8">
        <v>4.4000000000000004</v>
      </c>
      <c r="T183" s="8">
        <v>3.8</v>
      </c>
      <c r="U183" s="14">
        <v>98.489737963082504</v>
      </c>
      <c r="V183" s="20">
        <v>11618.28</v>
      </c>
      <c r="W183" s="48">
        <v>10.09</v>
      </c>
      <c r="X183" s="8">
        <v>34</v>
      </c>
      <c r="Y183" s="16">
        <v>55.7453650203487</v>
      </c>
      <c r="Z183" s="8">
        <v>0.55000000000000004</v>
      </c>
      <c r="AA183" s="17">
        <v>0.65573770490000005</v>
      </c>
      <c r="AB183" s="34">
        <v>5.6998738965999998</v>
      </c>
      <c r="AC183" s="34">
        <v>0</v>
      </c>
      <c r="AD183" s="42">
        <v>0</v>
      </c>
      <c r="AE183" s="43">
        <v>0.4101159451122221</v>
      </c>
      <c r="AF183" s="34">
        <v>1</v>
      </c>
      <c r="AG183" s="44">
        <v>0.496</v>
      </c>
      <c r="AH183" s="8">
        <v>0.318</v>
      </c>
      <c r="AI183" s="17">
        <v>0.58299999999999996</v>
      </c>
      <c r="AJ183" s="8">
        <v>0.58599999999999997</v>
      </c>
      <c r="AK183" s="45">
        <v>0.377</v>
      </c>
      <c r="AL183" s="85">
        <v>6.3404791929382087E-2</v>
      </c>
      <c r="AM183" s="44">
        <v>19.157088122605401</v>
      </c>
      <c r="AN183" s="8">
        <v>0.64324817518248167</v>
      </c>
      <c r="AO183" s="44">
        <v>0.64324817518248167</v>
      </c>
      <c r="AP183" s="85">
        <v>0.1144514501891551</v>
      </c>
      <c r="AQ183" s="45">
        <v>277.42749054224464</v>
      </c>
      <c r="AR183" s="8">
        <v>418.66330390920552</v>
      </c>
      <c r="AS183" s="45">
        <v>25.220680958385877</v>
      </c>
      <c r="AT183" s="8">
        <v>5.0441361916771754</v>
      </c>
      <c r="AU183" s="45"/>
      <c r="AV183" s="45"/>
      <c r="AW183" s="8"/>
      <c r="AX183" s="45"/>
      <c r="AY183" s="8"/>
      <c r="AZ183" s="45"/>
      <c r="BA183" s="8"/>
      <c r="BB183" s="45"/>
      <c r="BC183" s="8"/>
      <c r="BD183" s="45"/>
      <c r="BE183" s="8"/>
      <c r="BF183" s="45"/>
      <c r="BG183" s="8"/>
      <c r="BH183" s="45"/>
      <c r="BI183" s="8"/>
      <c r="BJ183" s="45"/>
      <c r="BK183" s="8"/>
      <c r="BL183" s="45"/>
      <c r="BM183" s="8"/>
      <c r="BN183" s="8"/>
      <c r="BO183" s="45"/>
      <c r="BP183" s="8"/>
      <c r="BQ183" s="45"/>
      <c r="BR183" s="8"/>
      <c r="BS183" s="45"/>
      <c r="BT183" s="8"/>
      <c r="BU183" s="45"/>
      <c r="BV183" s="8"/>
      <c r="BW183" s="45"/>
      <c r="BX183" s="8"/>
      <c r="BY183" s="45"/>
      <c r="BZ183" s="8"/>
      <c r="CA183" s="45"/>
      <c r="CB183" s="8"/>
      <c r="CC183" s="45"/>
      <c r="CD183" s="8"/>
      <c r="CE183" s="45"/>
      <c r="CF183" s="8"/>
      <c r="CG183" s="45"/>
      <c r="CH183" s="8"/>
      <c r="CI183" s="45"/>
      <c r="CJ183" s="8"/>
      <c r="CK183" s="45"/>
      <c r="CL183" s="8"/>
      <c r="CM183" s="45"/>
      <c r="CN183" s="8"/>
      <c r="CO183" s="45"/>
      <c r="CP183" s="8"/>
      <c r="CQ183" s="45"/>
      <c r="CR183" s="8"/>
      <c r="CS183" s="45"/>
      <c r="CT183" s="8"/>
      <c r="CU183" s="45"/>
      <c r="CV183" s="8"/>
      <c r="CW183" s="45"/>
      <c r="CX183" s="8"/>
      <c r="CY183" s="45"/>
      <c r="CZ183" s="8"/>
      <c r="DA183" s="45"/>
      <c r="DB183" s="8"/>
      <c r="DC183" s="45"/>
      <c r="DD183" s="8"/>
      <c r="DE183" s="45"/>
      <c r="DF183" s="8"/>
      <c r="DG183" s="45"/>
      <c r="DH183" s="8"/>
      <c r="DI183" s="45"/>
      <c r="DJ183" s="8"/>
      <c r="DK183" s="45"/>
      <c r="DL183" s="8"/>
      <c r="DM183" s="45"/>
      <c r="DN183" s="8"/>
      <c r="DO183" s="45"/>
      <c r="DP183" s="8"/>
      <c r="DQ183" s="45"/>
      <c r="DR183" s="8"/>
    </row>
    <row r="184" spans="1:122" s="38" customFormat="1" x14ac:dyDescent="0.3">
      <c r="A184" s="21" t="s">
        <v>268</v>
      </c>
      <c r="B184" s="8">
        <v>2313807</v>
      </c>
      <c r="C184" s="61">
        <v>688</v>
      </c>
      <c r="D184" s="14">
        <v>3148.7414187643017</v>
      </c>
      <c r="E184" s="18">
        <v>17</v>
      </c>
      <c r="F184" s="18">
        <v>77.803203661327231</v>
      </c>
      <c r="G184" s="7">
        <v>2.4709302325581394E-2</v>
      </c>
      <c r="H184" s="63">
        <v>21850</v>
      </c>
      <c r="I184" s="19">
        <v>2053496.8421052631</v>
      </c>
      <c r="J184" s="6">
        <v>109812356.97940503</v>
      </c>
      <c r="K184" s="5">
        <v>99.4</v>
      </c>
      <c r="L184" s="4">
        <v>219.8189134808853</v>
      </c>
      <c r="M184" s="6">
        <v>16358.24</v>
      </c>
      <c r="N184" s="8">
        <v>0.63900000000000001</v>
      </c>
      <c r="O184" s="15">
        <v>34.5</v>
      </c>
      <c r="P184" s="90">
        <v>56643969.244851254</v>
      </c>
      <c r="Q184" s="91">
        <v>90163452.860411897</v>
      </c>
      <c r="R184" s="15">
        <v>5.8</v>
      </c>
      <c r="S184" s="8">
        <v>5</v>
      </c>
      <c r="T184" s="8">
        <v>4.5999999999999996</v>
      </c>
      <c r="U184" s="14">
        <v>99.579078112061794</v>
      </c>
      <c r="V184" s="20">
        <v>14453.04</v>
      </c>
      <c r="W184" s="48">
        <v>18.309999999999999</v>
      </c>
      <c r="X184" s="8">
        <v>29.63</v>
      </c>
      <c r="Y184" s="16">
        <v>58.684210526315802</v>
      </c>
      <c r="Z184" s="8">
        <v>0.73</v>
      </c>
      <c r="AA184" s="17">
        <v>1.2356979404999999</v>
      </c>
      <c r="AB184" s="34">
        <v>7.9176201373000001</v>
      </c>
      <c r="AC184" s="34">
        <v>0</v>
      </c>
      <c r="AD184" s="42">
        <v>0</v>
      </c>
      <c r="AE184" s="43">
        <v>0.25681760688084998</v>
      </c>
      <c r="AF184" s="34">
        <v>0</v>
      </c>
      <c r="AG184" s="44">
        <v>0.45900000000000002</v>
      </c>
      <c r="AH184" s="8">
        <v>0.253</v>
      </c>
      <c r="AI184" s="17">
        <v>0.55700000000000005</v>
      </c>
      <c r="AJ184" s="8">
        <v>0.56799999999999995</v>
      </c>
      <c r="AK184" s="45">
        <v>0.40400000000000003</v>
      </c>
      <c r="AL184" s="85">
        <v>0.11624713958810069</v>
      </c>
      <c r="AM184" s="44">
        <v>31.25</v>
      </c>
      <c r="AN184" s="8">
        <v>0.98323615160349842</v>
      </c>
      <c r="AO184" s="44">
        <v>0.98323615160349853</v>
      </c>
      <c r="AP184" s="85">
        <v>0.10297482837528604</v>
      </c>
      <c r="AQ184" s="45">
        <v>247.1395881006865</v>
      </c>
      <c r="AR184" s="8">
        <v>421.05263157894734</v>
      </c>
      <c r="AS184" s="45">
        <v>41.189931350114421</v>
      </c>
      <c r="AT184" s="8">
        <v>9.1533180778032044</v>
      </c>
      <c r="AU184" s="45"/>
      <c r="AV184" s="45"/>
      <c r="AW184" s="8"/>
      <c r="AX184" s="45"/>
      <c r="AY184" s="8"/>
      <c r="AZ184" s="45"/>
      <c r="BA184" s="8"/>
      <c r="BB184" s="45"/>
      <c r="BC184" s="8"/>
      <c r="BD184" s="45"/>
      <c r="BE184" s="8"/>
      <c r="BF184" s="45"/>
      <c r="BG184" s="8"/>
      <c r="BH184" s="45"/>
      <c r="BI184" s="8"/>
      <c r="BJ184" s="45"/>
      <c r="BK184" s="8"/>
      <c r="BL184" s="45"/>
      <c r="BM184" s="8"/>
      <c r="BN184" s="8"/>
      <c r="BO184" s="45"/>
      <c r="BP184" s="8"/>
      <c r="BQ184" s="45"/>
      <c r="BR184" s="8"/>
      <c r="BS184" s="45"/>
      <c r="BT184" s="8"/>
      <c r="BU184" s="45"/>
      <c r="BV184" s="8"/>
      <c r="BW184" s="45"/>
      <c r="BX184" s="8"/>
      <c r="BY184" s="45"/>
      <c r="BZ184" s="8"/>
      <c r="CA184" s="45"/>
      <c r="CB184" s="8"/>
      <c r="CC184" s="45"/>
      <c r="CD184" s="8"/>
      <c r="CE184" s="45"/>
      <c r="CF184" s="8"/>
      <c r="CG184" s="45"/>
      <c r="CH184" s="8"/>
      <c r="CI184" s="45"/>
      <c r="CJ184" s="8"/>
      <c r="CK184" s="45"/>
      <c r="CL184" s="8"/>
      <c r="CM184" s="45"/>
      <c r="CN184" s="8"/>
      <c r="CO184" s="45"/>
      <c r="CP184" s="8"/>
      <c r="CQ184" s="45"/>
      <c r="CR184" s="8"/>
      <c r="CS184" s="45"/>
      <c r="CT184" s="8"/>
      <c r="CU184" s="45"/>
      <c r="CV184" s="8"/>
      <c r="CW184" s="45"/>
      <c r="CX184" s="8"/>
      <c r="CY184" s="45"/>
      <c r="CZ184" s="8"/>
      <c r="DA184" s="45"/>
      <c r="DB184" s="8"/>
      <c r="DC184" s="45"/>
      <c r="DD184" s="8"/>
      <c r="DE184" s="45"/>
      <c r="DF184" s="8"/>
      <c r="DG184" s="45"/>
      <c r="DH184" s="8"/>
      <c r="DI184" s="45"/>
      <c r="DJ184" s="8"/>
      <c r="DK184" s="45"/>
      <c r="DL184" s="8"/>
      <c r="DM184" s="45"/>
      <c r="DN184" s="8"/>
      <c r="DO184" s="45"/>
      <c r="DP184" s="8"/>
      <c r="DQ184" s="45"/>
      <c r="DR184" s="8"/>
    </row>
    <row r="185" spans="1:122" s="38" customFormat="1" x14ac:dyDescent="0.3">
      <c r="A185" s="21" t="s">
        <v>269</v>
      </c>
      <c r="B185" s="8">
        <v>2313906</v>
      </c>
      <c r="C185" s="61">
        <v>454</v>
      </c>
      <c r="D185" s="14">
        <v>3280.3468208092481</v>
      </c>
      <c r="E185" s="18">
        <v>15</v>
      </c>
      <c r="F185" s="18">
        <v>108.38150289017339</v>
      </c>
      <c r="G185" s="7">
        <v>3.3039647577092511E-2</v>
      </c>
      <c r="H185" s="63">
        <v>13840</v>
      </c>
      <c r="I185" s="19">
        <v>10934148.121387284</v>
      </c>
      <c r="J185" s="6">
        <v>97989884.39306359</v>
      </c>
      <c r="K185" s="5">
        <v>697.68299999999999</v>
      </c>
      <c r="L185" s="4">
        <v>19.837089337134486</v>
      </c>
      <c r="M185" s="6">
        <v>12289.43</v>
      </c>
      <c r="N185" s="8">
        <v>0.56599999999999995</v>
      </c>
      <c r="O185" s="15">
        <v>25.71</v>
      </c>
      <c r="P185" s="90">
        <v>57361081.575144507</v>
      </c>
      <c r="Q185" s="91">
        <v>117668535.33236992</v>
      </c>
      <c r="R185" s="15">
        <v>8.3000000000000007</v>
      </c>
      <c r="S185" s="8">
        <v>5.2</v>
      </c>
      <c r="T185" s="8">
        <v>4</v>
      </c>
      <c r="U185" s="14">
        <v>95.397076254444897</v>
      </c>
      <c r="V185" s="20">
        <v>11914.79</v>
      </c>
      <c r="W185" s="48">
        <v>28.9</v>
      </c>
      <c r="X185" s="8">
        <v>33.33</v>
      </c>
      <c r="Y185" s="16">
        <v>49.349622709306502</v>
      </c>
      <c r="Z185" s="8">
        <v>0.72</v>
      </c>
      <c r="AA185" s="17">
        <v>1.1560693641999999</v>
      </c>
      <c r="AB185" s="34">
        <v>8.9595375723000004</v>
      </c>
      <c r="AC185" s="34">
        <v>0</v>
      </c>
      <c r="AD185" s="42">
        <v>0</v>
      </c>
      <c r="AE185" s="43">
        <v>0.40456415431188386</v>
      </c>
      <c r="AF185" s="34">
        <v>0</v>
      </c>
      <c r="AG185" s="44">
        <v>0.48199999999999998</v>
      </c>
      <c r="AH185" s="8">
        <v>0.22500000000000001</v>
      </c>
      <c r="AI185" s="17">
        <v>0.61899999999999999</v>
      </c>
      <c r="AJ185" s="8">
        <v>0.60099999999999998</v>
      </c>
      <c r="AK185" s="45">
        <v>0.42</v>
      </c>
      <c r="AL185" s="85">
        <v>8.7716763005780352E-2</v>
      </c>
      <c r="AM185" s="44">
        <v>10.050251256281401</v>
      </c>
      <c r="AN185" s="8">
        <v>0.8411949685534591</v>
      </c>
      <c r="AO185" s="44">
        <v>0.84119496855345921</v>
      </c>
      <c r="AP185" s="85">
        <v>0.11885838150289017</v>
      </c>
      <c r="AQ185" s="45">
        <v>231.21387283236996</v>
      </c>
      <c r="AR185" s="8">
        <v>281.79190751445088</v>
      </c>
      <c r="AS185" s="45">
        <v>28.901734104046245</v>
      </c>
      <c r="AT185" s="8">
        <v>0</v>
      </c>
      <c r="AU185" s="45"/>
      <c r="AV185" s="45"/>
      <c r="AW185" s="8"/>
      <c r="AX185" s="45"/>
      <c r="AY185" s="8"/>
      <c r="AZ185" s="45"/>
      <c r="BA185" s="8"/>
      <c r="BB185" s="45"/>
      <c r="BC185" s="8"/>
      <c r="BD185" s="45"/>
      <c r="BE185" s="8"/>
      <c r="BF185" s="45"/>
      <c r="BG185" s="8"/>
      <c r="BH185" s="45"/>
      <c r="BI185" s="8"/>
      <c r="BJ185" s="45"/>
      <c r="BK185" s="8"/>
      <c r="BL185" s="45"/>
      <c r="BM185" s="8"/>
      <c r="BN185" s="8"/>
      <c r="BO185" s="45"/>
      <c r="BP185" s="8"/>
      <c r="BQ185" s="45"/>
      <c r="BR185" s="8"/>
      <c r="BS185" s="45"/>
      <c r="BT185" s="8"/>
      <c r="BU185" s="45"/>
      <c r="BV185" s="8"/>
      <c r="BW185" s="45"/>
      <c r="BX185" s="8"/>
      <c r="BY185" s="45"/>
      <c r="BZ185" s="8"/>
      <c r="CA185" s="45"/>
      <c r="CB185" s="8"/>
      <c r="CC185" s="45"/>
      <c r="CD185" s="8"/>
      <c r="CE185" s="45"/>
      <c r="CF185" s="8"/>
      <c r="CG185" s="45"/>
      <c r="CH185" s="8"/>
      <c r="CI185" s="45"/>
      <c r="CJ185" s="8"/>
      <c r="CK185" s="45"/>
      <c r="CL185" s="8"/>
      <c r="CM185" s="45"/>
      <c r="CN185" s="8"/>
      <c r="CO185" s="45"/>
      <c r="CP185" s="8"/>
      <c r="CQ185" s="45"/>
      <c r="CR185" s="8"/>
      <c r="CS185" s="45"/>
      <c r="CT185" s="8"/>
      <c r="CU185" s="45"/>
      <c r="CV185" s="8"/>
      <c r="CW185" s="45"/>
      <c r="CX185" s="8"/>
      <c r="CY185" s="45"/>
      <c r="CZ185" s="8"/>
      <c r="DA185" s="45"/>
      <c r="DB185" s="8"/>
      <c r="DC185" s="45"/>
      <c r="DD185" s="8"/>
      <c r="DE185" s="45"/>
      <c r="DF185" s="8"/>
      <c r="DG185" s="45"/>
      <c r="DH185" s="8"/>
      <c r="DI185" s="45"/>
      <c r="DJ185" s="8"/>
      <c r="DK185" s="45"/>
      <c r="DL185" s="8"/>
      <c r="DM185" s="45"/>
      <c r="DN185" s="8"/>
      <c r="DO185" s="45"/>
      <c r="DP185" s="8"/>
      <c r="DQ185" s="45"/>
      <c r="DR185" s="8"/>
    </row>
    <row r="186" spans="1:122" s="38" customFormat="1" x14ac:dyDescent="0.3">
      <c r="A186" s="21" t="s">
        <v>270</v>
      </c>
      <c r="B186" s="8">
        <v>2313955</v>
      </c>
      <c r="C186" s="61">
        <v>630</v>
      </c>
      <c r="D186" s="14">
        <v>3420.1954397394138</v>
      </c>
      <c r="E186" s="18">
        <v>10</v>
      </c>
      <c r="F186" s="18">
        <v>54.28881650380022</v>
      </c>
      <c r="G186" s="7">
        <v>1.5873015873015872E-2</v>
      </c>
      <c r="H186" s="63">
        <v>18420</v>
      </c>
      <c r="I186" s="19">
        <v>12551847.882736156</v>
      </c>
      <c r="J186" s="6">
        <v>94110749.185667753</v>
      </c>
      <c r="K186" s="5">
        <v>179.239</v>
      </c>
      <c r="L186" s="4">
        <v>102.76781280859635</v>
      </c>
      <c r="M186" s="6">
        <v>14244.64</v>
      </c>
      <c r="N186" s="8">
        <v>0.61099999999999999</v>
      </c>
      <c r="O186" s="15">
        <v>28.34</v>
      </c>
      <c r="P186" s="90">
        <v>75104150.542888165</v>
      </c>
      <c r="Q186" s="91">
        <v>97252986.482084692</v>
      </c>
      <c r="R186" s="15">
        <v>6.8</v>
      </c>
      <c r="S186" s="8">
        <v>5.2</v>
      </c>
      <c r="T186" s="8">
        <v>4.3</v>
      </c>
      <c r="U186" s="14">
        <v>98.431095406360399</v>
      </c>
      <c r="V186" s="20">
        <v>20423.080000000002</v>
      </c>
      <c r="W186" s="48">
        <v>32.57</v>
      </c>
      <c r="X186" s="8">
        <v>32.5</v>
      </c>
      <c r="Y186" s="16">
        <v>39.331925721401099</v>
      </c>
      <c r="Z186" s="8">
        <v>0.54</v>
      </c>
      <c r="AA186" s="17">
        <v>1.0314875135999999</v>
      </c>
      <c r="AB186" s="34">
        <v>9.8262757872000002</v>
      </c>
      <c r="AC186" s="34">
        <v>0</v>
      </c>
      <c r="AD186" s="42">
        <v>1</v>
      </c>
      <c r="AE186" s="43">
        <v>0.18058318649462854</v>
      </c>
      <c r="AF186" s="34">
        <v>1</v>
      </c>
      <c r="AG186" s="44">
        <v>0.40100000000000002</v>
      </c>
      <c r="AH186" s="8">
        <v>0.17199999999999999</v>
      </c>
      <c r="AI186" s="17">
        <v>0.497</v>
      </c>
      <c r="AJ186" s="8">
        <v>0.53300000000000003</v>
      </c>
      <c r="AK186" s="45">
        <v>0.41699999999999998</v>
      </c>
      <c r="AL186" s="85">
        <v>8.0618892508143317E-2</v>
      </c>
      <c r="AM186" s="44">
        <v>3.6630036630036602</v>
      </c>
      <c r="AN186" s="8">
        <v>0.9074803149606302</v>
      </c>
      <c r="AO186" s="44">
        <v>0.90748031496063009</v>
      </c>
      <c r="AP186" s="85">
        <v>0.15819761129207383</v>
      </c>
      <c r="AQ186" s="45">
        <v>352.87730727470142</v>
      </c>
      <c r="AR186" s="8">
        <v>863.19218241042347</v>
      </c>
      <c r="AS186" s="45">
        <v>38.002171552660151</v>
      </c>
      <c r="AT186" s="8">
        <v>16.286644951140065</v>
      </c>
      <c r="AU186" s="45"/>
      <c r="AV186" s="45"/>
      <c r="AW186" s="8"/>
      <c r="AX186" s="45"/>
      <c r="AY186" s="8"/>
      <c r="AZ186" s="45"/>
      <c r="BA186" s="8"/>
      <c r="BB186" s="45"/>
      <c r="BC186" s="8"/>
      <c r="BD186" s="45"/>
      <c r="BE186" s="8"/>
      <c r="BF186" s="45"/>
      <c r="BG186" s="8"/>
      <c r="BH186" s="45"/>
      <c r="BI186" s="8"/>
      <c r="BJ186" s="45"/>
      <c r="BK186" s="8"/>
      <c r="BL186" s="45"/>
      <c r="BM186" s="8"/>
      <c r="BN186" s="8"/>
      <c r="BO186" s="45"/>
      <c r="BP186" s="8"/>
      <c r="BQ186" s="45"/>
      <c r="BR186" s="8"/>
      <c r="BS186" s="45"/>
      <c r="BT186" s="8"/>
      <c r="BU186" s="45"/>
      <c r="BV186" s="8"/>
      <c r="BW186" s="45"/>
      <c r="BX186" s="8"/>
      <c r="BY186" s="45"/>
      <c r="BZ186" s="8"/>
      <c r="CA186" s="45"/>
      <c r="CB186" s="8"/>
      <c r="CC186" s="45"/>
      <c r="CD186" s="8"/>
      <c r="CE186" s="45"/>
      <c r="CF186" s="8"/>
      <c r="CG186" s="45"/>
      <c r="CH186" s="8"/>
      <c r="CI186" s="45"/>
      <c r="CJ186" s="8"/>
      <c r="CK186" s="45"/>
      <c r="CL186" s="8"/>
      <c r="CM186" s="45"/>
      <c r="CN186" s="8"/>
      <c r="CO186" s="45"/>
      <c r="CP186" s="8"/>
      <c r="CQ186" s="45"/>
      <c r="CR186" s="8"/>
      <c r="CS186" s="45"/>
      <c r="CT186" s="8"/>
      <c r="CU186" s="45"/>
      <c r="CV186" s="8"/>
      <c r="CW186" s="45"/>
      <c r="CX186" s="8"/>
      <c r="CY186" s="45"/>
      <c r="CZ186" s="8"/>
      <c r="DA186" s="45"/>
      <c r="DB186" s="8"/>
      <c r="DC186" s="45"/>
      <c r="DD186" s="8"/>
      <c r="DE186" s="45"/>
      <c r="DF186" s="8"/>
      <c r="DG186" s="45"/>
      <c r="DH186" s="8"/>
      <c r="DI186" s="45"/>
      <c r="DJ186" s="8"/>
      <c r="DK186" s="45"/>
      <c r="DL186" s="8"/>
      <c r="DM186" s="45"/>
      <c r="DN186" s="8"/>
      <c r="DO186" s="45"/>
      <c r="DP186" s="8"/>
      <c r="DQ186" s="45"/>
      <c r="DR186" s="8"/>
    </row>
    <row r="187" spans="1:122" s="38" customFormat="1" x14ac:dyDescent="0.3">
      <c r="A187" s="21" t="s">
        <v>271</v>
      </c>
      <c r="B187" s="8">
        <v>2314003</v>
      </c>
      <c r="C187" s="61">
        <v>554</v>
      </c>
      <c r="D187" s="14">
        <v>1360.4773949559196</v>
      </c>
      <c r="E187" s="18">
        <v>15</v>
      </c>
      <c r="F187" s="18">
        <v>36.836030549348003</v>
      </c>
      <c r="G187" s="7">
        <v>2.7075812274368231E-2</v>
      </c>
      <c r="H187" s="63">
        <v>40721</v>
      </c>
      <c r="I187" s="19">
        <v>2773471.6485351538</v>
      </c>
      <c r="J187" s="6">
        <v>155583605.51067016</v>
      </c>
      <c r="K187" s="5">
        <v>829.976</v>
      </c>
      <c r="L187" s="4">
        <v>49.062864468370172</v>
      </c>
      <c r="M187" s="6">
        <v>8756.89</v>
      </c>
      <c r="N187" s="8">
        <v>0.629</v>
      </c>
      <c r="O187" s="15">
        <v>25.47</v>
      </c>
      <c r="P187" s="90">
        <v>64104655.435770236</v>
      </c>
      <c r="Q187" s="91">
        <v>73673131.160826102</v>
      </c>
      <c r="R187" s="15">
        <v>6.1</v>
      </c>
      <c r="S187" s="8">
        <v>5</v>
      </c>
      <c r="T187" s="8">
        <v>4.0999999999999996</v>
      </c>
      <c r="U187" s="14">
        <v>98.712464710411496</v>
      </c>
      <c r="V187" s="20">
        <v>43333.36</v>
      </c>
      <c r="W187" s="48">
        <v>4.91</v>
      </c>
      <c r="X187" s="8">
        <v>30</v>
      </c>
      <c r="Y187" s="16">
        <v>47.2581473241572</v>
      </c>
      <c r="Z187" s="8">
        <v>0.44</v>
      </c>
      <c r="AA187" s="17">
        <v>1.3015397461</v>
      </c>
      <c r="AB187" s="34">
        <v>7.4163208172999999</v>
      </c>
      <c r="AC187" s="34">
        <v>0</v>
      </c>
      <c r="AD187" s="42">
        <v>1</v>
      </c>
      <c r="AE187" s="43">
        <v>0.37825883332466048</v>
      </c>
      <c r="AF187" s="34">
        <v>1</v>
      </c>
      <c r="AG187" s="44">
        <v>0.39200000000000002</v>
      </c>
      <c r="AH187" s="8">
        <v>0.16400000000000001</v>
      </c>
      <c r="AI187" s="17">
        <v>0.503</v>
      </c>
      <c r="AJ187" s="8">
        <v>0.50800000000000001</v>
      </c>
      <c r="AK187" s="45">
        <v>0.43</v>
      </c>
      <c r="AL187" s="85">
        <v>8.1162053977063428E-2</v>
      </c>
      <c r="AM187" s="44">
        <v>4.0080160320641296</v>
      </c>
      <c r="AN187" s="8">
        <v>0.94604700854700852</v>
      </c>
      <c r="AO187" s="44">
        <v>0.94604700854700852</v>
      </c>
      <c r="AP187" s="85">
        <v>0.16696544780334471</v>
      </c>
      <c r="AQ187" s="45">
        <v>650.76987303848136</v>
      </c>
      <c r="AR187" s="8">
        <v>1075.6120920409617</v>
      </c>
      <c r="AS187" s="45">
        <v>51.570442769087208</v>
      </c>
      <c r="AT187" s="8">
        <v>51.570442769087208</v>
      </c>
      <c r="AU187" s="45"/>
      <c r="AV187" s="45"/>
      <c r="AW187" s="8"/>
      <c r="AX187" s="45"/>
      <c r="AY187" s="8"/>
      <c r="AZ187" s="45"/>
      <c r="BA187" s="8"/>
      <c r="BB187" s="45"/>
      <c r="BC187" s="8"/>
      <c r="BD187" s="45"/>
      <c r="BE187" s="8"/>
      <c r="BF187" s="45"/>
      <c r="BG187" s="8"/>
      <c r="BH187" s="45"/>
      <c r="BI187" s="8"/>
      <c r="BJ187" s="45"/>
      <c r="BK187" s="8"/>
      <c r="BL187" s="45"/>
      <c r="BM187" s="8"/>
      <c r="BN187" s="8"/>
      <c r="BO187" s="45"/>
      <c r="BP187" s="8"/>
      <c r="BQ187" s="45"/>
      <c r="BR187" s="8"/>
      <c r="BS187" s="45"/>
      <c r="BT187" s="8"/>
      <c r="BU187" s="45"/>
      <c r="BV187" s="8"/>
      <c r="BW187" s="45"/>
      <c r="BX187" s="8"/>
      <c r="BY187" s="45"/>
      <c r="BZ187" s="8"/>
      <c r="CA187" s="45"/>
      <c r="CB187" s="8"/>
      <c r="CC187" s="45"/>
      <c r="CD187" s="8"/>
      <c r="CE187" s="45"/>
      <c r="CF187" s="8"/>
      <c r="CG187" s="45"/>
      <c r="CH187" s="8"/>
      <c r="CI187" s="45"/>
      <c r="CJ187" s="8"/>
      <c r="CK187" s="45"/>
      <c r="CL187" s="8"/>
      <c r="CM187" s="45"/>
      <c r="CN187" s="8"/>
      <c r="CO187" s="45"/>
      <c r="CP187" s="8"/>
      <c r="CQ187" s="45"/>
      <c r="CR187" s="8"/>
      <c r="CS187" s="45"/>
      <c r="CT187" s="8"/>
      <c r="CU187" s="45"/>
      <c r="CV187" s="8"/>
      <c r="CW187" s="45"/>
      <c r="CX187" s="8"/>
      <c r="CY187" s="45"/>
      <c r="CZ187" s="8"/>
      <c r="DA187" s="45"/>
      <c r="DB187" s="8"/>
      <c r="DC187" s="45"/>
      <c r="DD187" s="8"/>
      <c r="DE187" s="45"/>
      <c r="DF187" s="8"/>
      <c r="DG187" s="45"/>
      <c r="DH187" s="8"/>
      <c r="DI187" s="45"/>
      <c r="DJ187" s="8"/>
      <c r="DK187" s="45"/>
      <c r="DL187" s="8"/>
      <c r="DM187" s="45"/>
      <c r="DN187" s="8"/>
      <c r="DO187" s="45"/>
      <c r="DP187" s="8"/>
      <c r="DQ187" s="45"/>
      <c r="DR187" s="8"/>
    </row>
    <row r="188" spans="1:122" x14ac:dyDescent="0.3">
      <c r="A188" s="21" t="s">
        <v>272</v>
      </c>
      <c r="B188" s="2">
        <v>2314102</v>
      </c>
      <c r="C188" s="61">
        <v>1309</v>
      </c>
      <c r="D188" s="14">
        <v>2149.8135952306657</v>
      </c>
      <c r="E188" s="18">
        <v>37</v>
      </c>
      <c r="F188" s="18">
        <v>60.76631247023272</v>
      </c>
      <c r="G188" s="7">
        <v>2.8265851795263561E-2</v>
      </c>
      <c r="H188" s="63">
        <v>60889</v>
      </c>
      <c r="I188" s="19">
        <v>5098518.9443084961</v>
      </c>
      <c r="J188" s="6">
        <v>64200758.757739492</v>
      </c>
      <c r="K188" s="5">
        <v>1310.91</v>
      </c>
      <c r="L188" s="4">
        <v>46.447887345431795</v>
      </c>
      <c r="M188" s="6">
        <v>7202.63</v>
      </c>
      <c r="N188" s="2">
        <v>0.57099999999999995</v>
      </c>
      <c r="O188" s="49">
        <v>28.76</v>
      </c>
      <c r="P188" s="90">
        <v>39919519.683358245</v>
      </c>
      <c r="Q188" s="92">
        <v>92882562.515396878</v>
      </c>
      <c r="R188" s="15">
        <v>6.1</v>
      </c>
      <c r="S188" s="2">
        <v>5.4</v>
      </c>
      <c r="T188" s="8">
        <v>4.4000000000000004</v>
      </c>
      <c r="U188" s="50">
        <v>99.882269837532405</v>
      </c>
      <c r="V188" s="20">
        <v>35957.230000000003</v>
      </c>
      <c r="W188" s="48">
        <v>8.2100000000000009</v>
      </c>
      <c r="X188" s="2">
        <v>30</v>
      </c>
      <c r="Y188" s="51">
        <v>58.049177658361799</v>
      </c>
      <c r="Z188" s="2">
        <v>0.41</v>
      </c>
      <c r="AA188" s="52">
        <v>1.1332096109000001</v>
      </c>
      <c r="AB188" s="53">
        <v>5.2883115177000004</v>
      </c>
      <c r="AC188" s="53">
        <v>0</v>
      </c>
      <c r="AD188" s="54">
        <v>0</v>
      </c>
      <c r="AE188" s="55">
        <v>0.67560731507597127</v>
      </c>
      <c r="AF188" s="53">
        <v>1</v>
      </c>
      <c r="AG188" s="56">
        <v>0.497</v>
      </c>
      <c r="AH188" s="8">
        <v>0.33800000000000002</v>
      </c>
      <c r="AI188" s="52">
        <v>0.56299999999999994</v>
      </c>
      <c r="AJ188" s="2">
        <v>0.59</v>
      </c>
      <c r="AK188" s="46">
        <v>0.42399999999999999</v>
      </c>
      <c r="AL188" s="86">
        <v>5.2390415345957397E-2</v>
      </c>
      <c r="AM188" s="84">
        <v>7.0993914807302199</v>
      </c>
      <c r="AN188" s="2">
        <v>0.96021505376344085</v>
      </c>
      <c r="AO188" s="84">
        <v>0.96021505376344085</v>
      </c>
      <c r="AP188" s="86">
        <v>0.11034833878040369</v>
      </c>
      <c r="AQ188" s="46">
        <v>290.69290019543757</v>
      </c>
      <c r="AR188" s="2">
        <v>786.6773965740939</v>
      </c>
      <c r="AS188" s="46">
        <v>62.408645239698473</v>
      </c>
      <c r="AT188" s="2">
        <v>106.7516300152737</v>
      </c>
      <c r="AU188" s="46"/>
      <c r="AV188" s="46"/>
      <c r="AW188" s="2"/>
      <c r="AX188" s="46"/>
      <c r="AY188" s="2"/>
      <c r="AZ188" s="46"/>
      <c r="BA188" s="2"/>
      <c r="BB188" s="46"/>
      <c r="BC188" s="2"/>
      <c r="BD188" s="46"/>
      <c r="BE188" s="2"/>
      <c r="BF188" s="46"/>
      <c r="BG188" s="2"/>
      <c r="BH188" s="46"/>
      <c r="BI188" s="2"/>
      <c r="BJ188" s="46"/>
      <c r="BK188" s="2"/>
      <c r="BL188" s="46"/>
      <c r="BM188" s="2"/>
      <c r="BN188" s="2"/>
      <c r="BO188" s="46"/>
      <c r="BP188" s="2"/>
      <c r="BQ188" s="46"/>
      <c r="BR188" s="2"/>
      <c r="BS188" s="46"/>
      <c r="BT188" s="2"/>
      <c r="BU188" s="46"/>
      <c r="BV188" s="2"/>
      <c r="BW188" s="46"/>
      <c r="BX188" s="2"/>
      <c r="BY188" s="46"/>
      <c r="BZ188" s="2"/>
      <c r="CA188" s="46"/>
      <c r="CB188" s="2"/>
      <c r="CC188" s="46"/>
      <c r="CD188" s="2"/>
      <c r="CE188" s="46"/>
      <c r="CF188" s="2"/>
      <c r="CG188" s="46"/>
      <c r="CH188" s="2"/>
      <c r="CI188" s="46"/>
      <c r="CJ188" s="2"/>
      <c r="CK188" s="46"/>
      <c r="CL188" s="2"/>
      <c r="CM188" s="46"/>
      <c r="CN188" s="2"/>
      <c r="CO188" s="46"/>
      <c r="CP188" s="2"/>
      <c r="CQ188" s="46"/>
      <c r="CR188" s="2"/>
      <c r="CS188" s="46"/>
      <c r="CT188" s="2"/>
      <c r="CU188" s="46"/>
      <c r="CV188" s="2"/>
      <c r="CW188" s="46"/>
      <c r="CX188" s="2"/>
      <c r="CY188" s="46"/>
      <c r="CZ188" s="2"/>
      <c r="DA188" s="46"/>
      <c r="DB188" s="2"/>
      <c r="DC188" s="46"/>
      <c r="DD188" s="2"/>
      <c r="DE188" s="46"/>
      <c r="DF188" s="2"/>
      <c r="DG188" s="46"/>
      <c r="DH188" s="2"/>
      <c r="DI188" s="46"/>
      <c r="DJ188" s="2"/>
      <c r="DK188" s="46"/>
      <c r="DL188" s="2"/>
      <c r="DM188" s="46"/>
      <c r="DN188" s="2"/>
      <c r="DO188" s="46"/>
      <c r="DP188" s="2"/>
      <c r="DQ188" s="46"/>
      <c r="DR188" s="2"/>
    </row>
    <row r="189" spans="1:122" x14ac:dyDescent="0.3">
      <c r="P189" s="89"/>
      <c r="Q189" s="89"/>
      <c r="U189" s="27" t="s">
        <v>273</v>
      </c>
      <c r="W189" s="41"/>
    </row>
    <row r="190" spans="1:122" x14ac:dyDescent="0.3">
      <c r="W190" s="41"/>
    </row>
    <row r="191" spans="1:122" x14ac:dyDescent="0.3">
      <c r="W191" s="41"/>
    </row>
    <row r="192" spans="1:122" x14ac:dyDescent="0.3">
      <c r="W19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opLeftCell="A30" workbookViewId="0"/>
  </sheetViews>
  <sheetFormatPr defaultRowHeight="14.4" x14ac:dyDescent="0.3"/>
  <cols>
    <col min="1" max="1" width="11.44140625" customWidth="1"/>
    <col min="2" max="2" width="26" customWidth="1"/>
    <col min="3" max="3" width="52.88671875" customWidth="1"/>
  </cols>
  <sheetData>
    <row r="1" spans="1:3" ht="15.6" x14ac:dyDescent="0.3">
      <c r="A1" s="64" t="s">
        <v>274</v>
      </c>
      <c r="B1" s="65" t="s">
        <v>275</v>
      </c>
      <c r="C1" s="66" t="s">
        <v>276</v>
      </c>
    </row>
    <row r="2" spans="1:3" ht="28.8" x14ac:dyDescent="0.3">
      <c r="A2" s="67" t="s">
        <v>277</v>
      </c>
      <c r="B2" s="68" t="s">
        <v>2</v>
      </c>
      <c r="C2" s="69" t="s">
        <v>50</v>
      </c>
    </row>
    <row r="3" spans="1:3" ht="43.2" x14ac:dyDescent="0.3">
      <c r="A3" s="67" t="s">
        <v>278</v>
      </c>
      <c r="B3" s="68" t="s">
        <v>3</v>
      </c>
      <c r="C3" s="69" t="s">
        <v>51</v>
      </c>
    </row>
    <row r="4" spans="1:3" ht="43.2" x14ac:dyDescent="0.3">
      <c r="A4" s="67" t="s">
        <v>279</v>
      </c>
      <c r="B4" s="68" t="s">
        <v>4</v>
      </c>
      <c r="C4" s="69" t="s">
        <v>52</v>
      </c>
    </row>
    <row r="5" spans="1:3" ht="43.2" x14ac:dyDescent="0.3">
      <c r="A5" s="67" t="s">
        <v>280</v>
      </c>
      <c r="B5" s="68" t="s">
        <v>5</v>
      </c>
      <c r="C5" s="69" t="s">
        <v>53</v>
      </c>
    </row>
    <row r="6" spans="1:3" ht="28.8" x14ac:dyDescent="0.3">
      <c r="A6" s="67" t="s">
        <v>335</v>
      </c>
      <c r="B6" s="68" t="s">
        <v>1916</v>
      </c>
      <c r="C6" s="69" t="s">
        <v>1917</v>
      </c>
    </row>
    <row r="7" spans="1:3" ht="28.8" x14ac:dyDescent="0.3">
      <c r="A7" s="67" t="s">
        <v>281</v>
      </c>
      <c r="B7" s="68" t="s">
        <v>7</v>
      </c>
      <c r="C7" s="69" t="s">
        <v>55</v>
      </c>
    </row>
    <row r="8" spans="1:3" ht="57.6" x14ac:dyDescent="0.3">
      <c r="A8" s="67" t="s">
        <v>282</v>
      </c>
      <c r="B8" s="68" t="s">
        <v>8</v>
      </c>
      <c r="C8" s="69" t="s">
        <v>56</v>
      </c>
    </row>
    <row r="9" spans="1:3" ht="28.8" x14ac:dyDescent="0.3">
      <c r="A9" s="67" t="s">
        <v>283</v>
      </c>
      <c r="B9" s="68" t="s">
        <v>9</v>
      </c>
      <c r="C9" s="69" t="s">
        <v>57</v>
      </c>
    </row>
    <row r="10" spans="1:3" ht="28.8" x14ac:dyDescent="0.3">
      <c r="A10" s="67" t="s">
        <v>284</v>
      </c>
      <c r="B10" s="68" t="s">
        <v>10</v>
      </c>
      <c r="C10" s="69" t="s">
        <v>58</v>
      </c>
    </row>
    <row r="11" spans="1:3" ht="28.8" x14ac:dyDescent="0.3">
      <c r="A11" s="67" t="s">
        <v>285</v>
      </c>
      <c r="B11" s="68" t="s">
        <v>11</v>
      </c>
      <c r="C11" s="69" t="s">
        <v>59</v>
      </c>
    </row>
    <row r="12" spans="1:3" x14ac:dyDescent="0.3">
      <c r="A12" s="67" t="s">
        <v>286</v>
      </c>
      <c r="B12" s="68" t="s">
        <v>12</v>
      </c>
      <c r="C12" s="69" t="s">
        <v>60</v>
      </c>
    </row>
    <row r="13" spans="1:3" ht="57.6" x14ac:dyDescent="0.3">
      <c r="A13" s="67" t="s">
        <v>287</v>
      </c>
      <c r="B13" s="68" t="s">
        <v>13</v>
      </c>
      <c r="C13" s="69" t="s">
        <v>61</v>
      </c>
    </row>
    <row r="14" spans="1:3" ht="57.6" x14ac:dyDescent="0.3">
      <c r="A14" s="67" t="s">
        <v>288</v>
      </c>
      <c r="B14" s="68" t="s">
        <v>14</v>
      </c>
      <c r="C14" s="69" t="s">
        <v>62</v>
      </c>
    </row>
    <row r="15" spans="1:3" ht="28.8" x14ac:dyDescent="0.3">
      <c r="A15" s="67" t="s">
        <v>289</v>
      </c>
      <c r="B15" s="68" t="s">
        <v>15</v>
      </c>
      <c r="C15" s="69" t="s">
        <v>63</v>
      </c>
    </row>
    <row r="16" spans="1:3" ht="28.8" x14ac:dyDescent="0.3">
      <c r="A16" s="70" t="s">
        <v>290</v>
      </c>
      <c r="B16" s="68" t="s">
        <v>16</v>
      </c>
      <c r="C16" s="69" t="s">
        <v>63</v>
      </c>
    </row>
    <row r="17" spans="1:3" ht="43.2" x14ac:dyDescent="0.3">
      <c r="A17" s="70" t="s">
        <v>291</v>
      </c>
      <c r="B17" s="68" t="s">
        <v>17</v>
      </c>
      <c r="C17" s="69" t="s">
        <v>64</v>
      </c>
    </row>
    <row r="18" spans="1:3" ht="43.2" x14ac:dyDescent="0.3">
      <c r="A18" s="67" t="s">
        <v>292</v>
      </c>
      <c r="B18" s="68" t="s">
        <v>18</v>
      </c>
      <c r="C18" s="69" t="s">
        <v>64</v>
      </c>
    </row>
    <row r="19" spans="1:3" ht="43.2" x14ac:dyDescent="0.3">
      <c r="A19" s="67" t="s">
        <v>293</v>
      </c>
      <c r="B19" s="68" t="s">
        <v>19</v>
      </c>
      <c r="C19" s="69" t="s">
        <v>64</v>
      </c>
    </row>
    <row r="20" spans="1:3" ht="28.8" x14ac:dyDescent="0.3">
      <c r="A20" s="67" t="s">
        <v>294</v>
      </c>
      <c r="B20" s="68" t="s">
        <v>20</v>
      </c>
      <c r="C20" s="69" t="s">
        <v>65</v>
      </c>
    </row>
    <row r="21" spans="1:3" ht="28.8" x14ac:dyDescent="0.3">
      <c r="A21" s="67" t="s">
        <v>295</v>
      </c>
      <c r="B21" s="68" t="s">
        <v>21</v>
      </c>
      <c r="C21" s="69" t="s">
        <v>66</v>
      </c>
    </row>
    <row r="22" spans="1:3" ht="86.4" x14ac:dyDescent="0.3">
      <c r="A22" s="67" t="s">
        <v>296</v>
      </c>
      <c r="B22" s="68" t="s">
        <v>22</v>
      </c>
      <c r="C22" s="69" t="s">
        <v>67</v>
      </c>
    </row>
    <row r="23" spans="1:3" ht="28.8" x14ac:dyDescent="0.3">
      <c r="A23" s="67" t="s">
        <v>297</v>
      </c>
      <c r="B23" s="68" t="s">
        <v>23</v>
      </c>
      <c r="C23" s="69" t="s">
        <v>68</v>
      </c>
    </row>
    <row r="24" spans="1:3" ht="43.2" x14ac:dyDescent="0.3">
      <c r="A24" s="67" t="s">
        <v>298</v>
      </c>
      <c r="B24" s="68" t="s">
        <v>24</v>
      </c>
      <c r="C24" s="69" t="s">
        <v>69</v>
      </c>
    </row>
    <row r="25" spans="1:3" ht="28.8" x14ac:dyDescent="0.3">
      <c r="A25" s="67" t="s">
        <v>299</v>
      </c>
      <c r="B25" s="68" t="s">
        <v>25</v>
      </c>
      <c r="C25" s="69" t="s">
        <v>70</v>
      </c>
    </row>
    <row r="26" spans="1:3" ht="28.8" x14ac:dyDescent="0.3">
      <c r="A26" s="67" t="s">
        <v>300</v>
      </c>
      <c r="B26" s="68" t="s">
        <v>26</v>
      </c>
      <c r="C26" s="69" t="s">
        <v>71</v>
      </c>
    </row>
    <row r="27" spans="1:3" ht="43.2" x14ac:dyDescent="0.3">
      <c r="A27" s="67" t="s">
        <v>301</v>
      </c>
      <c r="B27" s="68" t="s">
        <v>27</v>
      </c>
      <c r="C27" s="69" t="s">
        <v>72</v>
      </c>
    </row>
    <row r="28" spans="1:3" ht="28.8" x14ac:dyDescent="0.3">
      <c r="A28" s="67" t="s">
        <v>302</v>
      </c>
      <c r="B28" s="68" t="s">
        <v>28</v>
      </c>
      <c r="C28" s="69" t="s">
        <v>73</v>
      </c>
    </row>
    <row r="29" spans="1:3" ht="28.8" x14ac:dyDescent="0.3">
      <c r="A29" s="67" t="s">
        <v>303</v>
      </c>
      <c r="B29" s="68" t="s">
        <v>29</v>
      </c>
      <c r="C29" s="69" t="s">
        <v>74</v>
      </c>
    </row>
    <row r="30" spans="1:3" ht="28.8" x14ac:dyDescent="0.3">
      <c r="A30" s="67" t="s">
        <v>304</v>
      </c>
      <c r="B30" s="68" t="s">
        <v>30</v>
      </c>
      <c r="C30" s="69" t="s">
        <v>1918</v>
      </c>
    </row>
    <row r="31" spans="1:3" ht="57.6" x14ac:dyDescent="0.3">
      <c r="A31" s="67" t="s">
        <v>305</v>
      </c>
      <c r="B31" s="68" t="s">
        <v>31</v>
      </c>
      <c r="C31" s="69" t="s">
        <v>76</v>
      </c>
    </row>
    <row r="32" spans="1:3" ht="28.8" x14ac:dyDescent="0.3">
      <c r="A32" s="67" t="s">
        <v>306</v>
      </c>
      <c r="B32" s="68" t="s">
        <v>307</v>
      </c>
      <c r="C32" s="69" t="s">
        <v>77</v>
      </c>
    </row>
    <row r="33" spans="1:3" ht="43.2" x14ac:dyDescent="0.3">
      <c r="A33" s="67" t="s">
        <v>308</v>
      </c>
      <c r="B33" s="68" t="s">
        <v>33</v>
      </c>
      <c r="C33" s="69" t="s">
        <v>78</v>
      </c>
    </row>
    <row r="34" spans="1:3" x14ac:dyDescent="0.3">
      <c r="A34" s="67" t="s">
        <v>309</v>
      </c>
      <c r="B34" s="68" t="s">
        <v>34</v>
      </c>
      <c r="C34" s="69" t="s">
        <v>79</v>
      </c>
    </row>
    <row r="35" spans="1:3" x14ac:dyDescent="0.3">
      <c r="A35" s="67" t="s">
        <v>310</v>
      </c>
      <c r="B35" s="68" t="s">
        <v>35</v>
      </c>
      <c r="C35" s="69" t="s">
        <v>80</v>
      </c>
    </row>
    <row r="36" spans="1:3" x14ac:dyDescent="0.3">
      <c r="A36" s="67" t="s">
        <v>311</v>
      </c>
      <c r="B36" s="68" t="s">
        <v>36</v>
      </c>
      <c r="C36" s="69" t="s">
        <v>81</v>
      </c>
    </row>
    <row r="37" spans="1:3" ht="28.8" x14ac:dyDescent="0.3">
      <c r="A37" s="67" t="s">
        <v>312</v>
      </c>
      <c r="B37" s="68" t="s">
        <v>37</v>
      </c>
      <c r="C37" s="69" t="s">
        <v>82</v>
      </c>
    </row>
    <row r="38" spans="1:3" ht="28.8" x14ac:dyDescent="0.3">
      <c r="A38" s="70" t="s">
        <v>313</v>
      </c>
      <c r="B38" s="68" t="s">
        <v>38</v>
      </c>
      <c r="C38" s="69" t="s">
        <v>83</v>
      </c>
    </row>
    <row r="39" spans="1:3" ht="28.8" x14ac:dyDescent="0.3">
      <c r="A39" s="70" t="s">
        <v>314</v>
      </c>
      <c r="B39" s="68" t="s">
        <v>39</v>
      </c>
      <c r="C39" s="69" t="s">
        <v>84</v>
      </c>
    </row>
    <row r="40" spans="1:3" ht="43.2" x14ac:dyDescent="0.3">
      <c r="A40" s="67" t="s">
        <v>315</v>
      </c>
      <c r="B40" s="68" t="s">
        <v>40</v>
      </c>
      <c r="C40" s="69" t="s">
        <v>85</v>
      </c>
    </row>
    <row r="41" spans="1:3" ht="28.8" x14ac:dyDescent="0.3">
      <c r="A41" s="67" t="s">
        <v>316</v>
      </c>
      <c r="B41" s="68" t="s">
        <v>41</v>
      </c>
      <c r="C41" s="69" t="s">
        <v>86</v>
      </c>
    </row>
    <row r="42" spans="1:3" ht="43.2" x14ac:dyDescent="0.3">
      <c r="A42" s="67" t="s">
        <v>317</v>
      </c>
      <c r="B42" s="68" t="s">
        <v>42</v>
      </c>
      <c r="C42" s="69" t="s">
        <v>87</v>
      </c>
    </row>
    <row r="43" spans="1:3" ht="43.2" x14ac:dyDescent="0.3">
      <c r="A43" s="67" t="s">
        <v>318</v>
      </c>
      <c r="B43" s="68" t="s">
        <v>43</v>
      </c>
      <c r="C43" s="69" t="s">
        <v>87</v>
      </c>
    </row>
    <row r="44" spans="1:3" ht="43.2" x14ac:dyDescent="0.3">
      <c r="A44" s="67" t="s">
        <v>319</v>
      </c>
      <c r="B44" s="68" t="s">
        <v>44</v>
      </c>
      <c r="C44" s="69" t="s">
        <v>87</v>
      </c>
    </row>
    <row r="45" spans="1:3" ht="28.8" x14ac:dyDescent="0.3">
      <c r="A45" s="67" t="s">
        <v>320</v>
      </c>
      <c r="B45" s="68" t="s">
        <v>45</v>
      </c>
      <c r="C45" s="69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/>
  </sheetViews>
  <sheetFormatPr defaultColWidth="9.109375" defaultRowHeight="14.4" x14ac:dyDescent="0.3"/>
  <cols>
    <col min="1" max="1" width="11.44140625" style="27" customWidth="1"/>
    <col min="2" max="11" width="12" style="27" customWidth="1"/>
    <col min="12" max="12" width="12.6640625" style="27" customWidth="1"/>
    <col min="13" max="13" width="12.33203125" style="27" customWidth="1"/>
    <col min="14" max="14" width="12.6640625" style="27" customWidth="1"/>
    <col min="15" max="16384" width="9.109375" style="27"/>
  </cols>
  <sheetData>
    <row r="1" spans="1:14" s="26" customFormat="1" x14ac:dyDescent="0.3">
      <c r="A1" s="40"/>
      <c r="B1" s="25" t="s">
        <v>321</v>
      </c>
      <c r="C1" s="25" t="s">
        <v>322</v>
      </c>
      <c r="D1" s="25" t="s">
        <v>323</v>
      </c>
      <c r="E1" s="25" t="s">
        <v>324</v>
      </c>
      <c r="F1" s="25" t="s">
        <v>325</v>
      </c>
      <c r="G1" s="25" t="s">
        <v>326</v>
      </c>
      <c r="H1" s="25" t="s">
        <v>327</v>
      </c>
      <c r="I1" s="25" t="s">
        <v>328</v>
      </c>
      <c r="J1" s="25" t="s">
        <v>329</v>
      </c>
      <c r="K1" s="25" t="s">
        <v>330</v>
      </c>
      <c r="L1" s="25" t="s">
        <v>331</v>
      </c>
      <c r="M1" s="25" t="s">
        <v>332</v>
      </c>
      <c r="N1" s="25" t="s">
        <v>333</v>
      </c>
    </row>
    <row r="2" spans="1:14" x14ac:dyDescent="0.3">
      <c r="A2" s="25" t="s">
        <v>305</v>
      </c>
      <c r="B2" s="24">
        <v>0.50543478260869568</v>
      </c>
      <c r="C2" s="23">
        <v>0.5013346406871938</v>
      </c>
      <c r="D2" s="24">
        <v>0</v>
      </c>
      <c r="E2" s="23">
        <v>0</v>
      </c>
      <c r="F2" s="24">
        <v>1</v>
      </c>
      <c r="G2" s="23">
        <v>1</v>
      </c>
      <c r="H2" s="24">
        <v>1</v>
      </c>
      <c r="I2" s="23">
        <v>0</v>
      </c>
      <c r="J2" s="24">
        <v>1</v>
      </c>
      <c r="K2" s="23">
        <v>0.99188789125208232</v>
      </c>
      <c r="L2" s="24">
        <v>-2.1740414759980085E-2</v>
      </c>
      <c r="M2" s="23">
        <v>0.18057877962865379</v>
      </c>
      <c r="N2" s="24">
        <v>-1.9995273543660621</v>
      </c>
    </row>
    <row r="3" spans="1:14" x14ac:dyDescent="0.3">
      <c r="A3" s="25" t="s">
        <v>284</v>
      </c>
      <c r="B3" s="24">
        <v>809.20891847826022</v>
      </c>
      <c r="C3" s="23">
        <v>752.77510789500604</v>
      </c>
      <c r="D3" s="24">
        <v>72.674999999999997</v>
      </c>
      <c r="E3" s="23">
        <v>288.17925000000002</v>
      </c>
      <c r="F3" s="24">
        <v>610.62850000000003</v>
      </c>
      <c r="G3" s="23">
        <v>977.48174999999992</v>
      </c>
      <c r="H3" s="24">
        <v>4262.2979999999998</v>
      </c>
      <c r="I3" s="23">
        <v>334.37750000000005</v>
      </c>
      <c r="J3" s="24">
        <v>689.3024999999999</v>
      </c>
      <c r="K3" s="23">
        <v>0.93026051827335332</v>
      </c>
      <c r="L3" s="24">
        <v>2.0368898931316797</v>
      </c>
      <c r="M3" s="23">
        <v>0.18057877962865379</v>
      </c>
      <c r="N3" s="24">
        <v>4.7391105604232786</v>
      </c>
    </row>
    <row r="4" spans="1:14" x14ac:dyDescent="0.3">
      <c r="A4" s="25" t="s">
        <v>283</v>
      </c>
      <c r="B4" s="24">
        <v>116565459.61989905</v>
      </c>
      <c r="C4" s="23">
        <v>173048020.65934467</v>
      </c>
      <c r="D4" s="24">
        <v>3128724.244382224</v>
      </c>
      <c r="E4" s="23">
        <v>90927281.148008674</v>
      </c>
      <c r="F4" s="24">
        <v>97607590.156597927</v>
      </c>
      <c r="G4" s="23">
        <v>106390009.93843648</v>
      </c>
      <c r="H4" s="24">
        <v>2294432962.7207322</v>
      </c>
      <c r="I4" s="23">
        <v>8035418.1261480898</v>
      </c>
      <c r="J4" s="24">
        <v>15462728.790427804</v>
      </c>
      <c r="K4" s="23">
        <v>1.4845565849748805</v>
      </c>
      <c r="L4" s="24">
        <v>11.20325370455831</v>
      </c>
      <c r="M4" s="23">
        <v>0.18057877962865379</v>
      </c>
      <c r="N4" s="24">
        <v>135.69604077885097</v>
      </c>
    </row>
    <row r="5" spans="1:14" x14ac:dyDescent="0.3">
      <c r="A5" s="25" t="s">
        <v>298</v>
      </c>
      <c r="B5" s="24">
        <v>46.052725252221428</v>
      </c>
      <c r="C5" s="23">
        <v>8.9108562510765879</v>
      </c>
      <c r="D5" s="24">
        <v>22.561389586587101</v>
      </c>
      <c r="E5" s="23">
        <v>40.464047313356602</v>
      </c>
      <c r="F5" s="24">
        <v>47.277382159863549</v>
      </c>
      <c r="G5" s="23">
        <v>52.293817757959772</v>
      </c>
      <c r="H5" s="24">
        <v>64.027124576178494</v>
      </c>
      <c r="I5" s="23">
        <v>5.8452325383586512</v>
      </c>
      <c r="J5" s="24">
        <v>11.82977044460317</v>
      </c>
      <c r="K5" s="23">
        <v>0.19349248502175792</v>
      </c>
      <c r="L5" s="24">
        <v>-0.50625035995555079</v>
      </c>
      <c r="M5" s="23">
        <v>0.18057877962865379</v>
      </c>
      <c r="N5" s="24">
        <v>-0.23737717814872461</v>
      </c>
    </row>
    <row r="6" spans="1:14" x14ac:dyDescent="0.3">
      <c r="A6" s="25" t="s">
        <v>295</v>
      </c>
      <c r="B6" s="24">
        <v>73365.304728260875</v>
      </c>
      <c r="C6" s="23">
        <v>372326.95228188793</v>
      </c>
      <c r="D6" s="24">
        <v>3316.76</v>
      </c>
      <c r="E6" s="23">
        <v>11207.965</v>
      </c>
      <c r="F6" s="24">
        <v>18827.275000000001</v>
      </c>
      <c r="G6" s="23">
        <v>43557.165000000001</v>
      </c>
      <c r="H6" s="24">
        <v>4978519.75</v>
      </c>
      <c r="I6" s="23">
        <v>10379.830000000002</v>
      </c>
      <c r="J6" s="24">
        <v>32349.200000000001</v>
      </c>
      <c r="K6" s="23">
        <v>5.0749731587833882</v>
      </c>
      <c r="L6" s="24">
        <v>12.56133063608136</v>
      </c>
      <c r="M6" s="23">
        <v>0.18057877962865379</v>
      </c>
      <c r="N6" s="24">
        <v>162.55404655166086</v>
      </c>
    </row>
    <row r="7" spans="1:14" x14ac:dyDescent="0.3">
      <c r="A7" s="25" t="s">
        <v>278</v>
      </c>
      <c r="B7" s="24">
        <v>1794.5563254496028</v>
      </c>
      <c r="C7" s="23">
        <v>1231.0334631399419</v>
      </c>
      <c r="D7" s="24">
        <v>86.211851255819298</v>
      </c>
      <c r="E7" s="23">
        <v>857.06224876254555</v>
      </c>
      <c r="F7" s="24">
        <v>1575.9473934552411</v>
      </c>
      <c r="G7" s="23">
        <v>2332.9778200953906</v>
      </c>
      <c r="H7" s="24">
        <v>7582.5574385424334</v>
      </c>
      <c r="I7" s="23">
        <v>742.64086538771085</v>
      </c>
      <c r="J7" s="24">
        <v>1475.915571332845</v>
      </c>
      <c r="K7" s="23">
        <v>0.68598207015403789</v>
      </c>
      <c r="L7" s="24">
        <v>1.3320256389608405</v>
      </c>
      <c r="M7" s="23">
        <v>0.18057877962865379</v>
      </c>
      <c r="N7" s="24">
        <v>2.5319251371578098</v>
      </c>
    </row>
    <row r="8" spans="1:14" ht="14.25" customHeight="1" x14ac:dyDescent="0.3">
      <c r="A8" s="25" t="s">
        <v>277</v>
      </c>
      <c r="B8" s="24">
        <v>935.23369565217388</v>
      </c>
      <c r="C8" s="23">
        <v>3286.7932941094214</v>
      </c>
      <c r="D8" s="24">
        <v>7</v>
      </c>
      <c r="E8" s="23">
        <v>164</v>
      </c>
      <c r="F8" s="24">
        <v>358</v>
      </c>
      <c r="G8" s="23">
        <v>730</v>
      </c>
      <c r="H8" s="24">
        <v>42176</v>
      </c>
      <c r="I8" s="23">
        <v>248</v>
      </c>
      <c r="J8" s="24">
        <v>566</v>
      </c>
      <c r="K8" s="23">
        <v>3.514408547713217</v>
      </c>
      <c r="L8" s="24">
        <v>11.040530912022204</v>
      </c>
      <c r="M8" s="23">
        <v>0.18057877962865379</v>
      </c>
      <c r="N8" s="24">
        <v>133.72115605028114</v>
      </c>
    </row>
    <row r="9" spans="1:14" x14ac:dyDescent="0.3">
      <c r="A9" s="25" t="s">
        <v>285</v>
      </c>
      <c r="B9" s="24">
        <v>125.98907508439825</v>
      </c>
      <c r="C9" s="23">
        <v>652.57827353882817</v>
      </c>
      <c r="D9" s="24">
        <v>7.134939716546179</v>
      </c>
      <c r="E9" s="23">
        <v>24.274820302350012</v>
      </c>
      <c r="F9" s="24">
        <v>39.198354821731655</v>
      </c>
      <c r="G9" s="23">
        <v>74.043739358077687</v>
      </c>
      <c r="H9" s="24">
        <v>8545.9143981328816</v>
      </c>
      <c r="I9" s="23">
        <v>19.337239549564824</v>
      </c>
      <c r="J9" s="24">
        <v>49.768919055727679</v>
      </c>
      <c r="K9" s="23">
        <v>5.1796417514905597</v>
      </c>
      <c r="L9" s="24">
        <v>11.957978221932109</v>
      </c>
      <c r="M9" s="23">
        <v>0.18057877962865379</v>
      </c>
      <c r="N9" s="24">
        <v>149.82743261029032</v>
      </c>
    </row>
    <row r="10" spans="1:14" x14ac:dyDescent="0.3">
      <c r="A10" s="25" t="s">
        <v>290</v>
      </c>
      <c r="B10" s="24">
        <v>96593085.683705166</v>
      </c>
      <c r="C10" s="23">
        <v>25036453.658486594</v>
      </c>
      <c r="D10" s="24">
        <v>37592999.405075163</v>
      </c>
      <c r="E10" s="23">
        <v>82297825.900821447</v>
      </c>
      <c r="F10" s="24">
        <v>91393494.481828958</v>
      </c>
      <c r="G10" s="23">
        <v>105390357.50562671</v>
      </c>
      <c r="H10" s="24">
        <v>210694228.9187136</v>
      </c>
      <c r="I10" s="23">
        <v>11337927.929483168</v>
      </c>
      <c r="J10" s="24">
        <v>23092531.604805261</v>
      </c>
      <c r="K10" s="23">
        <v>0.25919509125600004</v>
      </c>
      <c r="L10" s="24">
        <v>1.4736097940084261</v>
      </c>
      <c r="M10" s="23">
        <v>0.18057877962865379</v>
      </c>
      <c r="N10" s="24">
        <v>3.4454421112570595</v>
      </c>
    </row>
    <row r="11" spans="1:14" x14ac:dyDescent="0.3">
      <c r="A11" s="25" t="s">
        <v>289</v>
      </c>
      <c r="B11" s="24">
        <v>66595788.83719185</v>
      </c>
      <c r="C11" s="23">
        <v>20092837.744779378</v>
      </c>
      <c r="D11" s="24">
        <v>19643436.240075052</v>
      </c>
      <c r="E11" s="23">
        <v>54270138.229472831</v>
      </c>
      <c r="F11" s="24">
        <v>62906038.037807882</v>
      </c>
      <c r="G11" s="23">
        <v>75083005.582769513</v>
      </c>
      <c r="H11" s="24">
        <v>198486365.3115283</v>
      </c>
      <c r="I11" s="23">
        <v>9464132.7033553682</v>
      </c>
      <c r="J11" s="24">
        <v>20812867.353296682</v>
      </c>
      <c r="K11" s="23">
        <v>0.30171333796947386</v>
      </c>
      <c r="L11" s="24">
        <v>2.6041601758245956</v>
      </c>
      <c r="M11" s="23">
        <v>0.18057877962865379</v>
      </c>
      <c r="N11" s="24">
        <v>12.90997865574524</v>
      </c>
    </row>
    <row r="12" spans="1:14" x14ac:dyDescent="0.3">
      <c r="A12" s="25" t="s">
        <v>297</v>
      </c>
      <c r="B12" s="24">
        <v>31.846521739130441</v>
      </c>
      <c r="C12" s="23">
        <v>2.6607129307896544</v>
      </c>
      <c r="D12" s="24">
        <v>26.67</v>
      </c>
      <c r="E12" s="23">
        <v>30.282499999999999</v>
      </c>
      <c r="F12" s="24">
        <v>31.58</v>
      </c>
      <c r="G12" s="23">
        <v>33.164999999999999</v>
      </c>
      <c r="H12" s="24">
        <v>48.15</v>
      </c>
      <c r="I12" s="23">
        <v>1.495000000000001</v>
      </c>
      <c r="J12" s="24">
        <v>2.8825000000000003</v>
      </c>
      <c r="K12" s="23">
        <v>8.3547991601242419E-2</v>
      </c>
      <c r="L12" s="24">
        <v>1.6863915866792152</v>
      </c>
      <c r="M12" s="23">
        <v>0.18057877962865379</v>
      </c>
      <c r="N12" s="24">
        <v>7.5296641047048443</v>
      </c>
    </row>
    <row r="13" spans="1:14" x14ac:dyDescent="0.3">
      <c r="A13" s="25" t="s">
        <v>293</v>
      </c>
      <c r="B13" s="24">
        <v>4.3543478260869559</v>
      </c>
      <c r="C13" s="23">
        <v>0.38165960386094311</v>
      </c>
      <c r="D13" s="24">
        <v>3.5</v>
      </c>
      <c r="E13" s="23">
        <v>4.0999999999999996</v>
      </c>
      <c r="F13" s="24">
        <v>4.4000000000000004</v>
      </c>
      <c r="G13" s="23">
        <v>4.5999999999999996</v>
      </c>
      <c r="H13" s="24">
        <v>5.6</v>
      </c>
      <c r="I13" s="23">
        <v>0.29999999999999982</v>
      </c>
      <c r="J13" s="24">
        <v>0.5</v>
      </c>
      <c r="K13" s="23">
        <v>8.7650233537710356E-2</v>
      </c>
      <c r="L13" s="24">
        <v>0.25392100430856579</v>
      </c>
      <c r="M13" s="23">
        <v>0.18057877962865379</v>
      </c>
      <c r="N13" s="24">
        <v>0.11200455365311557</v>
      </c>
    </row>
    <row r="14" spans="1:14" x14ac:dyDescent="0.3">
      <c r="A14" s="25" t="s">
        <v>291</v>
      </c>
      <c r="B14" s="24">
        <v>6.3663043478260848</v>
      </c>
      <c r="C14" s="23">
        <v>0.86324805037933661</v>
      </c>
      <c r="D14" s="24">
        <v>4.7</v>
      </c>
      <c r="E14" s="23">
        <v>5.8</v>
      </c>
      <c r="F14" s="24">
        <v>6.2</v>
      </c>
      <c r="G14" s="23">
        <v>6.7249999999999996</v>
      </c>
      <c r="H14" s="24">
        <v>9.4</v>
      </c>
      <c r="I14" s="23">
        <v>0.5</v>
      </c>
      <c r="J14" s="24">
        <v>0.92499999999999982</v>
      </c>
      <c r="K14" s="23">
        <v>0.1355964156306966</v>
      </c>
      <c r="L14" s="24">
        <v>1.0321173719965113</v>
      </c>
      <c r="M14" s="23">
        <v>0.18057877962865379</v>
      </c>
      <c r="N14" s="24">
        <v>1.197531107471602</v>
      </c>
    </row>
    <row r="15" spans="1:14" x14ac:dyDescent="0.3">
      <c r="A15" s="39" t="s">
        <v>292</v>
      </c>
      <c r="B15" s="24">
        <v>5.2353260869565217</v>
      </c>
      <c r="C15" s="23">
        <v>0.59936387241490385</v>
      </c>
      <c r="D15" s="24">
        <v>3.9</v>
      </c>
      <c r="E15" s="23">
        <v>4.9000000000000004</v>
      </c>
      <c r="F15" s="24">
        <v>5.0999999999999996</v>
      </c>
      <c r="G15" s="23">
        <v>5.5</v>
      </c>
      <c r="H15" s="24">
        <v>7.8</v>
      </c>
      <c r="I15" s="23">
        <v>0.29999999999999982</v>
      </c>
      <c r="J15" s="24">
        <v>0.59999999999999964</v>
      </c>
      <c r="K15" s="23">
        <v>0.11448453495727427</v>
      </c>
      <c r="L15" s="24">
        <v>1.3991492434186898</v>
      </c>
      <c r="M15" s="23">
        <v>0.18057877962865379</v>
      </c>
      <c r="N15" s="24">
        <v>3.480759884066468</v>
      </c>
    </row>
    <row r="16" spans="1:14" x14ac:dyDescent="0.3">
      <c r="A16" s="25" t="s">
        <v>287</v>
      </c>
      <c r="B16" s="24">
        <v>0.61663043478260848</v>
      </c>
      <c r="C16" s="23">
        <v>3.1670681617655023E-2</v>
      </c>
      <c r="D16" s="24">
        <v>0.54</v>
      </c>
      <c r="E16" s="23">
        <v>0.59875</v>
      </c>
      <c r="F16" s="24">
        <v>0.61199999999999999</v>
      </c>
      <c r="G16" s="23">
        <v>0.63224999999999998</v>
      </c>
      <c r="H16" s="24">
        <v>0.754</v>
      </c>
      <c r="I16" s="23">
        <v>1.6500000000000015E-2</v>
      </c>
      <c r="J16" s="24">
        <v>3.3499999999999974E-2</v>
      </c>
      <c r="K16" s="23">
        <v>5.136087976069563E-2</v>
      </c>
      <c r="L16" s="24">
        <v>0.93302212605041668</v>
      </c>
      <c r="M16" s="23">
        <v>0.18057877962865379</v>
      </c>
      <c r="N16" s="24">
        <v>2.0020905290148274</v>
      </c>
    </row>
    <row r="17" spans="1:14" x14ac:dyDescent="0.3">
      <c r="A17" s="25" t="s">
        <v>288</v>
      </c>
      <c r="B17" s="24">
        <v>24.938260869565234</v>
      </c>
      <c r="C17" s="23">
        <v>9.5128721087120596</v>
      </c>
      <c r="D17" s="24">
        <v>9.0500000000000007</v>
      </c>
      <c r="E17" s="23">
        <v>18.989999999999998</v>
      </c>
      <c r="F17" s="24">
        <v>22.704999999999998</v>
      </c>
      <c r="G17" s="23">
        <v>28.552500000000002</v>
      </c>
      <c r="H17" s="24">
        <v>65.5</v>
      </c>
      <c r="I17" s="23">
        <v>4.4249999999999972</v>
      </c>
      <c r="J17" s="24">
        <v>9.5625000000000036</v>
      </c>
      <c r="K17" s="23">
        <v>0.38145691708284324</v>
      </c>
      <c r="L17" s="24">
        <v>1.4105960914482201</v>
      </c>
      <c r="M17" s="23">
        <v>0.18057877962865379</v>
      </c>
      <c r="N17" s="24">
        <v>3.0037532788001942</v>
      </c>
    </row>
    <row r="18" spans="1:14" x14ac:dyDescent="0.3">
      <c r="A18" s="25" t="s">
        <v>308</v>
      </c>
      <c r="B18" s="24">
        <v>0.43800000000000006</v>
      </c>
      <c r="C18" s="23">
        <v>5.8205308379023886E-2</v>
      </c>
      <c r="D18" s="24">
        <v>0.27300000000000002</v>
      </c>
      <c r="E18" s="23">
        <v>0.4</v>
      </c>
      <c r="F18" s="24">
        <v>0.435</v>
      </c>
      <c r="G18" s="23">
        <v>0.47524999999999995</v>
      </c>
      <c r="H18" s="24">
        <v>0.6</v>
      </c>
      <c r="I18" s="23">
        <v>3.7499999999999978E-2</v>
      </c>
      <c r="J18" s="24">
        <v>7.5249999999999928E-2</v>
      </c>
      <c r="K18" s="23">
        <v>0.13288883191557962</v>
      </c>
      <c r="L18" s="24">
        <v>-2.4473948875406337E-2</v>
      </c>
      <c r="M18" s="23">
        <v>0.18057877962865379</v>
      </c>
      <c r="N18" s="24">
        <v>0.19987478929113056</v>
      </c>
    </row>
    <row r="19" spans="1:14" x14ac:dyDescent="0.3">
      <c r="A19" s="25" t="s">
        <v>310</v>
      </c>
      <c r="B19" s="24">
        <v>0.50869565217391322</v>
      </c>
      <c r="C19" s="23">
        <v>5.8227411555065257E-2</v>
      </c>
      <c r="D19" s="24">
        <v>0.33400000000000002</v>
      </c>
      <c r="E19" s="23">
        <v>0.47375</v>
      </c>
      <c r="F19" s="24">
        <v>0.50750000000000006</v>
      </c>
      <c r="G19" s="23">
        <v>0.55300000000000005</v>
      </c>
      <c r="H19" s="24">
        <v>0.63700000000000001</v>
      </c>
      <c r="I19" s="23">
        <v>3.9500000000000007E-2</v>
      </c>
      <c r="J19" s="24">
        <v>7.9250000000000043E-2</v>
      </c>
      <c r="K19" s="23">
        <v>0.11446414237320517</v>
      </c>
      <c r="L19" s="24">
        <v>-0.36923417756513549</v>
      </c>
      <c r="M19" s="23">
        <v>0.18057877962865379</v>
      </c>
      <c r="N19" s="24">
        <v>-0.10259825535981548</v>
      </c>
    </row>
    <row r="20" spans="1:14" x14ac:dyDescent="0.3">
      <c r="A20" s="25" t="s">
        <v>309</v>
      </c>
      <c r="B20" s="24">
        <v>0.27992934782608708</v>
      </c>
      <c r="C20" s="23">
        <v>0.11097250389324999</v>
      </c>
      <c r="D20" s="24">
        <v>5.6000000000000001E-2</v>
      </c>
      <c r="E20" s="23">
        <v>0.19425000000000001</v>
      </c>
      <c r="F20" s="24">
        <v>0.26700000000000002</v>
      </c>
      <c r="G20" s="23">
        <v>0.34100000000000003</v>
      </c>
      <c r="H20" s="24">
        <v>0.621</v>
      </c>
      <c r="I20" s="23">
        <v>7.400000000000001E-2</v>
      </c>
      <c r="J20" s="24">
        <v>0.14675000000000002</v>
      </c>
      <c r="K20" s="23">
        <v>0.39643040201056146</v>
      </c>
      <c r="L20" s="24">
        <v>0.60556124501657937</v>
      </c>
      <c r="M20" s="23">
        <v>0.18057877962865379</v>
      </c>
      <c r="N20" s="24">
        <v>-0.11566734458882921</v>
      </c>
    </row>
    <row r="21" spans="1:14" x14ac:dyDescent="0.3">
      <c r="A21" s="25" t="s">
        <v>311</v>
      </c>
      <c r="B21" s="24">
        <v>0.52536956521739164</v>
      </c>
      <c r="C21" s="23">
        <v>6.8633057304779796E-2</v>
      </c>
      <c r="D21" s="24">
        <v>0.28299999999999997</v>
      </c>
      <c r="E21" s="23">
        <v>0.48849999999999999</v>
      </c>
      <c r="F21" s="24">
        <v>0.52700000000000002</v>
      </c>
      <c r="G21" s="23">
        <v>0.56824999999999992</v>
      </c>
      <c r="H21" s="24">
        <v>0.78200000000000003</v>
      </c>
      <c r="I21" s="23">
        <v>4.0000000000000036E-2</v>
      </c>
      <c r="J21" s="24">
        <v>7.9749999999999932E-2</v>
      </c>
      <c r="K21" s="23">
        <v>0.13063767269499188</v>
      </c>
      <c r="L21" s="24">
        <v>-0.23332418505565167</v>
      </c>
      <c r="M21" s="23">
        <v>0.18057877962865379</v>
      </c>
      <c r="N21" s="24">
        <v>1.1705306260305983</v>
      </c>
    </row>
    <row r="22" spans="1:14" x14ac:dyDescent="0.3">
      <c r="A22" s="25" t="s">
        <v>300</v>
      </c>
      <c r="B22" s="24">
        <v>1.4353220503570654</v>
      </c>
      <c r="C22" s="23">
        <v>0.94892033254066233</v>
      </c>
      <c r="D22" s="24">
        <v>0</v>
      </c>
      <c r="E22" s="23">
        <v>0.86678125507500003</v>
      </c>
      <c r="F22" s="24">
        <v>1.2399575157</v>
      </c>
      <c r="G22" s="23">
        <v>1.8254592482250001</v>
      </c>
      <c r="H22" s="24">
        <v>6.1106274693999998</v>
      </c>
      <c r="I22" s="23">
        <v>0.46049745124999997</v>
      </c>
      <c r="J22" s="24">
        <v>0.95867799315000002</v>
      </c>
      <c r="K22" s="23">
        <v>0.66112015230630594</v>
      </c>
      <c r="L22" s="24">
        <v>1.7328190123354981</v>
      </c>
      <c r="M22" s="23">
        <v>0.18057877962865379</v>
      </c>
      <c r="N22" s="24">
        <v>4.8866481919184759</v>
      </c>
    </row>
    <row r="23" spans="1:14" x14ac:dyDescent="0.3">
      <c r="A23" s="25" t="s">
        <v>302</v>
      </c>
      <c r="B23" s="24">
        <v>0.10326086956521739</v>
      </c>
      <c r="C23" s="23">
        <v>0.30512958349320579</v>
      </c>
      <c r="D23" s="24">
        <v>0</v>
      </c>
      <c r="E23" s="23">
        <v>0</v>
      </c>
      <c r="F23" s="24">
        <v>0</v>
      </c>
      <c r="G23" s="23">
        <v>0</v>
      </c>
      <c r="H23" s="24">
        <v>1</v>
      </c>
      <c r="I23" s="23">
        <v>0</v>
      </c>
      <c r="J23" s="24">
        <v>0</v>
      </c>
      <c r="K23" s="23">
        <v>2.9549391243552559</v>
      </c>
      <c r="L23" s="24">
        <v>2.6075586362471732</v>
      </c>
      <c r="M23" s="23">
        <v>0.18057877962865379</v>
      </c>
      <c r="N23" s="24">
        <v>4.7993620414672584</v>
      </c>
    </row>
    <row r="24" spans="1:14" x14ac:dyDescent="0.3">
      <c r="A24" s="25" t="s">
        <v>279</v>
      </c>
      <c r="B24" s="24">
        <v>41.673913043478258</v>
      </c>
      <c r="C24" s="23">
        <v>273.4784078027572</v>
      </c>
      <c r="D24" s="24">
        <v>0</v>
      </c>
      <c r="E24" s="23">
        <v>4</v>
      </c>
      <c r="F24" s="24">
        <v>9.5</v>
      </c>
      <c r="G24" s="23">
        <v>23</v>
      </c>
      <c r="H24" s="24">
        <v>3689</v>
      </c>
      <c r="I24" s="23">
        <v>7.5</v>
      </c>
      <c r="J24" s="24">
        <v>19</v>
      </c>
      <c r="K24" s="23">
        <v>6.5623405106556243</v>
      </c>
      <c r="L24" s="24">
        <v>13.00963383722868</v>
      </c>
      <c r="M24" s="23">
        <v>0.18057877962865379</v>
      </c>
      <c r="N24" s="24">
        <v>170.84038567935085</v>
      </c>
    </row>
    <row r="25" spans="1:14" x14ac:dyDescent="0.3">
      <c r="A25" s="25" t="s">
        <v>280</v>
      </c>
      <c r="B25" s="24">
        <v>48.292882577089316</v>
      </c>
      <c r="C25" s="23">
        <v>32.555151042961356</v>
      </c>
      <c r="D25" s="24">
        <v>0</v>
      </c>
      <c r="E25" s="23">
        <v>23.108935469517295</v>
      </c>
      <c r="F25" s="24">
        <v>42.827763800366697</v>
      </c>
      <c r="G25" s="23">
        <v>74.459568033962313</v>
      </c>
      <c r="H25" s="24">
        <v>138.19885200172928</v>
      </c>
      <c r="I25" s="23">
        <v>23.521448085635743</v>
      </c>
      <c r="J25" s="24">
        <v>51.350632564445021</v>
      </c>
      <c r="K25" s="23">
        <v>0.67411902760192421</v>
      </c>
      <c r="L25" s="24">
        <v>0.54125756466411523</v>
      </c>
      <c r="M25" s="23">
        <v>0.18057877962865379</v>
      </c>
      <c r="N25" s="24">
        <v>-0.42383553592626955</v>
      </c>
    </row>
    <row r="26" spans="1:14" x14ac:dyDescent="0.3">
      <c r="A26" s="25" t="s">
        <v>286</v>
      </c>
      <c r="B26" s="24">
        <v>10761.063152173909</v>
      </c>
      <c r="C26" s="23">
        <v>7984.2446546979008</v>
      </c>
      <c r="D26" s="24">
        <v>5351.75</v>
      </c>
      <c r="E26" s="23">
        <v>7018.4050000000007</v>
      </c>
      <c r="F26" s="24">
        <v>8275.6899999999987</v>
      </c>
      <c r="G26" s="23">
        <v>11757.862500000001</v>
      </c>
      <c r="H26" s="24">
        <v>87086.02</v>
      </c>
      <c r="I26" s="23">
        <v>1583.7399999999998</v>
      </c>
      <c r="J26" s="24">
        <v>4739.4575000000004</v>
      </c>
      <c r="K26" s="23">
        <v>0.74195686260654969</v>
      </c>
      <c r="L26" s="24">
        <v>5.9200527786973378</v>
      </c>
      <c r="M26" s="23">
        <v>0.18057877962865379</v>
      </c>
      <c r="N26" s="24">
        <v>47.641357631793731</v>
      </c>
    </row>
    <row r="27" spans="1:14" x14ac:dyDescent="0.3">
      <c r="A27" s="25" t="s">
        <v>334</v>
      </c>
      <c r="B27" s="24">
        <v>49630.858695652176</v>
      </c>
      <c r="C27" s="23">
        <v>198896.6443763611</v>
      </c>
      <c r="D27" s="24">
        <v>4844</v>
      </c>
      <c r="E27" s="23">
        <v>14240.75</v>
      </c>
      <c r="F27" s="24">
        <v>21999.5</v>
      </c>
      <c r="G27" s="23">
        <v>40997.25</v>
      </c>
      <c r="H27" s="24">
        <v>2669342</v>
      </c>
      <c r="I27" s="23">
        <v>10274</v>
      </c>
      <c r="J27" s="24">
        <v>26756.5</v>
      </c>
      <c r="K27" s="23">
        <v>4.0075197085756873</v>
      </c>
      <c r="L27" s="24">
        <v>12.553972527142736</v>
      </c>
      <c r="M27" s="23">
        <v>0.18057877962865379</v>
      </c>
      <c r="N27" s="24">
        <v>162.40481827127536</v>
      </c>
    </row>
    <row r="28" spans="1:14" x14ac:dyDescent="0.3">
      <c r="A28" s="25" t="s">
        <v>304</v>
      </c>
      <c r="B28" s="24">
        <v>0.43615529901063688</v>
      </c>
      <c r="C28" s="23">
        <v>0.15681760331608824</v>
      </c>
      <c r="D28" s="24">
        <v>0</v>
      </c>
      <c r="E28" s="23">
        <v>0.35199795757305352</v>
      </c>
      <c r="F28" s="24">
        <v>0.4536880917719438</v>
      </c>
      <c r="G28" s="23">
        <v>0.54606973327364872</v>
      </c>
      <c r="H28" s="24">
        <v>0.75615626735789665</v>
      </c>
      <c r="I28" s="23">
        <v>9.698542354701073E-2</v>
      </c>
      <c r="J28" s="24">
        <v>0.19407177570059519</v>
      </c>
      <c r="K28" s="23">
        <v>0.35954533550735057</v>
      </c>
      <c r="L28" s="24">
        <v>-0.58123687794395429</v>
      </c>
      <c r="M28" s="23">
        <v>0.18057877962865379</v>
      </c>
      <c r="N28" s="24">
        <v>0.23358792577541321</v>
      </c>
    </row>
    <row r="29" spans="1:14" x14ac:dyDescent="0.3">
      <c r="A29" s="25" t="s">
        <v>301</v>
      </c>
      <c r="B29" s="24">
        <v>9.1630456906777216</v>
      </c>
      <c r="C29" s="23">
        <v>2.1575324933065776</v>
      </c>
      <c r="D29" s="24">
        <v>5.2883115177000004</v>
      </c>
      <c r="E29" s="23">
        <v>7.7346264194499996</v>
      </c>
      <c r="F29" s="24">
        <v>8.8027603308499991</v>
      </c>
      <c r="G29" s="23">
        <v>10.289822361999999</v>
      </c>
      <c r="H29" s="24">
        <v>20.558494609299999</v>
      </c>
      <c r="I29" s="23">
        <v>1.2012367367000003</v>
      </c>
      <c r="J29" s="24">
        <v>2.5551959425499993</v>
      </c>
      <c r="K29" s="23">
        <v>0.23546019152797668</v>
      </c>
      <c r="L29" s="24">
        <v>1.4460657529653431</v>
      </c>
      <c r="M29" s="23">
        <v>0.18057877962865379</v>
      </c>
      <c r="N29" s="24">
        <v>4.1241625553799368</v>
      </c>
    </row>
    <row r="30" spans="1:14" x14ac:dyDescent="0.3">
      <c r="A30" s="25" t="s">
        <v>282</v>
      </c>
      <c r="B30" s="24">
        <v>8964198.7025294639</v>
      </c>
      <c r="C30" s="23">
        <v>30011443.675018791</v>
      </c>
      <c r="D30" s="24">
        <v>225330.22210857013</v>
      </c>
      <c r="E30" s="23">
        <v>2744378.045671883</v>
      </c>
      <c r="F30" s="24">
        <v>4951907.5055355681</v>
      </c>
      <c r="G30" s="23">
        <v>8939333.0829376206</v>
      </c>
      <c r="H30" s="24">
        <v>405048949.11706996</v>
      </c>
      <c r="I30" s="23">
        <v>2576009.8941492103</v>
      </c>
      <c r="J30" s="24">
        <v>6194955.0372657375</v>
      </c>
      <c r="K30" s="23">
        <v>3.3479226276577672</v>
      </c>
      <c r="L30" s="24">
        <v>12.610172266426421</v>
      </c>
      <c r="M30" s="23">
        <v>0.18057877962865379</v>
      </c>
      <c r="N30" s="24">
        <v>163.71254357738346</v>
      </c>
    </row>
    <row r="31" spans="1:14" x14ac:dyDescent="0.3">
      <c r="A31" s="25" t="s">
        <v>303</v>
      </c>
      <c r="B31" s="24">
        <v>0.72826086956521741</v>
      </c>
      <c r="C31" s="23">
        <v>0.44606992687540309</v>
      </c>
      <c r="D31" s="24">
        <v>0</v>
      </c>
      <c r="E31" s="23">
        <v>0</v>
      </c>
      <c r="F31" s="24">
        <v>1</v>
      </c>
      <c r="G31" s="23">
        <v>1</v>
      </c>
      <c r="H31" s="24">
        <v>1</v>
      </c>
      <c r="I31" s="23">
        <v>0</v>
      </c>
      <c r="J31" s="24">
        <v>1</v>
      </c>
      <c r="K31" s="23">
        <v>0.61251392944085203</v>
      </c>
      <c r="L31" s="24">
        <v>-1.0262233325929662</v>
      </c>
      <c r="M31" s="23">
        <v>0.18057877962865379</v>
      </c>
      <c r="N31" s="24">
        <v>-0.94686567164178292</v>
      </c>
    </row>
    <row r="32" spans="1:14" x14ac:dyDescent="0.3">
      <c r="A32" s="25" t="s">
        <v>299</v>
      </c>
      <c r="B32" s="24">
        <v>0.72184782608695652</v>
      </c>
      <c r="C32" s="23">
        <v>0.27171758622127296</v>
      </c>
      <c r="D32" s="24">
        <v>0.12</v>
      </c>
      <c r="E32" s="23">
        <v>0.54</v>
      </c>
      <c r="F32" s="24">
        <v>0.68</v>
      </c>
      <c r="G32" s="23">
        <v>0.87</v>
      </c>
      <c r="H32" s="24">
        <v>1.71</v>
      </c>
      <c r="I32" s="23">
        <v>0.15000000000000002</v>
      </c>
      <c r="J32" s="24">
        <v>0.32999999999999996</v>
      </c>
      <c r="K32" s="23">
        <v>0.37641948399875186</v>
      </c>
      <c r="L32" s="24">
        <v>1.0394856476889456</v>
      </c>
      <c r="M32" s="23">
        <v>0.18057877962865379</v>
      </c>
      <c r="N32" s="24">
        <v>1.57521138730751</v>
      </c>
    </row>
    <row r="33" spans="1:14" x14ac:dyDescent="0.3">
      <c r="A33" s="25" t="s">
        <v>294</v>
      </c>
      <c r="B33" s="24">
        <v>97.762149818209068</v>
      </c>
      <c r="C33" s="23">
        <v>2.7338611203767855</v>
      </c>
      <c r="D33" s="24">
        <v>87.330757390129705</v>
      </c>
      <c r="E33" s="23">
        <v>97.59778194578702</v>
      </c>
      <c r="F33" s="24">
        <v>98.737956332806746</v>
      </c>
      <c r="G33" s="23">
        <v>99.513074050029672</v>
      </c>
      <c r="H33" s="24">
        <v>100</v>
      </c>
      <c r="I33" s="23">
        <v>0.83900720297354781</v>
      </c>
      <c r="J33" s="24">
        <v>1.9152921042426527</v>
      </c>
      <c r="K33" s="23">
        <v>2.7964412867970499E-2</v>
      </c>
      <c r="L33" s="24">
        <v>-1.9458929327994337</v>
      </c>
      <c r="M33" s="23">
        <v>0.18057877962865379</v>
      </c>
      <c r="N33" s="24">
        <v>3.307091593637173</v>
      </c>
    </row>
    <row r="34" spans="1:14" x14ac:dyDescent="0.3">
      <c r="A34" s="25" t="s">
        <v>296</v>
      </c>
      <c r="B34" s="24">
        <v>22.896793478260875</v>
      </c>
      <c r="C34" s="23">
        <v>19.61232413478945</v>
      </c>
      <c r="D34" s="24">
        <v>0</v>
      </c>
      <c r="E34" s="23">
        <v>10.592500000000001</v>
      </c>
      <c r="F34" s="24">
        <v>18.605</v>
      </c>
      <c r="G34" s="23">
        <v>29.535</v>
      </c>
      <c r="H34" s="24">
        <v>122.77</v>
      </c>
      <c r="I34" s="23">
        <v>9.6350000000000016</v>
      </c>
      <c r="J34" s="24">
        <v>18.942499999999999</v>
      </c>
      <c r="K34" s="23">
        <v>0.85655330530932938</v>
      </c>
      <c r="L34" s="24">
        <v>2.3346307410131741</v>
      </c>
      <c r="M34" s="23">
        <v>0.18057877962865379</v>
      </c>
      <c r="N34" s="24">
        <v>8.0349283049856322</v>
      </c>
    </row>
    <row r="35" spans="1:14" x14ac:dyDescent="0.3">
      <c r="A35" s="25" t="s">
        <v>335</v>
      </c>
      <c r="B35" s="24">
        <v>3.1450426403156498E-2</v>
      </c>
      <c r="C35" s="23">
        <v>2.3259576525143724E-2</v>
      </c>
      <c r="D35" s="24">
        <v>0</v>
      </c>
      <c r="E35" s="23">
        <v>1.6856494370311448E-2</v>
      </c>
      <c r="F35" s="24">
        <v>2.6863679007000072E-2</v>
      </c>
      <c r="G35" s="23">
        <v>4.0344827586206895E-2</v>
      </c>
      <c r="H35" s="24">
        <v>0.16666666666666666</v>
      </c>
      <c r="I35" s="23">
        <v>1.1056668770661048E-2</v>
      </c>
      <c r="J35" s="24">
        <v>2.3488333215895447E-2</v>
      </c>
      <c r="K35" s="23">
        <v>0.7395631533570971</v>
      </c>
      <c r="L35" s="24">
        <v>1.9884003517839275</v>
      </c>
      <c r="M35" s="23">
        <v>0.18057877962865379</v>
      </c>
      <c r="N35" s="24">
        <v>7.3312232714326182</v>
      </c>
    </row>
    <row r="36" spans="1:14" x14ac:dyDescent="0.3">
      <c r="A36" s="25" t="s">
        <v>306</v>
      </c>
      <c r="B36" s="24">
        <v>0.58189184782608705</v>
      </c>
      <c r="C36" s="23">
        <v>0.12517472286629719</v>
      </c>
      <c r="D36" s="24">
        <v>0.33770000000000006</v>
      </c>
      <c r="E36" s="23">
        <v>0.51477499999999998</v>
      </c>
      <c r="F36" s="24">
        <v>0.54409999999999992</v>
      </c>
      <c r="G36" s="23">
        <v>0.60794999999999999</v>
      </c>
      <c r="H36" s="24">
        <v>1</v>
      </c>
      <c r="I36" s="23">
        <v>3.7600000000000022E-2</v>
      </c>
      <c r="J36" s="24">
        <v>9.3175000000000008E-2</v>
      </c>
      <c r="K36" s="23">
        <v>0.21511681824370357</v>
      </c>
      <c r="L36" s="24">
        <v>1.887514809029065</v>
      </c>
      <c r="M36" s="23">
        <v>0.18057877962865379</v>
      </c>
      <c r="N36" s="24">
        <v>3.7783960331240527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workbookViewId="0"/>
  </sheetViews>
  <sheetFormatPr defaultRowHeight="14.4" x14ac:dyDescent="0.3"/>
  <cols>
    <col min="1" max="1" width="12" customWidth="1"/>
    <col min="2" max="5" width="23.88671875" customWidth="1"/>
  </cols>
  <sheetData>
    <row r="1" spans="1:5" ht="60" customHeight="1" x14ac:dyDescent="0.3">
      <c r="A1" s="77" t="s">
        <v>336</v>
      </c>
      <c r="B1" s="77" t="s">
        <v>337</v>
      </c>
      <c r="C1" s="77" t="s">
        <v>338</v>
      </c>
      <c r="D1" s="77" t="s">
        <v>339</v>
      </c>
      <c r="E1" s="78" t="s">
        <v>340</v>
      </c>
    </row>
    <row r="2" spans="1:5" x14ac:dyDescent="0.3">
      <c r="A2" s="82" t="s">
        <v>277</v>
      </c>
      <c r="B2" s="76">
        <v>1</v>
      </c>
      <c r="C2" s="76">
        <v>0.13527540187415385</v>
      </c>
      <c r="D2" s="76">
        <v>0.35589753483025277</v>
      </c>
      <c r="E2" s="79">
        <v>0.16124924565379739</v>
      </c>
    </row>
    <row r="3" spans="1:5" x14ac:dyDescent="0.3">
      <c r="A3" s="82" t="s">
        <v>278</v>
      </c>
      <c r="B3" s="76">
        <v>0.13527540187415385</v>
      </c>
      <c r="C3" s="76">
        <v>1</v>
      </c>
      <c r="D3" s="76">
        <v>0.58024776495450958</v>
      </c>
      <c r="E3" s="79">
        <v>-0.2860722152101749</v>
      </c>
    </row>
    <row r="4" spans="1:5" x14ac:dyDescent="0.3">
      <c r="A4" s="82" t="s">
        <v>279</v>
      </c>
      <c r="B4" s="76">
        <v>0.96977202880069791</v>
      </c>
      <c r="C4" s="76">
        <v>2.4650458250377663E-2</v>
      </c>
      <c r="D4" s="76">
        <v>0.27854599632288662</v>
      </c>
      <c r="E4" s="79">
        <v>0.20019699137186095</v>
      </c>
    </row>
    <row r="5" spans="1:5" x14ac:dyDescent="0.3">
      <c r="A5" s="82" t="s">
        <v>280</v>
      </c>
      <c r="B5" s="76">
        <v>0.35589753483025277</v>
      </c>
      <c r="C5" s="76">
        <v>0.58024776495450958</v>
      </c>
      <c r="D5" s="76">
        <v>1</v>
      </c>
      <c r="E5" s="79">
        <v>0.38981079478647451</v>
      </c>
    </row>
    <row r="6" spans="1:5" x14ac:dyDescent="0.3">
      <c r="A6" s="82" t="s">
        <v>335</v>
      </c>
      <c r="B6" s="76">
        <v>0.16124924565379739</v>
      </c>
      <c r="C6" s="76">
        <v>-0.2860722152101749</v>
      </c>
      <c r="D6" s="76">
        <v>0.38981079478647451</v>
      </c>
      <c r="E6" s="79">
        <v>1</v>
      </c>
    </row>
    <row r="7" spans="1:5" x14ac:dyDescent="0.3">
      <c r="A7" s="82" t="s">
        <v>281</v>
      </c>
      <c r="B7" s="76">
        <v>0.97722233076958354</v>
      </c>
      <c r="C7" s="76">
        <v>1.8306667900004205E-2</v>
      </c>
      <c r="D7" s="76">
        <v>0.27493729974375553</v>
      </c>
      <c r="E7" s="79">
        <v>0.19802281621065745</v>
      </c>
    </row>
    <row r="8" spans="1:5" x14ac:dyDescent="0.3">
      <c r="A8" s="82" t="s">
        <v>282</v>
      </c>
      <c r="B8" s="76">
        <v>-1.449320401601064E-2</v>
      </c>
      <c r="C8" s="76">
        <v>5.2418569297365138E-2</v>
      </c>
      <c r="D8" s="76">
        <v>-2.2185485730520978E-2</v>
      </c>
      <c r="E8" s="79">
        <v>-6.7700724405355572E-2</v>
      </c>
    </row>
    <row r="9" spans="1:5" x14ac:dyDescent="0.3">
      <c r="A9" s="82" t="s">
        <v>283</v>
      </c>
      <c r="B9" s="76">
        <v>-4.6584892851860883E-2</v>
      </c>
      <c r="C9" s="76">
        <v>4.9755894794725829E-2</v>
      </c>
      <c r="D9" s="76">
        <v>-5.2327048149149166E-2</v>
      </c>
      <c r="E9" s="79">
        <v>-7.3362920801205753E-2</v>
      </c>
    </row>
    <row r="10" spans="1:5" x14ac:dyDescent="0.3">
      <c r="A10" s="82" t="s">
        <v>284</v>
      </c>
      <c r="B10" s="76">
        <v>1.2862663151329383E-2</v>
      </c>
      <c r="C10" s="76">
        <v>-0.10503393599109084</v>
      </c>
      <c r="D10" s="76">
        <v>-5.6340362533239624E-2</v>
      </c>
      <c r="E10" s="79">
        <v>4.9998660965727158E-2</v>
      </c>
    </row>
    <row r="11" spans="1:5" x14ac:dyDescent="0.3">
      <c r="A11" s="82" t="s">
        <v>285</v>
      </c>
      <c r="B11" s="76">
        <v>0.94628987370417672</v>
      </c>
      <c r="C11" s="76">
        <v>2.3864408669592295E-2</v>
      </c>
      <c r="D11" s="76">
        <v>0.27961773744068097</v>
      </c>
      <c r="E11" s="79">
        <v>0.1943424008692779</v>
      </c>
    </row>
    <row r="12" spans="1:5" x14ac:dyDescent="0.3">
      <c r="A12" s="82" t="s">
        <v>286</v>
      </c>
      <c r="B12" s="76">
        <v>0.26073903675608751</v>
      </c>
      <c r="C12" s="76">
        <v>0.21277578689403662</v>
      </c>
      <c r="D12" s="76">
        <v>0.30757241647129829</v>
      </c>
      <c r="E12" s="79">
        <v>6.4667475312035844E-2</v>
      </c>
    </row>
    <row r="13" spans="1:5" x14ac:dyDescent="0.3">
      <c r="A13" s="82" t="s">
        <v>287</v>
      </c>
      <c r="B13" s="76">
        <v>0.49457320238758828</v>
      </c>
      <c r="C13" s="76">
        <v>0.16013883594907233</v>
      </c>
      <c r="D13" s="76">
        <v>0.34937327741813601</v>
      </c>
      <c r="E13" s="79">
        <v>0.11760945806301386</v>
      </c>
    </row>
    <row r="14" spans="1:5" x14ac:dyDescent="0.3">
      <c r="A14" s="82" t="s">
        <v>288</v>
      </c>
      <c r="B14" s="76">
        <v>0.4639189709647914</v>
      </c>
      <c r="C14" s="76">
        <v>0.29872284754984746</v>
      </c>
      <c r="D14" s="76">
        <v>0.50448158912320629</v>
      </c>
      <c r="E14" s="79">
        <v>0.10464007050800522</v>
      </c>
    </row>
    <row r="15" spans="1:5" x14ac:dyDescent="0.3">
      <c r="A15" s="82" t="s">
        <v>289</v>
      </c>
      <c r="B15" s="76">
        <v>6.2836060973485028E-2</v>
      </c>
      <c r="C15" s="76">
        <v>4.363950578106051E-2</v>
      </c>
      <c r="D15" s="76">
        <v>2.3575403837939431E-2</v>
      </c>
      <c r="E15" s="79">
        <v>-7.9012933420906192E-2</v>
      </c>
    </row>
    <row r="16" spans="1:5" x14ac:dyDescent="0.3">
      <c r="A16" s="82" t="s">
        <v>290</v>
      </c>
      <c r="B16" s="76">
        <v>-0.21640426209146815</v>
      </c>
      <c r="C16" s="76">
        <v>1.8708982323119509E-2</v>
      </c>
      <c r="D16" s="76">
        <v>-0.11779237787796887</v>
      </c>
      <c r="E16" s="79">
        <v>-8.1318547762500415E-2</v>
      </c>
    </row>
    <row r="17" spans="1:5" x14ac:dyDescent="0.3">
      <c r="A17" s="82" t="s">
        <v>291</v>
      </c>
      <c r="B17" s="76">
        <v>-9.0635336032576248E-3</v>
      </c>
      <c r="C17" s="76">
        <v>0.17056495635732583</v>
      </c>
      <c r="D17" s="76">
        <v>3.7876440022488647E-2</v>
      </c>
      <c r="E17" s="79">
        <v>-0.13830721372511867</v>
      </c>
    </row>
    <row r="18" spans="1:5" x14ac:dyDescent="0.3">
      <c r="A18" s="82" t="s">
        <v>292</v>
      </c>
      <c r="B18" s="76">
        <v>1.4913931623656161E-2</v>
      </c>
      <c r="C18" s="76">
        <v>0.15278037484335194</v>
      </c>
      <c r="D18" s="76">
        <v>-1.0621280246758697E-2</v>
      </c>
      <c r="E18" s="79">
        <v>-0.19656764821783884</v>
      </c>
    </row>
    <row r="19" spans="1:5" x14ac:dyDescent="0.3">
      <c r="A19" s="82" t="s">
        <v>293</v>
      </c>
      <c r="B19" s="76">
        <v>2.8079855690333944E-2</v>
      </c>
      <c r="C19" s="76">
        <v>-4.5374670214490098E-2</v>
      </c>
      <c r="D19" s="76">
        <v>3.5879153485457435E-2</v>
      </c>
      <c r="E19" s="79">
        <v>7.6560838697148831E-2</v>
      </c>
    </row>
    <row r="20" spans="1:5" x14ac:dyDescent="0.3">
      <c r="A20" s="82" t="s">
        <v>294</v>
      </c>
      <c r="B20" s="76">
        <v>2.6124017431624135E-2</v>
      </c>
      <c r="C20" s="76">
        <v>-2.9834235562294951E-2</v>
      </c>
      <c r="D20" s="76">
        <v>-0.11516389779505212</v>
      </c>
      <c r="E20" s="79">
        <v>-2.4697437720415678E-2</v>
      </c>
    </row>
    <row r="21" spans="1:5" x14ac:dyDescent="0.3">
      <c r="A21" s="82" t="s">
        <v>295</v>
      </c>
      <c r="B21" s="76">
        <v>0.97076512601480813</v>
      </c>
      <c r="C21" s="76">
        <v>1.9008266199280959E-2</v>
      </c>
      <c r="D21" s="76">
        <v>0.2711775046129512</v>
      </c>
      <c r="E21" s="79">
        <v>0.19306209168027122</v>
      </c>
    </row>
    <row r="22" spans="1:5" x14ac:dyDescent="0.3">
      <c r="A22" s="82" t="s">
        <v>296</v>
      </c>
      <c r="B22" s="76">
        <v>6.0538478382797904E-2</v>
      </c>
      <c r="C22" s="76">
        <v>9.5470146958090127E-2</v>
      </c>
      <c r="D22" s="76">
        <v>0.13647383907082003</v>
      </c>
      <c r="E22" s="79">
        <v>4.4916446203091126E-2</v>
      </c>
    </row>
    <row r="23" spans="1:5" x14ac:dyDescent="0.3">
      <c r="A23" s="82" t="s">
        <v>297</v>
      </c>
      <c r="B23" s="76">
        <v>-4.7952689664774943E-2</v>
      </c>
      <c r="C23" s="76">
        <v>-1.3943121863644337E-4</v>
      </c>
      <c r="D23" s="76">
        <v>-0.11058205631975823</v>
      </c>
      <c r="E23" s="79">
        <v>-0.18624662853419294</v>
      </c>
    </row>
    <row r="24" spans="1:5" x14ac:dyDescent="0.3">
      <c r="A24" s="82" t="s">
        <v>298</v>
      </c>
      <c r="B24" s="76">
        <v>-0.32752509089851922</v>
      </c>
      <c r="C24" s="76">
        <v>-7.3578425846914625E-2</v>
      </c>
      <c r="D24" s="76">
        <v>-0.21110140732644933</v>
      </c>
      <c r="E24" s="79">
        <v>-2.0661272622579149E-2</v>
      </c>
    </row>
    <row r="25" spans="1:5" x14ac:dyDescent="0.3">
      <c r="A25" s="82" t="s">
        <v>299</v>
      </c>
      <c r="B25" s="76">
        <v>-0.27190547999426301</v>
      </c>
      <c r="C25" s="76">
        <v>1.0150521144727023E-2</v>
      </c>
      <c r="D25" s="76">
        <v>-0.3079585180679531</v>
      </c>
      <c r="E25" s="79">
        <v>-0.19962510239864339</v>
      </c>
    </row>
    <row r="26" spans="1:5" x14ac:dyDescent="0.3">
      <c r="A26" s="82" t="s">
        <v>300</v>
      </c>
      <c r="B26" s="76">
        <v>9.159248576521567E-2</v>
      </c>
      <c r="C26" s="76">
        <v>-0.19672461280140535</v>
      </c>
      <c r="D26" s="76">
        <v>-0.1976318428507082</v>
      </c>
      <c r="E26" s="79">
        <v>-9.5219940388297244E-2</v>
      </c>
    </row>
    <row r="27" spans="1:5" x14ac:dyDescent="0.3">
      <c r="A27" s="82" t="s">
        <v>301</v>
      </c>
      <c r="B27" s="76">
        <v>6.910504536589296E-3</v>
      </c>
      <c r="C27" s="76">
        <v>4.0226035141446001E-2</v>
      </c>
      <c r="D27" s="76">
        <v>-0.11761214922667752</v>
      </c>
      <c r="E27" s="79">
        <v>-0.17532836726709333</v>
      </c>
    </row>
    <row r="28" spans="1:5" x14ac:dyDescent="0.3">
      <c r="A28" s="82" t="s">
        <v>302</v>
      </c>
      <c r="B28" s="76">
        <v>0.28416864648800133</v>
      </c>
      <c r="C28" s="76">
        <v>3.3191338248795429E-2</v>
      </c>
      <c r="D28" s="76">
        <v>0.40893681781444913</v>
      </c>
      <c r="E28" s="79">
        <v>0.27911315842558082</v>
      </c>
    </row>
    <row r="29" spans="1:5" x14ac:dyDescent="0.3">
      <c r="A29" s="82" t="s">
        <v>303</v>
      </c>
      <c r="B29" s="76">
        <v>-0.15863492837609905</v>
      </c>
      <c r="C29" s="76">
        <v>-0.31532849461311696</v>
      </c>
      <c r="D29" s="76">
        <v>-0.4242201842292328</v>
      </c>
      <c r="E29" s="79">
        <v>-9.5774080798778652E-2</v>
      </c>
    </row>
    <row r="30" spans="1:5" x14ac:dyDescent="0.3">
      <c r="A30" s="82" t="s">
        <v>304</v>
      </c>
      <c r="B30" s="76">
        <v>-0.3604488108198024</v>
      </c>
      <c r="C30" s="76">
        <v>-0.18661931694441439</v>
      </c>
      <c r="D30" s="76">
        <v>-0.42340287500249257</v>
      </c>
      <c r="E30" s="79">
        <v>-0.17606747090019015</v>
      </c>
    </row>
    <row r="31" spans="1:5" x14ac:dyDescent="0.3">
      <c r="A31" s="82" t="s">
        <v>305</v>
      </c>
      <c r="B31" s="76">
        <v>-7.2346683570951476E-2</v>
      </c>
      <c r="C31" s="76">
        <v>-4.5491839780689427E-3</v>
      </c>
      <c r="D31" s="76">
        <v>9.341686515721892E-2</v>
      </c>
      <c r="E31" s="79">
        <v>0.16539675628508424</v>
      </c>
    </row>
    <row r="32" spans="1:5" x14ac:dyDescent="0.3">
      <c r="A32" s="82" t="s">
        <v>306</v>
      </c>
      <c r="B32" s="76">
        <v>-3.1381904490079694E-2</v>
      </c>
      <c r="C32" s="76">
        <v>-1.9728393433747177E-3</v>
      </c>
      <c r="D32" s="76">
        <v>-7.6410959706741069E-2</v>
      </c>
      <c r="E32" s="79">
        <v>-0.11724493382972215</v>
      </c>
    </row>
    <row r="33" spans="1:5" x14ac:dyDescent="0.3">
      <c r="A33" s="82" t="s">
        <v>308</v>
      </c>
      <c r="B33" s="76">
        <v>-0.24601527197770939</v>
      </c>
      <c r="C33" s="76">
        <v>-6.044926147232773E-2</v>
      </c>
      <c r="D33" s="76">
        <v>-7.2657294473186709E-2</v>
      </c>
      <c r="E33" s="79">
        <v>3.1694277652885558E-2</v>
      </c>
    </row>
    <row r="34" spans="1:5" x14ac:dyDescent="0.3">
      <c r="A34" s="82" t="s">
        <v>309</v>
      </c>
      <c r="B34" s="76">
        <v>3.56556705184028E-2</v>
      </c>
      <c r="C34" s="76">
        <v>9.3003469662616453E-2</v>
      </c>
      <c r="D34" s="76">
        <v>0.16777407457864718</v>
      </c>
      <c r="E34" s="79">
        <v>7.3006383227339641E-2</v>
      </c>
    </row>
    <row r="35" spans="1:5" x14ac:dyDescent="0.3">
      <c r="A35" s="82" t="s">
        <v>310</v>
      </c>
      <c r="B35" s="76">
        <v>-0.33683675020362197</v>
      </c>
      <c r="C35" s="76">
        <v>-5.3051443110802017E-2</v>
      </c>
      <c r="D35" s="76">
        <v>-9.0165563816304015E-2</v>
      </c>
      <c r="E35" s="79">
        <v>5.1185167745274339E-2</v>
      </c>
    </row>
    <row r="36" spans="1:5" x14ac:dyDescent="0.3">
      <c r="A36" s="83" t="s">
        <v>311</v>
      </c>
      <c r="B36" s="80">
        <v>-0.39727361205218598</v>
      </c>
      <c r="C36" s="80">
        <v>-0.25926214658562097</v>
      </c>
      <c r="D36" s="80">
        <v>-0.37924522715477027</v>
      </c>
      <c r="E36" s="81">
        <v>-8.0581092649339242E-2</v>
      </c>
    </row>
  </sheetData>
  <conditionalFormatting sqref="B2:B36">
    <cfRule type="colorScale" priority="7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C2:C36">
    <cfRule type="colorScale" priority="10">
      <colorScale>
        <cfvo type="num" val="-1"/>
        <cfvo type="num" val="0"/>
        <cfvo type="num" val="1"/>
        <color rgb="FFF8696B"/>
        <color theme="0"/>
        <color theme="8" tint="-0.249977111117893"/>
      </colorScale>
    </cfRule>
    <cfRule type="colorScale" priority="12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D2:D36">
    <cfRule type="colorScale" priority="9">
      <colorScale>
        <cfvo type="num" val="-1"/>
        <cfvo type="num" val="0"/>
        <cfvo type="num" val="1"/>
        <color rgb="FFF8696B"/>
        <color theme="0"/>
        <color theme="8" tint="-0.249977111117893"/>
      </colorScale>
    </cfRule>
    <cfRule type="colorScale" priority="11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E2:E36">
    <cfRule type="colorScale" priority="8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77"/>
  <sheetViews>
    <sheetView workbookViewId="0"/>
  </sheetViews>
  <sheetFormatPr defaultRowHeight="14.4" x14ac:dyDescent="0.3"/>
  <cols>
    <col min="1" max="1" width="12" customWidth="1"/>
    <col min="2" max="2" width="8.88671875" customWidth="1"/>
    <col min="3" max="3" width="8.5546875" customWidth="1"/>
    <col min="4" max="4" width="6.33203125" customWidth="1"/>
    <col min="5" max="5" width="10.33203125" customWidth="1"/>
    <col min="6" max="6" width="9.33203125" customWidth="1"/>
    <col min="7" max="7" width="6.33203125" customWidth="1"/>
    <col min="8" max="8" width="10.88671875" customWidth="1"/>
    <col min="9" max="9" width="7.5546875" customWidth="1"/>
    <col min="10" max="10" width="6.33203125" customWidth="1"/>
    <col min="11" max="11" width="10.6640625" customWidth="1"/>
    <col min="12" max="12" width="6.44140625" customWidth="1"/>
    <col min="13" max="14" width="6.33203125" customWidth="1"/>
    <col min="15" max="15" width="11.5546875" customWidth="1"/>
    <col min="16" max="16" width="10.44140625" customWidth="1"/>
    <col min="17" max="19" width="6.44140625" customWidth="1"/>
    <col min="20" max="20" width="9.5546875" customWidth="1"/>
    <col min="21" max="21" width="12" customWidth="1"/>
    <col min="22" max="22" width="9" customWidth="1"/>
    <col min="23" max="23" width="11.44140625" customWidth="1"/>
    <col min="24" max="24" width="7.109375" customWidth="1"/>
    <col min="25" max="25" width="6.44140625" customWidth="1"/>
    <col min="26" max="26" width="8.44140625" customWidth="1"/>
    <col min="27" max="27" width="7.33203125" customWidth="1"/>
    <col min="28" max="28" width="8" customWidth="1"/>
    <col min="29" max="29" width="10.44140625" customWidth="1"/>
    <col min="30" max="30" width="9.88671875" customWidth="1"/>
    <col min="31" max="31" width="10.5546875" customWidth="1"/>
    <col min="32" max="32" width="6.44140625" customWidth="1"/>
    <col min="33" max="33" width="6.33203125" customWidth="1"/>
    <col min="34" max="34" width="8.88671875" customWidth="1"/>
    <col min="35" max="35" width="10.6640625" customWidth="1"/>
    <col min="36" max="36" width="9.6640625" customWidth="1"/>
  </cols>
  <sheetData>
    <row r="1" spans="1:36" s="47" customFormat="1" x14ac:dyDescent="0.3">
      <c r="A1" s="73"/>
      <c r="B1" s="57" t="s">
        <v>277</v>
      </c>
      <c r="C1" s="57" t="s">
        <v>278</v>
      </c>
      <c r="D1" s="57" t="s">
        <v>279</v>
      </c>
      <c r="E1" s="57" t="s">
        <v>280</v>
      </c>
      <c r="F1" s="57" t="s">
        <v>335</v>
      </c>
      <c r="G1" s="57" t="s">
        <v>281</v>
      </c>
      <c r="H1" s="57" t="s">
        <v>282</v>
      </c>
      <c r="I1" s="57" t="s">
        <v>283</v>
      </c>
      <c r="J1" s="57" t="s">
        <v>284</v>
      </c>
      <c r="K1" s="57" t="s">
        <v>285</v>
      </c>
      <c r="L1" s="57" t="s">
        <v>286</v>
      </c>
      <c r="M1" s="57" t="s">
        <v>287</v>
      </c>
      <c r="N1" s="57" t="s">
        <v>288</v>
      </c>
      <c r="O1" s="57" t="s">
        <v>289</v>
      </c>
      <c r="P1" s="57" t="s">
        <v>290</v>
      </c>
      <c r="Q1" s="57" t="s">
        <v>291</v>
      </c>
      <c r="R1" s="57" t="s">
        <v>292</v>
      </c>
      <c r="S1" s="57" t="s">
        <v>293</v>
      </c>
      <c r="T1" s="57" t="s">
        <v>294</v>
      </c>
      <c r="U1" s="57" t="s">
        <v>295</v>
      </c>
      <c r="V1" s="57" t="s">
        <v>296</v>
      </c>
      <c r="W1" s="57" t="s">
        <v>297</v>
      </c>
      <c r="X1" s="57" t="s">
        <v>298</v>
      </c>
      <c r="Y1" s="57" t="s">
        <v>299</v>
      </c>
      <c r="Z1" s="57" t="s">
        <v>300</v>
      </c>
      <c r="AA1" s="57" t="s">
        <v>301</v>
      </c>
      <c r="AB1" s="57" t="s">
        <v>302</v>
      </c>
      <c r="AC1" s="57" t="s">
        <v>303</v>
      </c>
      <c r="AD1" s="57" t="s">
        <v>304</v>
      </c>
      <c r="AE1" s="57" t="s">
        <v>305</v>
      </c>
      <c r="AF1" s="57" t="s">
        <v>306</v>
      </c>
      <c r="AG1" s="57" t="s">
        <v>308</v>
      </c>
      <c r="AH1" s="57" t="s">
        <v>309</v>
      </c>
      <c r="AI1" s="57" t="s">
        <v>310</v>
      </c>
      <c r="AJ1" s="58" t="s">
        <v>311</v>
      </c>
    </row>
    <row r="2" spans="1:36" x14ac:dyDescent="0.3">
      <c r="A2" s="59" t="s">
        <v>277</v>
      </c>
      <c r="B2" s="71">
        <v>1</v>
      </c>
      <c r="C2" s="71">
        <v>0.13527540187415385</v>
      </c>
      <c r="D2" s="71">
        <v>0.96977202880069791</v>
      </c>
      <c r="E2" s="71">
        <v>0.35589753483025277</v>
      </c>
      <c r="F2" s="71">
        <v>0.16124924565379739</v>
      </c>
      <c r="G2" s="71">
        <v>0.97722233076958354</v>
      </c>
      <c r="H2" s="71">
        <v>-1.449320401601064E-2</v>
      </c>
      <c r="I2" s="71">
        <v>-4.6584892851860883E-2</v>
      </c>
      <c r="J2" s="71">
        <v>1.2862663151329383E-2</v>
      </c>
      <c r="K2" s="71">
        <v>0.94628987370417672</v>
      </c>
      <c r="L2" s="71">
        <v>0.26073903675608751</v>
      </c>
      <c r="M2" s="71">
        <v>0.49457320238758828</v>
      </c>
      <c r="N2" s="71">
        <v>0.4639189709647914</v>
      </c>
      <c r="O2" s="71">
        <v>6.2836060973485028E-2</v>
      </c>
      <c r="P2" s="71">
        <v>-0.21640426209146815</v>
      </c>
      <c r="Q2" s="71">
        <v>-9.0635336032576248E-3</v>
      </c>
      <c r="R2" s="71">
        <v>1.4913931623656161E-2</v>
      </c>
      <c r="S2" s="71">
        <v>2.8079855690333944E-2</v>
      </c>
      <c r="T2" s="71">
        <v>2.6124017431624135E-2</v>
      </c>
      <c r="U2" s="71">
        <v>0.97076512601480813</v>
      </c>
      <c r="V2" s="71">
        <v>6.0538478382797904E-2</v>
      </c>
      <c r="W2" s="71">
        <v>-4.7952689664774943E-2</v>
      </c>
      <c r="X2" s="71">
        <v>-0.32752509089851922</v>
      </c>
      <c r="Y2" s="71">
        <v>-0.27190547999426301</v>
      </c>
      <c r="Z2" s="71">
        <v>9.159248576521567E-2</v>
      </c>
      <c r="AA2" s="71">
        <v>6.910504536589296E-3</v>
      </c>
      <c r="AB2" s="71">
        <v>0.28416864648800133</v>
      </c>
      <c r="AC2" s="71">
        <v>-0.15863492837609905</v>
      </c>
      <c r="AD2" s="71">
        <v>-0.3604488108198024</v>
      </c>
      <c r="AE2" s="71">
        <v>-7.2346683570951476E-2</v>
      </c>
      <c r="AF2" s="71">
        <v>-3.1381904490079694E-2</v>
      </c>
      <c r="AG2" s="71">
        <v>-0.24601527197770939</v>
      </c>
      <c r="AH2" s="71">
        <v>3.56556705184028E-2</v>
      </c>
      <c r="AI2" s="71">
        <v>-0.33683675020362197</v>
      </c>
      <c r="AJ2" s="74">
        <v>-0.39727361205218598</v>
      </c>
    </row>
    <row r="3" spans="1:36" x14ac:dyDescent="0.3">
      <c r="A3" s="59" t="s">
        <v>278</v>
      </c>
      <c r="B3" s="71">
        <v>0.13527540187415385</v>
      </c>
      <c r="C3" s="71">
        <v>1</v>
      </c>
      <c r="D3" s="71">
        <v>2.4650458250377663E-2</v>
      </c>
      <c r="E3" s="71">
        <v>0.58024776495450958</v>
      </c>
      <c r="F3" s="71">
        <v>-0.2860722152101749</v>
      </c>
      <c r="G3" s="71">
        <v>1.8306667900004205E-2</v>
      </c>
      <c r="H3" s="71">
        <v>5.2418569297365138E-2</v>
      </c>
      <c r="I3" s="71">
        <v>4.9755894794725829E-2</v>
      </c>
      <c r="J3" s="71">
        <v>-0.10503393599109084</v>
      </c>
      <c r="K3" s="71">
        <v>2.3864408669592295E-2</v>
      </c>
      <c r="L3" s="71">
        <v>0.21277578689403662</v>
      </c>
      <c r="M3" s="71">
        <v>0.16013883594907233</v>
      </c>
      <c r="N3" s="71">
        <v>0.29872284754984746</v>
      </c>
      <c r="O3" s="71">
        <v>4.363950578106051E-2</v>
      </c>
      <c r="P3" s="71">
        <v>1.8708982323119509E-2</v>
      </c>
      <c r="Q3" s="71">
        <v>0.17056495635732583</v>
      </c>
      <c r="R3" s="71">
        <v>0.15278037484335194</v>
      </c>
      <c r="S3" s="71">
        <v>-4.5374670214490098E-2</v>
      </c>
      <c r="T3" s="71">
        <v>-2.9834235562294951E-2</v>
      </c>
      <c r="U3" s="71">
        <v>1.9008266199280959E-2</v>
      </c>
      <c r="V3" s="71">
        <v>9.5470146958090127E-2</v>
      </c>
      <c r="W3" s="71">
        <v>-1.3943121863644337E-4</v>
      </c>
      <c r="X3" s="71">
        <v>-7.3578425846914625E-2</v>
      </c>
      <c r="Y3" s="71">
        <v>1.0150521144727023E-2</v>
      </c>
      <c r="Z3" s="71">
        <v>-0.19672461280140535</v>
      </c>
      <c r="AA3" s="71">
        <v>4.0226035141446001E-2</v>
      </c>
      <c r="AB3" s="71">
        <v>3.3191338248795429E-2</v>
      </c>
      <c r="AC3" s="71">
        <v>-0.31532849461311696</v>
      </c>
      <c r="AD3" s="71">
        <v>-0.18661931694441439</v>
      </c>
      <c r="AE3" s="71">
        <v>-4.5491839780689427E-3</v>
      </c>
      <c r="AF3" s="71">
        <v>-1.9728393433747177E-3</v>
      </c>
      <c r="AG3" s="71">
        <v>-6.044926147232773E-2</v>
      </c>
      <c r="AH3" s="71">
        <v>9.3003469662616453E-2</v>
      </c>
      <c r="AI3" s="71">
        <v>-5.3051443110802017E-2</v>
      </c>
      <c r="AJ3" s="74">
        <v>-0.25926214658562097</v>
      </c>
    </row>
    <row r="4" spans="1:36" x14ac:dyDescent="0.3">
      <c r="A4" s="59" t="s">
        <v>279</v>
      </c>
      <c r="B4" s="71">
        <v>0.96977202880069791</v>
      </c>
      <c r="C4" s="71">
        <v>2.4650458250377663E-2</v>
      </c>
      <c r="D4" s="71">
        <v>0.99999999999999989</v>
      </c>
      <c r="E4" s="71">
        <v>0.27854599632288662</v>
      </c>
      <c r="F4" s="71">
        <v>0.20019699137186095</v>
      </c>
      <c r="G4" s="71">
        <v>0.99580834463663037</v>
      </c>
      <c r="H4" s="71">
        <v>-9.4423398255327542E-3</v>
      </c>
      <c r="I4" s="71">
        <v>-2.8766867295492302E-2</v>
      </c>
      <c r="J4" s="71">
        <v>-2.8833029478827835E-2</v>
      </c>
      <c r="K4" s="71">
        <v>0.97157499824591897</v>
      </c>
      <c r="L4" s="71">
        <v>0.18861522914967915</v>
      </c>
      <c r="M4" s="71">
        <v>0.39479655914991491</v>
      </c>
      <c r="N4" s="71">
        <v>0.38294761056610593</v>
      </c>
      <c r="O4" s="71">
        <v>3.8701048839003348E-2</v>
      </c>
      <c r="P4" s="71">
        <v>-0.17261025602306937</v>
      </c>
      <c r="Q4" s="71">
        <v>-1.8270243075137936E-2</v>
      </c>
      <c r="R4" s="71">
        <v>-1.3924494506134434E-2</v>
      </c>
      <c r="S4" s="71">
        <v>2.9297740406618068E-3</v>
      </c>
      <c r="T4" s="71">
        <v>1.7982689163291633E-2</v>
      </c>
      <c r="U4" s="71">
        <v>0.99381505298559458</v>
      </c>
      <c r="V4" s="71">
        <v>4.2503952439158034E-2</v>
      </c>
      <c r="W4" s="71">
        <v>-4.4867761872981575E-2</v>
      </c>
      <c r="X4" s="71">
        <v>-0.25506751248759885</v>
      </c>
      <c r="Y4" s="71">
        <v>-0.21948987889799654</v>
      </c>
      <c r="Z4" s="71">
        <v>6.9041459724298093E-2</v>
      </c>
      <c r="AA4" s="71">
        <v>-1.0655964839181803E-2</v>
      </c>
      <c r="AB4" s="71">
        <v>0.27170990175589149</v>
      </c>
      <c r="AC4" s="71">
        <v>-0.14214600202006175</v>
      </c>
      <c r="AD4" s="71">
        <v>-0.27803987315831225</v>
      </c>
      <c r="AE4" s="71">
        <v>-7.2007532180126788E-2</v>
      </c>
      <c r="AF4" s="71">
        <v>-3.311479091757448E-2</v>
      </c>
      <c r="AG4" s="71">
        <v>-0.17594522296239004</v>
      </c>
      <c r="AH4" s="71">
        <v>6.3776575825524498E-2</v>
      </c>
      <c r="AI4" s="71">
        <v>-0.26924209217694683</v>
      </c>
      <c r="AJ4" s="74">
        <v>-0.32141333236072833</v>
      </c>
    </row>
    <row r="5" spans="1:36" x14ac:dyDescent="0.3">
      <c r="A5" s="59" t="s">
        <v>280</v>
      </c>
      <c r="B5" s="71">
        <v>0.35589753483025277</v>
      </c>
      <c r="C5" s="71">
        <v>0.58024776495450958</v>
      </c>
      <c r="D5" s="71">
        <v>0.27854599632288662</v>
      </c>
      <c r="E5" s="71">
        <v>1</v>
      </c>
      <c r="F5" s="71">
        <v>0.38981079478647451</v>
      </c>
      <c r="G5" s="71">
        <v>0.27493729974375553</v>
      </c>
      <c r="H5" s="71">
        <v>-2.2185485730520978E-2</v>
      </c>
      <c r="I5" s="71">
        <v>-5.2327048149149166E-2</v>
      </c>
      <c r="J5" s="71">
        <v>-5.6340362533239624E-2</v>
      </c>
      <c r="K5" s="71">
        <v>0.27961773744068097</v>
      </c>
      <c r="L5" s="71">
        <v>0.30757241647129829</v>
      </c>
      <c r="M5" s="71">
        <v>0.34937327741813601</v>
      </c>
      <c r="N5" s="71">
        <v>0.50448158912320629</v>
      </c>
      <c r="O5" s="71">
        <v>2.3575403837939431E-2</v>
      </c>
      <c r="P5" s="71">
        <v>-0.11779237787796887</v>
      </c>
      <c r="Q5" s="71">
        <v>3.7876440022488647E-2</v>
      </c>
      <c r="R5" s="71">
        <v>-1.0621280246758697E-2</v>
      </c>
      <c r="S5" s="71">
        <v>3.5879153485457435E-2</v>
      </c>
      <c r="T5" s="71">
        <v>-0.11516389779505212</v>
      </c>
      <c r="U5" s="71">
        <v>0.2711775046129512</v>
      </c>
      <c r="V5" s="71">
        <v>0.13647383907082003</v>
      </c>
      <c r="W5" s="71">
        <v>-0.11058205631975823</v>
      </c>
      <c r="X5" s="71">
        <v>-0.21110140732644933</v>
      </c>
      <c r="Y5" s="71">
        <v>-0.3079585180679531</v>
      </c>
      <c r="Z5" s="71">
        <v>-0.1976318428507082</v>
      </c>
      <c r="AA5" s="71">
        <v>-0.11761214922667752</v>
      </c>
      <c r="AB5" s="71">
        <v>0.40893681781444913</v>
      </c>
      <c r="AC5" s="71">
        <v>-0.4242201842292328</v>
      </c>
      <c r="AD5" s="71">
        <v>-0.42340287500249257</v>
      </c>
      <c r="AE5" s="71">
        <v>9.341686515721892E-2</v>
      </c>
      <c r="AF5" s="71">
        <v>-7.6410959706741069E-2</v>
      </c>
      <c r="AG5" s="71">
        <v>-7.2657294473186709E-2</v>
      </c>
      <c r="AH5" s="71">
        <v>0.16777407457864718</v>
      </c>
      <c r="AI5" s="71">
        <v>-9.0165563816304015E-2</v>
      </c>
      <c r="AJ5" s="74">
        <v>-0.37924522715477027</v>
      </c>
    </row>
    <row r="6" spans="1:36" x14ac:dyDescent="0.3">
      <c r="A6" s="59" t="s">
        <v>335</v>
      </c>
      <c r="B6" s="71">
        <v>0.16124924565379739</v>
      </c>
      <c r="C6" s="71">
        <v>-0.2860722152101749</v>
      </c>
      <c r="D6" s="71">
        <v>0.20019699137186095</v>
      </c>
      <c r="E6" s="71">
        <v>0.38981079478647451</v>
      </c>
      <c r="F6" s="71">
        <v>1</v>
      </c>
      <c r="G6" s="71">
        <v>0.19802281621065745</v>
      </c>
      <c r="H6" s="71">
        <v>-6.7700724405355572E-2</v>
      </c>
      <c r="I6" s="71">
        <v>-7.3362920801205753E-2</v>
      </c>
      <c r="J6" s="71">
        <v>4.9998660965727158E-2</v>
      </c>
      <c r="K6" s="71">
        <v>0.1943424008692779</v>
      </c>
      <c r="L6" s="71">
        <v>6.4667475312035844E-2</v>
      </c>
      <c r="M6" s="71">
        <v>0.11760945806301386</v>
      </c>
      <c r="N6" s="71">
        <v>0.10464007050800522</v>
      </c>
      <c r="O6" s="71">
        <v>-7.9012933420906192E-2</v>
      </c>
      <c r="P6" s="71">
        <v>-8.1318547762500415E-2</v>
      </c>
      <c r="Q6" s="71">
        <v>-0.13830721372511867</v>
      </c>
      <c r="R6" s="71">
        <v>-0.19656764821783884</v>
      </c>
      <c r="S6" s="71">
        <v>7.6560838697148831E-2</v>
      </c>
      <c r="T6" s="71">
        <v>-2.4697437720415678E-2</v>
      </c>
      <c r="U6" s="71">
        <v>0.19306209168027122</v>
      </c>
      <c r="V6" s="71">
        <v>4.4916446203091126E-2</v>
      </c>
      <c r="W6" s="71">
        <v>-0.18624662853419294</v>
      </c>
      <c r="X6" s="71">
        <v>-2.0661272622579149E-2</v>
      </c>
      <c r="Y6" s="71">
        <v>-0.19962510239864339</v>
      </c>
      <c r="Z6" s="71">
        <v>-9.5219940388297244E-2</v>
      </c>
      <c r="AA6" s="71">
        <v>-0.17532836726709333</v>
      </c>
      <c r="AB6" s="71">
        <v>0.27911315842558082</v>
      </c>
      <c r="AC6" s="71">
        <v>-9.5774080798778652E-2</v>
      </c>
      <c r="AD6" s="71">
        <v>-0.17606747090019015</v>
      </c>
      <c r="AE6" s="71">
        <v>0.16539675628508424</v>
      </c>
      <c r="AF6" s="71">
        <v>-0.11724493382972215</v>
      </c>
      <c r="AG6" s="71">
        <v>3.1694277652885558E-2</v>
      </c>
      <c r="AH6" s="71">
        <v>7.3006383227339641E-2</v>
      </c>
      <c r="AI6" s="71">
        <v>5.1185167745274339E-2</v>
      </c>
      <c r="AJ6" s="74">
        <v>-8.0581092649339242E-2</v>
      </c>
    </row>
    <row r="7" spans="1:36" x14ac:dyDescent="0.3">
      <c r="A7" s="59" t="s">
        <v>281</v>
      </c>
      <c r="B7" s="71">
        <v>0.97722233076958354</v>
      </c>
      <c r="C7" s="71">
        <v>1.8306667900004205E-2</v>
      </c>
      <c r="D7" s="71">
        <v>0.99580834463663037</v>
      </c>
      <c r="E7" s="71">
        <v>0.27493729974375553</v>
      </c>
      <c r="F7" s="71">
        <v>0.19802281621065745</v>
      </c>
      <c r="G7" s="71">
        <v>0.99999999999999989</v>
      </c>
      <c r="H7" s="71">
        <v>-1.3481104027923383E-2</v>
      </c>
      <c r="I7" s="71">
        <v>-3.7896192100442067E-2</v>
      </c>
      <c r="J7" s="71">
        <v>5.2567487828057702E-3</v>
      </c>
      <c r="K7" s="71">
        <v>0.96929444551282906</v>
      </c>
      <c r="L7" s="71">
        <v>0.20223991017978693</v>
      </c>
      <c r="M7" s="71">
        <v>0.42826517561846594</v>
      </c>
      <c r="N7" s="71">
        <v>0.40978191332156683</v>
      </c>
      <c r="O7" s="71">
        <v>2.7348832973876781E-2</v>
      </c>
      <c r="P7" s="71">
        <v>-0.20552123609845072</v>
      </c>
      <c r="Q7" s="71">
        <v>-3.6652779697924083E-2</v>
      </c>
      <c r="R7" s="71">
        <v>-2.3061553558360499E-2</v>
      </c>
      <c r="S7" s="71">
        <v>1.6174597193928605E-2</v>
      </c>
      <c r="T7" s="71">
        <v>9.6286309369005407E-3</v>
      </c>
      <c r="U7" s="71">
        <v>0.99617218508877592</v>
      </c>
      <c r="V7" s="71">
        <v>4.566251743583731E-2</v>
      </c>
      <c r="W7" s="71">
        <v>-5.7519254436428344E-2</v>
      </c>
      <c r="X7" s="71">
        <v>-0.28483183713662519</v>
      </c>
      <c r="Y7" s="71">
        <v>-0.25249883007676871</v>
      </c>
      <c r="Z7" s="71">
        <v>7.2236709897365789E-2</v>
      </c>
      <c r="AA7" s="71">
        <v>-2.3506463556945585E-2</v>
      </c>
      <c r="AB7" s="71">
        <v>0.28482089514011527</v>
      </c>
      <c r="AC7" s="71">
        <v>-0.13600059237162096</v>
      </c>
      <c r="AD7" s="71">
        <v>-0.30408730079054774</v>
      </c>
      <c r="AE7" s="71">
        <v>-6.9071570267712754E-2</v>
      </c>
      <c r="AF7" s="71">
        <v>-3.5723862793658578E-2</v>
      </c>
      <c r="AG7" s="71">
        <v>-0.19592997852442459</v>
      </c>
      <c r="AH7" s="71">
        <v>5.8657839537781357E-2</v>
      </c>
      <c r="AI7" s="71">
        <v>-0.29475341400133431</v>
      </c>
      <c r="AJ7" s="74">
        <v>-0.34251769892288159</v>
      </c>
    </row>
    <row r="8" spans="1:36" x14ac:dyDescent="0.3">
      <c r="A8" s="59" t="s">
        <v>282</v>
      </c>
      <c r="B8" s="71">
        <v>-1.449320401601064E-2</v>
      </c>
      <c r="C8" s="71">
        <v>5.2418569297365138E-2</v>
      </c>
      <c r="D8" s="71">
        <v>-9.4423398255327542E-3</v>
      </c>
      <c r="E8" s="71">
        <v>-2.2185485730520978E-2</v>
      </c>
      <c r="F8" s="71">
        <v>-6.7700724405355572E-2</v>
      </c>
      <c r="G8" s="71">
        <v>-1.3481104027923383E-2</v>
      </c>
      <c r="H8" s="71">
        <v>1.0000000000000002</v>
      </c>
      <c r="I8" s="71">
        <v>0.95737267279594285</v>
      </c>
      <c r="J8" s="71">
        <v>-5.2633215425317362E-2</v>
      </c>
      <c r="K8" s="71">
        <v>-8.8664098883741108E-3</v>
      </c>
      <c r="L8" s="71">
        <v>1.1093163830249513E-2</v>
      </c>
      <c r="M8" s="71">
        <v>0.11083007117956159</v>
      </c>
      <c r="N8" s="71">
        <v>-4.9192328064672955E-2</v>
      </c>
      <c r="O8" s="71">
        <v>0.11486945405147203</v>
      </c>
      <c r="P8" s="71">
        <v>-5.4457841439662924E-2</v>
      </c>
      <c r="Q8" s="71">
        <v>-6.7744247215445863E-2</v>
      </c>
      <c r="R8" s="71">
        <v>2.4972512952948583E-2</v>
      </c>
      <c r="S8" s="71">
        <v>4.8182911086751344E-2</v>
      </c>
      <c r="T8" s="71">
        <v>5.4374600910422947E-2</v>
      </c>
      <c r="U8" s="71">
        <v>-8.3626806995113143E-3</v>
      </c>
      <c r="V8" s="71">
        <v>0.30779080970346556</v>
      </c>
      <c r="W8" s="71">
        <v>-7.5759317717892433E-2</v>
      </c>
      <c r="X8" s="71">
        <v>-0.1296352153826375</v>
      </c>
      <c r="Y8" s="71">
        <v>-2.8628510556195461E-2</v>
      </c>
      <c r="Z8" s="71">
        <v>-7.8667861382241938E-2</v>
      </c>
      <c r="AA8" s="71">
        <v>0.12991957819361452</v>
      </c>
      <c r="AB8" s="71">
        <v>-4.8626285452235518E-2</v>
      </c>
      <c r="AC8" s="71">
        <v>5.0232590306964336E-2</v>
      </c>
      <c r="AD8" s="71">
        <v>5.8316348507474046E-2</v>
      </c>
      <c r="AE8" s="71">
        <v>-7.5257425139014969E-2</v>
      </c>
      <c r="AF8" s="71">
        <v>-1.1908260105799076E-2</v>
      </c>
      <c r="AG8" s="71">
        <v>-0.22861732301006063</v>
      </c>
      <c r="AH8" s="71">
        <v>-0.1181524046276831</v>
      </c>
      <c r="AI8" s="71">
        <v>-0.21175036125105701</v>
      </c>
      <c r="AJ8" s="74">
        <v>-0.21069418009521809</v>
      </c>
    </row>
    <row r="9" spans="1:36" x14ac:dyDescent="0.3">
      <c r="A9" s="59" t="s">
        <v>283</v>
      </c>
      <c r="B9" s="71">
        <v>-4.6584892851860883E-2</v>
      </c>
      <c r="C9" s="71">
        <v>4.9755894794725829E-2</v>
      </c>
      <c r="D9" s="71">
        <v>-2.8766867295492302E-2</v>
      </c>
      <c r="E9" s="71">
        <v>-5.2327048149149166E-2</v>
      </c>
      <c r="F9" s="71">
        <v>-7.3362920801205753E-2</v>
      </c>
      <c r="G9" s="71">
        <v>-3.7896192100442067E-2</v>
      </c>
      <c r="H9" s="71">
        <v>0.95737267279594285</v>
      </c>
      <c r="I9" s="71">
        <v>1.0000000000000002</v>
      </c>
      <c r="J9" s="71">
        <v>-0.10445372915922553</v>
      </c>
      <c r="K9" s="71">
        <v>-2.7583470596202041E-2</v>
      </c>
      <c r="L9" s="71">
        <v>-4.477544876197817E-2</v>
      </c>
      <c r="M9" s="71">
        <v>5.1446880885819841E-2</v>
      </c>
      <c r="N9" s="71">
        <v>-0.11759929012106056</v>
      </c>
      <c r="O9" s="71">
        <v>4.7024945158612802E-2</v>
      </c>
      <c r="P9" s="71">
        <v>-5.0904652066873146E-3</v>
      </c>
      <c r="Q9" s="71">
        <v>-3.0364739177443971E-2</v>
      </c>
      <c r="R9" s="71">
        <v>3.0615750998280202E-2</v>
      </c>
      <c r="S9" s="71">
        <v>4.6885368070577874E-2</v>
      </c>
      <c r="T9" s="71">
        <v>4.4750402279608588E-2</v>
      </c>
      <c r="U9" s="71">
        <v>-3.1684065854457544E-2</v>
      </c>
      <c r="V9" s="71">
        <v>0.26022225581284714</v>
      </c>
      <c r="W9" s="71">
        <v>-9.8362057746502501E-2</v>
      </c>
      <c r="X9" s="71">
        <v>-4.8852680933628705E-2</v>
      </c>
      <c r="Y9" s="71">
        <v>-1.5874171061543197E-2</v>
      </c>
      <c r="Z9" s="71">
        <v>-0.12049136975590954</v>
      </c>
      <c r="AA9" s="71">
        <v>7.5547263940840464E-2</v>
      </c>
      <c r="AB9" s="71">
        <v>-5.8204136071027548E-2</v>
      </c>
      <c r="AC9" s="71">
        <v>3.325326096758735E-2</v>
      </c>
      <c r="AD9" s="71">
        <v>9.261356984285779E-2</v>
      </c>
      <c r="AE9" s="71">
        <v>-3.4329414855635572E-2</v>
      </c>
      <c r="AF9" s="71">
        <v>-3.9266117368513723E-2</v>
      </c>
      <c r="AG9" s="71">
        <v>-0.16063899132027373</v>
      </c>
      <c r="AH9" s="71">
        <v>-6.5289561110074862E-2</v>
      </c>
      <c r="AI9" s="71">
        <v>-0.17244772873611935</v>
      </c>
      <c r="AJ9" s="74">
        <v>-0.15647489262171707</v>
      </c>
    </row>
    <row r="10" spans="1:36" x14ac:dyDescent="0.3">
      <c r="A10" s="59" t="s">
        <v>284</v>
      </c>
      <c r="B10" s="71">
        <v>1.2862663151329383E-2</v>
      </c>
      <c r="C10" s="71">
        <v>-0.10503393599109084</v>
      </c>
      <c r="D10" s="71">
        <v>-2.8833029478827835E-2</v>
      </c>
      <c r="E10" s="71">
        <v>-5.6340362533239624E-2</v>
      </c>
      <c r="F10" s="71">
        <v>4.9998660965727158E-2</v>
      </c>
      <c r="G10" s="71">
        <v>5.2567487828057702E-3</v>
      </c>
      <c r="H10" s="71">
        <v>-5.2633215425317362E-2</v>
      </c>
      <c r="I10" s="71">
        <v>-0.10445372915922553</v>
      </c>
      <c r="J10" s="71">
        <v>1</v>
      </c>
      <c r="K10" s="71">
        <v>-0.10708824269831933</v>
      </c>
      <c r="L10" s="71">
        <v>-8.4882657757565524E-2</v>
      </c>
      <c r="M10" s="71">
        <v>-5.9793668188809476E-2</v>
      </c>
      <c r="N10" s="71">
        <v>-7.4430984890034899E-2</v>
      </c>
      <c r="O10" s="71">
        <v>-0.18710998374582383</v>
      </c>
      <c r="P10" s="71">
        <v>-0.27640273642832297</v>
      </c>
      <c r="Q10" s="71">
        <v>1.9608171539934795E-2</v>
      </c>
      <c r="R10" s="71">
        <v>6.5457443072164265E-2</v>
      </c>
      <c r="S10" s="71">
        <v>0.10365359025766124</v>
      </c>
      <c r="T10" s="71">
        <v>1.8815029252549385E-2</v>
      </c>
      <c r="U10" s="71">
        <v>-2.4912567107818771E-2</v>
      </c>
      <c r="V10" s="71">
        <v>-7.5090649608021948E-2</v>
      </c>
      <c r="W10" s="71">
        <v>-5.5505252354994809E-2</v>
      </c>
      <c r="X10" s="71">
        <v>-4.7345422859851237E-2</v>
      </c>
      <c r="Y10" s="71">
        <v>-0.23140201886157644</v>
      </c>
      <c r="Z10" s="71">
        <v>9.5901968406915575E-2</v>
      </c>
      <c r="AA10" s="71">
        <v>-6.966920236196622E-2</v>
      </c>
      <c r="AB10" s="71">
        <v>-0.18892174488057781</v>
      </c>
      <c r="AC10" s="71">
        <v>0.22738111734976943</v>
      </c>
      <c r="AD10" s="71">
        <v>6.4190617533946351E-2</v>
      </c>
      <c r="AE10" s="71">
        <v>1.5715825338274741E-2</v>
      </c>
      <c r="AF10" s="71">
        <v>-9.653933700794844E-3</v>
      </c>
      <c r="AG10" s="71">
        <v>0.11647987129082267</v>
      </c>
      <c r="AH10" s="71">
        <v>2.1681508459215008E-2</v>
      </c>
      <c r="AI10" s="71">
        <v>7.5868337348293596E-2</v>
      </c>
      <c r="AJ10" s="74">
        <v>0.1969638666176888</v>
      </c>
    </row>
    <row r="11" spans="1:36" x14ac:dyDescent="0.3">
      <c r="A11" s="59" t="s">
        <v>285</v>
      </c>
      <c r="B11" s="71">
        <v>0.94628987370417672</v>
      </c>
      <c r="C11" s="71">
        <v>2.3864408669592295E-2</v>
      </c>
      <c r="D11" s="71">
        <v>0.97157499824591897</v>
      </c>
      <c r="E11" s="71">
        <v>0.27961773744068097</v>
      </c>
      <c r="F11" s="71">
        <v>0.1943424008692779</v>
      </c>
      <c r="G11" s="71">
        <v>0.96929444551282906</v>
      </c>
      <c r="H11" s="71">
        <v>-8.8664098883741108E-3</v>
      </c>
      <c r="I11" s="71">
        <v>-2.7583470596202041E-2</v>
      </c>
      <c r="J11" s="71">
        <v>-0.10708824269831933</v>
      </c>
      <c r="K11" s="71">
        <v>1</v>
      </c>
      <c r="L11" s="71">
        <v>0.26280681495589092</v>
      </c>
      <c r="M11" s="71">
        <v>0.42400499287745563</v>
      </c>
      <c r="N11" s="71">
        <v>0.42244246890202708</v>
      </c>
      <c r="O11" s="71">
        <v>7.6830348502311976E-2</v>
      </c>
      <c r="P11" s="71">
        <v>-0.15152205405420768</v>
      </c>
      <c r="Q11" s="71">
        <v>-3.9289481372210201E-2</v>
      </c>
      <c r="R11" s="71">
        <v>-2.3793097538747136E-2</v>
      </c>
      <c r="S11" s="71">
        <v>-6.929019372072175E-3</v>
      </c>
      <c r="T11" s="71">
        <v>1.7840803240972591E-2</v>
      </c>
      <c r="U11" s="71">
        <v>0.97579897451752962</v>
      </c>
      <c r="V11" s="71">
        <v>6.496309373477463E-2</v>
      </c>
      <c r="W11" s="71">
        <v>-4.4851219820010849E-2</v>
      </c>
      <c r="X11" s="71">
        <v>-0.28991875119970584</v>
      </c>
      <c r="Y11" s="71">
        <v>-0.21933958155206415</v>
      </c>
      <c r="Z11" s="71">
        <v>4.4731949343629424E-2</v>
      </c>
      <c r="AA11" s="71">
        <v>-4.154719913436208E-3</v>
      </c>
      <c r="AB11" s="71">
        <v>0.33621671016053462</v>
      </c>
      <c r="AC11" s="71">
        <v>-0.18064864022295957</v>
      </c>
      <c r="AD11" s="71">
        <v>-0.32522024866471416</v>
      </c>
      <c r="AE11" s="71">
        <v>-3.5297123805267061E-2</v>
      </c>
      <c r="AF11" s="71">
        <v>-1.6479783436086939E-2</v>
      </c>
      <c r="AG11" s="71">
        <v>-0.20768238743286974</v>
      </c>
      <c r="AH11" s="71">
        <v>5.2496111469187139E-2</v>
      </c>
      <c r="AI11" s="71">
        <v>-0.29852057885984024</v>
      </c>
      <c r="AJ11" s="74">
        <v>-0.35874497839601355</v>
      </c>
    </row>
    <row r="12" spans="1:36" x14ac:dyDescent="0.3">
      <c r="A12" s="59" t="s">
        <v>286</v>
      </c>
      <c r="B12" s="71">
        <v>0.26073903675608751</v>
      </c>
      <c r="C12" s="71">
        <v>0.21277578689403662</v>
      </c>
      <c r="D12" s="71">
        <v>0.18861522914967915</v>
      </c>
      <c r="E12" s="71">
        <v>0.30757241647129829</v>
      </c>
      <c r="F12" s="71">
        <v>6.4667475312035844E-2</v>
      </c>
      <c r="G12" s="71">
        <v>0.20223991017978693</v>
      </c>
      <c r="H12" s="71">
        <v>1.1093163830249513E-2</v>
      </c>
      <c r="I12" s="71">
        <v>-4.477544876197817E-2</v>
      </c>
      <c r="J12" s="71">
        <v>-8.4882657757565524E-2</v>
      </c>
      <c r="K12" s="71">
        <v>0.26280681495589092</v>
      </c>
      <c r="L12" s="71">
        <v>1</v>
      </c>
      <c r="M12" s="71">
        <v>0.50503825256598445</v>
      </c>
      <c r="N12" s="71">
        <v>0.71398127378426901</v>
      </c>
      <c r="O12" s="71">
        <v>0.39480447909619132</v>
      </c>
      <c r="P12" s="71">
        <v>0.15253758924443303</v>
      </c>
      <c r="Q12" s="71">
        <v>-1.2244841505088262E-3</v>
      </c>
      <c r="R12" s="71">
        <v>5.7932543198261924E-2</v>
      </c>
      <c r="S12" s="71">
        <v>6.2077667247531609E-2</v>
      </c>
      <c r="T12" s="71">
        <v>-4.0692003018036459E-2</v>
      </c>
      <c r="U12" s="71">
        <v>0.23326087856020139</v>
      </c>
      <c r="V12" s="71">
        <v>0.26726394561826683</v>
      </c>
      <c r="W12" s="71">
        <v>-5.1030746658414929E-2</v>
      </c>
      <c r="X12" s="71">
        <v>-0.28917375649248539</v>
      </c>
      <c r="Y12" s="71">
        <v>-0.18037333421440332</v>
      </c>
      <c r="Z12" s="71">
        <v>4.2941567847274761E-3</v>
      </c>
      <c r="AA12" s="71">
        <v>0.25383532949525667</v>
      </c>
      <c r="AB12" s="71">
        <v>0.49841859907183816</v>
      </c>
      <c r="AC12" s="71">
        <v>-0.28811854043344198</v>
      </c>
      <c r="AD12" s="71">
        <v>-0.3823111987989033</v>
      </c>
      <c r="AE12" s="71">
        <v>-6.8594063861595229E-3</v>
      </c>
      <c r="AF12" s="71">
        <v>9.0769533321871362E-2</v>
      </c>
      <c r="AG12" s="71">
        <v>-0.28120591745620777</v>
      </c>
      <c r="AH12" s="71">
        <v>7.5630774778891628E-3</v>
      </c>
      <c r="AI12" s="71">
        <v>-0.30065994300941173</v>
      </c>
      <c r="AJ12" s="74">
        <v>-0.47141530718371732</v>
      </c>
    </row>
    <row r="13" spans="1:36" x14ac:dyDescent="0.3">
      <c r="A13" s="59" t="s">
        <v>287</v>
      </c>
      <c r="B13" s="71">
        <v>0.49457320238758828</v>
      </c>
      <c r="C13" s="71">
        <v>0.16013883594907233</v>
      </c>
      <c r="D13" s="71">
        <v>0.39479655914991491</v>
      </c>
      <c r="E13" s="71">
        <v>0.34937327741813601</v>
      </c>
      <c r="F13" s="71">
        <v>0.11760945806301386</v>
      </c>
      <c r="G13" s="71">
        <v>0.42826517561846594</v>
      </c>
      <c r="H13" s="71">
        <v>0.11083007117956159</v>
      </c>
      <c r="I13" s="71">
        <v>5.1446880885819841E-2</v>
      </c>
      <c r="J13" s="71">
        <v>-5.9793668188809476E-2</v>
      </c>
      <c r="K13" s="71">
        <v>0.42400499287745563</v>
      </c>
      <c r="L13" s="71">
        <v>0.50503825256598445</v>
      </c>
      <c r="M13" s="71">
        <v>0.99999999999999989</v>
      </c>
      <c r="N13" s="71">
        <v>0.68155738658268239</v>
      </c>
      <c r="O13" s="71">
        <v>0.33157556032584107</v>
      </c>
      <c r="P13" s="71">
        <v>-0.30407496489045965</v>
      </c>
      <c r="Q13" s="71">
        <v>-5.6662487445613696E-2</v>
      </c>
      <c r="R13" s="71">
        <v>4.0187697031847894E-2</v>
      </c>
      <c r="S13" s="71">
        <v>0.16853346247634313</v>
      </c>
      <c r="T13" s="71">
        <v>-2.6797212245253759E-2</v>
      </c>
      <c r="U13" s="71">
        <v>0.4400470888144638</v>
      </c>
      <c r="V13" s="71">
        <v>0.19032185527823728</v>
      </c>
      <c r="W13" s="71">
        <v>-9.8079078904523276E-2</v>
      </c>
      <c r="X13" s="71">
        <v>-0.59245115608896581</v>
      </c>
      <c r="Y13" s="71">
        <v>-0.24596367598115182</v>
      </c>
      <c r="Z13" s="71">
        <v>0.20982181704771766</v>
      </c>
      <c r="AA13" s="71">
        <v>0.25366913268842828</v>
      </c>
      <c r="AB13" s="71">
        <v>0.39018444963144372</v>
      </c>
      <c r="AC13" s="71">
        <v>-0.15451893473300796</v>
      </c>
      <c r="AD13" s="71">
        <v>-0.57883953708977154</v>
      </c>
      <c r="AE13" s="71">
        <v>3.9361737064680886E-2</v>
      </c>
      <c r="AF13" s="71">
        <v>-2.0890672402861885E-2</v>
      </c>
      <c r="AG13" s="71">
        <v>-0.67310220747940608</v>
      </c>
      <c r="AH13" s="71">
        <v>-0.20194562975969826</v>
      </c>
      <c r="AI13" s="71">
        <v>-0.74803456037477623</v>
      </c>
      <c r="AJ13" s="74">
        <v>-0.75074318622526615</v>
      </c>
    </row>
    <row r="14" spans="1:36" x14ac:dyDescent="0.3">
      <c r="A14" s="59" t="s">
        <v>288</v>
      </c>
      <c r="B14" s="71">
        <v>0.4639189709647914</v>
      </c>
      <c r="C14" s="71">
        <v>0.29872284754984746</v>
      </c>
      <c r="D14" s="71">
        <v>0.38294761056610593</v>
      </c>
      <c r="E14" s="71">
        <v>0.50448158912320629</v>
      </c>
      <c r="F14" s="71">
        <v>0.10464007050800522</v>
      </c>
      <c r="G14" s="71">
        <v>0.40978191332156683</v>
      </c>
      <c r="H14" s="71">
        <v>-4.9192328064672955E-2</v>
      </c>
      <c r="I14" s="71">
        <v>-0.11759929012106056</v>
      </c>
      <c r="J14" s="71">
        <v>-7.4430984890034899E-2</v>
      </c>
      <c r="K14" s="71">
        <v>0.42244246890202708</v>
      </c>
      <c r="L14" s="71">
        <v>0.71398127378426901</v>
      </c>
      <c r="M14" s="71">
        <v>0.68155738658268239</v>
      </c>
      <c r="N14" s="71">
        <v>0.99999999999999978</v>
      </c>
      <c r="O14" s="71">
        <v>0.31376398785359128</v>
      </c>
      <c r="P14" s="71">
        <v>-7.6156120546680903E-2</v>
      </c>
      <c r="Q14" s="71">
        <v>-4.6822758525176505E-2</v>
      </c>
      <c r="R14" s="71">
        <v>3.981484237049005E-3</v>
      </c>
      <c r="S14" s="71">
        <v>0.19384200433162616</v>
      </c>
      <c r="T14" s="71">
        <v>-6.2202611452661927E-2</v>
      </c>
      <c r="U14" s="71">
        <v>0.43059499260365625</v>
      </c>
      <c r="V14" s="71">
        <v>0.17319940657825442</v>
      </c>
      <c r="W14" s="71">
        <v>-0.16821292651534792</v>
      </c>
      <c r="X14" s="71">
        <v>-0.35774685329440686</v>
      </c>
      <c r="Y14" s="71">
        <v>-0.3012252827130022</v>
      </c>
      <c r="Z14" s="71">
        <v>0.1149368239362385</v>
      </c>
      <c r="AA14" s="71">
        <v>0.18337316395337322</v>
      </c>
      <c r="AB14" s="71">
        <v>0.51178450793500396</v>
      </c>
      <c r="AC14" s="71">
        <v>-0.39716644938874363</v>
      </c>
      <c r="AD14" s="71">
        <v>-0.56792310720780592</v>
      </c>
      <c r="AE14" s="71">
        <v>1.8185868852318269E-2</v>
      </c>
      <c r="AF14" s="71">
        <v>1.661462455440936E-2</v>
      </c>
      <c r="AG14" s="71">
        <v>-0.37343389478366912</v>
      </c>
      <c r="AH14" s="71">
        <v>1.5475553612641585E-2</v>
      </c>
      <c r="AI14" s="71">
        <v>-0.42117960225614365</v>
      </c>
      <c r="AJ14" s="74">
        <v>-0.61733413477624732</v>
      </c>
    </row>
    <row r="15" spans="1:36" x14ac:dyDescent="0.3">
      <c r="A15" s="59" t="s">
        <v>289</v>
      </c>
      <c r="B15" s="71">
        <v>6.2836060973485028E-2</v>
      </c>
      <c r="C15" s="71">
        <v>4.363950578106051E-2</v>
      </c>
      <c r="D15" s="71">
        <v>3.8701048839003348E-2</v>
      </c>
      <c r="E15" s="71">
        <v>2.3575403837939431E-2</v>
      </c>
      <c r="F15" s="71">
        <v>-7.9012933420906192E-2</v>
      </c>
      <c r="G15" s="71">
        <v>2.7348832973876781E-2</v>
      </c>
      <c r="H15" s="71">
        <v>0.11486945405147203</v>
      </c>
      <c r="I15" s="71">
        <v>4.7024945158612802E-2</v>
      </c>
      <c r="J15" s="71">
        <v>-0.18710998374582383</v>
      </c>
      <c r="K15" s="71">
        <v>7.6830348502311976E-2</v>
      </c>
      <c r="L15" s="71">
        <v>0.39480447909619132</v>
      </c>
      <c r="M15" s="71">
        <v>0.33157556032584107</v>
      </c>
      <c r="N15" s="71">
        <v>0.31376398785359128</v>
      </c>
      <c r="O15" s="71">
        <v>0.99999999999999978</v>
      </c>
      <c r="P15" s="71">
        <v>0.28158688881550975</v>
      </c>
      <c r="Q15" s="71">
        <v>4.3759837334022653E-2</v>
      </c>
      <c r="R15" s="71">
        <v>9.3391557893165542E-2</v>
      </c>
      <c r="S15" s="71">
        <v>-3.9505428421609604E-3</v>
      </c>
      <c r="T15" s="71">
        <v>-5.1682414214874801E-2</v>
      </c>
      <c r="U15" s="71">
        <v>6.6631151081627163E-2</v>
      </c>
      <c r="V15" s="71">
        <v>5.0106527804382468E-2</v>
      </c>
      <c r="W15" s="71">
        <v>8.938858016762756E-2</v>
      </c>
      <c r="X15" s="71">
        <v>-0.23365802194573251</v>
      </c>
      <c r="Y15" s="71">
        <v>0.25137816583916672</v>
      </c>
      <c r="Z15" s="71">
        <v>0.40970768762649556</v>
      </c>
      <c r="AA15" s="71">
        <v>0.67747275143338614</v>
      </c>
      <c r="AB15" s="71">
        <v>1.7987999357054165E-2</v>
      </c>
      <c r="AC15" s="71">
        <v>3.7283115675796147E-2</v>
      </c>
      <c r="AD15" s="71">
        <v>-0.16011542633972045</v>
      </c>
      <c r="AE15" s="71">
        <v>-2.3226002951427148E-2</v>
      </c>
      <c r="AF15" s="71">
        <v>0.1028851888927078</v>
      </c>
      <c r="AG15" s="71">
        <v>-0.35863029576094052</v>
      </c>
      <c r="AH15" s="71">
        <v>-0.24246316606367216</v>
      </c>
      <c r="AI15" s="71">
        <v>-0.2851639870937257</v>
      </c>
      <c r="AJ15" s="74">
        <v>-0.2764911832395931</v>
      </c>
    </row>
    <row r="16" spans="1:36" x14ac:dyDescent="0.3">
      <c r="A16" s="59" t="s">
        <v>290</v>
      </c>
      <c r="B16" s="71">
        <v>-0.21640426209146815</v>
      </c>
      <c r="C16" s="71">
        <v>1.8708982323119509E-2</v>
      </c>
      <c r="D16" s="71">
        <v>-0.17261025602306937</v>
      </c>
      <c r="E16" s="71">
        <v>-0.11779237787796887</v>
      </c>
      <c r="F16" s="71">
        <v>-8.1318547762500415E-2</v>
      </c>
      <c r="G16" s="71">
        <v>-0.20552123609845072</v>
      </c>
      <c r="H16" s="71">
        <v>-5.4457841439662924E-2</v>
      </c>
      <c r="I16" s="71">
        <v>-5.0904652066873146E-3</v>
      </c>
      <c r="J16" s="71">
        <v>-0.27640273642832297</v>
      </c>
      <c r="K16" s="71">
        <v>-0.15152205405420768</v>
      </c>
      <c r="L16" s="71">
        <v>0.15253758924443303</v>
      </c>
      <c r="M16" s="71">
        <v>-0.30407496489045965</v>
      </c>
      <c r="N16" s="71">
        <v>-7.6156120546680903E-2</v>
      </c>
      <c r="O16" s="71">
        <v>0.28158688881550975</v>
      </c>
      <c r="P16" s="71">
        <v>1</v>
      </c>
      <c r="Q16" s="71">
        <v>0.15386462949399082</v>
      </c>
      <c r="R16" s="71">
        <v>7.5923842924404919E-2</v>
      </c>
      <c r="S16" s="71">
        <v>-0.204653059339264</v>
      </c>
      <c r="T16" s="71">
        <v>3.7390055443361291E-2</v>
      </c>
      <c r="U16" s="71">
        <v>-0.18360339553176769</v>
      </c>
      <c r="V16" s="71">
        <v>-3.5058868735223084E-2</v>
      </c>
      <c r="W16" s="71">
        <v>0.16688898642430677</v>
      </c>
      <c r="X16" s="71">
        <v>0.36467627120085722</v>
      </c>
      <c r="Y16" s="71">
        <v>0.27811398914705182</v>
      </c>
      <c r="Z16" s="71">
        <v>6.3925944803808407E-3</v>
      </c>
      <c r="AA16" s="71">
        <v>0.2052930422243244</v>
      </c>
      <c r="AB16" s="71">
        <v>-5.5917570160444463E-2</v>
      </c>
      <c r="AC16" s="71">
        <v>-7.8167682593662635E-2</v>
      </c>
      <c r="AD16" s="71">
        <v>0.1910804103791538</v>
      </c>
      <c r="AE16" s="71">
        <v>-3.5310062981549602E-2</v>
      </c>
      <c r="AF16" s="71">
        <v>1.0393337309745674E-2</v>
      </c>
      <c r="AG16" s="71">
        <v>0.20299988867597765</v>
      </c>
      <c r="AH16" s="71">
        <v>7.4619931029851871E-2</v>
      </c>
      <c r="AI16" s="71">
        <v>0.23827145122646129</v>
      </c>
      <c r="AJ16" s="74">
        <v>0.1932792780508332</v>
      </c>
    </row>
    <row r="17" spans="1:36" x14ac:dyDescent="0.3">
      <c r="A17" s="59" t="s">
        <v>291</v>
      </c>
      <c r="B17" s="71">
        <v>-9.0635336032576248E-3</v>
      </c>
      <c r="C17" s="71">
        <v>0.17056495635732583</v>
      </c>
      <c r="D17" s="71">
        <v>-1.8270243075137936E-2</v>
      </c>
      <c r="E17" s="71">
        <v>3.7876440022488647E-2</v>
      </c>
      <c r="F17" s="71">
        <v>-0.13830721372511867</v>
      </c>
      <c r="G17" s="71">
        <v>-3.6652779697924083E-2</v>
      </c>
      <c r="H17" s="71">
        <v>-6.7744247215445863E-2</v>
      </c>
      <c r="I17" s="71">
        <v>-3.0364739177443971E-2</v>
      </c>
      <c r="J17" s="71">
        <v>1.9608171539934795E-2</v>
      </c>
      <c r="K17" s="71">
        <v>-3.9289481372210201E-2</v>
      </c>
      <c r="L17" s="71">
        <v>-1.2244841505088262E-3</v>
      </c>
      <c r="M17" s="71">
        <v>-5.6662487445613696E-2</v>
      </c>
      <c r="N17" s="71">
        <v>-4.6822758525176505E-2</v>
      </c>
      <c r="O17" s="71">
        <v>4.3759837334022653E-2</v>
      </c>
      <c r="P17" s="71">
        <v>0.15386462949399082</v>
      </c>
      <c r="Q17" s="71">
        <v>1.0000000000000002</v>
      </c>
      <c r="R17" s="71">
        <v>0.74171892701335429</v>
      </c>
      <c r="S17" s="71">
        <v>5.8165771189806328E-2</v>
      </c>
      <c r="T17" s="71">
        <v>-1.4601586701028818E-2</v>
      </c>
      <c r="U17" s="71">
        <v>-3.3435852330964785E-2</v>
      </c>
      <c r="V17" s="71">
        <v>-0.15559256278488656</v>
      </c>
      <c r="W17" s="71">
        <v>-8.6698644222321611E-2</v>
      </c>
      <c r="X17" s="71">
        <v>-2.2128212673452802E-2</v>
      </c>
      <c r="Y17" s="71">
        <v>4.0453813678958478E-2</v>
      </c>
      <c r="Z17" s="71">
        <v>-3.5158699838436384E-2</v>
      </c>
      <c r="AA17" s="71">
        <v>0.11951238317445079</v>
      </c>
      <c r="AB17" s="71">
        <v>-0.11119267109149486</v>
      </c>
      <c r="AC17" s="71">
        <v>-7.357680257843037E-2</v>
      </c>
      <c r="AD17" s="71">
        <v>1.4575191729211057E-2</v>
      </c>
      <c r="AE17" s="71">
        <v>-0.13341624270660943</v>
      </c>
      <c r="AF17" s="71">
        <v>0.10612607016854575</v>
      </c>
      <c r="AG17" s="71">
        <v>-1.0299133522558835E-2</v>
      </c>
      <c r="AH17" s="71">
        <v>-8.1036627631030186E-2</v>
      </c>
      <c r="AI17" s="71">
        <v>3.6931593089739277E-2</v>
      </c>
      <c r="AJ17" s="74">
        <v>7.3129670022694618E-2</v>
      </c>
    </row>
    <row r="18" spans="1:36" x14ac:dyDescent="0.3">
      <c r="A18" s="59" t="s">
        <v>292</v>
      </c>
      <c r="B18" s="71">
        <v>1.4913931623656161E-2</v>
      </c>
      <c r="C18" s="71">
        <v>0.15278037484335194</v>
      </c>
      <c r="D18" s="71">
        <v>-1.3924494506134434E-2</v>
      </c>
      <c r="E18" s="71">
        <v>-1.0621280246758697E-2</v>
      </c>
      <c r="F18" s="71">
        <v>-0.19656764821783884</v>
      </c>
      <c r="G18" s="71">
        <v>-2.3061553558360499E-2</v>
      </c>
      <c r="H18" s="71">
        <v>2.4972512952948583E-2</v>
      </c>
      <c r="I18" s="71">
        <v>3.0615750998280202E-2</v>
      </c>
      <c r="J18" s="71">
        <v>6.5457443072164265E-2</v>
      </c>
      <c r="K18" s="71">
        <v>-2.3793097538747136E-2</v>
      </c>
      <c r="L18" s="71">
        <v>5.7932543198261924E-2</v>
      </c>
      <c r="M18" s="71">
        <v>4.0187697031847894E-2</v>
      </c>
      <c r="N18" s="71">
        <v>3.981484237049005E-3</v>
      </c>
      <c r="O18" s="71">
        <v>9.3391557893165542E-2</v>
      </c>
      <c r="P18" s="71">
        <v>7.5923842924404919E-2</v>
      </c>
      <c r="Q18" s="71">
        <v>0.74171892701335429</v>
      </c>
      <c r="R18" s="71">
        <v>1</v>
      </c>
      <c r="S18" s="71">
        <v>0.17741090966912101</v>
      </c>
      <c r="T18" s="71">
        <v>-5.3412568622402984E-2</v>
      </c>
      <c r="U18" s="71">
        <v>-1.6575752101142281E-2</v>
      </c>
      <c r="V18" s="71">
        <v>-3.2113592555177255E-2</v>
      </c>
      <c r="W18" s="71">
        <v>-6.3987576318333128E-3</v>
      </c>
      <c r="X18" s="71">
        <v>-0.13316353619105359</v>
      </c>
      <c r="Y18" s="71">
        <v>4.4693182568945222E-2</v>
      </c>
      <c r="Z18" s="71">
        <v>8.8073313054271005E-2</v>
      </c>
      <c r="AA18" s="71">
        <v>0.17032269253123186</v>
      </c>
      <c r="AB18" s="71">
        <v>-9.1765939805010091E-2</v>
      </c>
      <c r="AC18" s="71">
        <v>1.3551813345819195E-3</v>
      </c>
      <c r="AD18" s="71">
        <v>4.234079945167208E-2</v>
      </c>
      <c r="AE18" s="71">
        <v>-0.1070289254660139</v>
      </c>
      <c r="AF18" s="71">
        <v>6.6314542264617526E-2</v>
      </c>
      <c r="AG18" s="71">
        <v>-5.8551099000230838E-2</v>
      </c>
      <c r="AH18" s="71">
        <v>-6.5860155989346678E-2</v>
      </c>
      <c r="AI18" s="71">
        <v>-6.6533414885429465E-2</v>
      </c>
      <c r="AJ18" s="74">
        <v>1.4585413463126395E-2</v>
      </c>
    </row>
    <row r="19" spans="1:36" x14ac:dyDescent="0.3">
      <c r="A19" s="59" t="s">
        <v>293</v>
      </c>
      <c r="B19" s="71">
        <v>2.8079855690333944E-2</v>
      </c>
      <c r="C19" s="71">
        <v>-4.5374670214490098E-2</v>
      </c>
      <c r="D19" s="71">
        <v>2.9297740406618068E-3</v>
      </c>
      <c r="E19" s="71">
        <v>3.5879153485457435E-2</v>
      </c>
      <c r="F19" s="71">
        <v>7.6560838697148831E-2</v>
      </c>
      <c r="G19" s="71">
        <v>1.6174597193928605E-2</v>
      </c>
      <c r="H19" s="71">
        <v>4.8182911086751344E-2</v>
      </c>
      <c r="I19" s="71">
        <v>4.6885368070577874E-2</v>
      </c>
      <c r="J19" s="71">
        <v>0.10365359025766124</v>
      </c>
      <c r="K19" s="71">
        <v>-6.929019372072175E-3</v>
      </c>
      <c r="L19" s="71">
        <v>6.2077667247531609E-2</v>
      </c>
      <c r="M19" s="71">
        <v>0.16853346247634313</v>
      </c>
      <c r="N19" s="71">
        <v>0.19384200433162616</v>
      </c>
      <c r="O19" s="71">
        <v>-3.9505428421609604E-3</v>
      </c>
      <c r="P19" s="71">
        <v>-0.204653059339264</v>
      </c>
      <c r="Q19" s="71">
        <v>5.8165771189806328E-2</v>
      </c>
      <c r="R19" s="71">
        <v>0.17741090966912101</v>
      </c>
      <c r="S19" s="71">
        <v>1.0000000000000002</v>
      </c>
      <c r="T19" s="71">
        <v>-9.608148069231337E-2</v>
      </c>
      <c r="U19" s="71">
        <v>1.4288925452165346E-2</v>
      </c>
      <c r="V19" s="71">
        <v>-3.1127182630461308E-2</v>
      </c>
      <c r="W19" s="71">
        <v>-0.29097582350286377</v>
      </c>
      <c r="X19" s="71">
        <v>-0.25694614120217452</v>
      </c>
      <c r="Y19" s="71">
        <v>-0.17396561194450574</v>
      </c>
      <c r="Z19" s="71">
        <v>5.0804125441283279E-2</v>
      </c>
      <c r="AA19" s="71">
        <v>-4.2956669859713442E-2</v>
      </c>
      <c r="AB19" s="71">
        <v>-2.9684077457941403E-2</v>
      </c>
      <c r="AC19" s="71">
        <v>1.9816651801927796E-2</v>
      </c>
      <c r="AD19" s="71">
        <v>-6.4729014486139158E-2</v>
      </c>
      <c r="AE19" s="71">
        <v>-3.8678998094646748E-2</v>
      </c>
      <c r="AF19" s="71">
        <v>-8.4297903709432798E-2</v>
      </c>
      <c r="AG19" s="71">
        <v>-0.17642104956140564</v>
      </c>
      <c r="AH19" s="71">
        <v>-0.14985598942825434</v>
      </c>
      <c r="AI19" s="71">
        <v>-0.15202462364957803</v>
      </c>
      <c r="AJ19" s="74">
        <v>-7.8019995914464707E-2</v>
      </c>
    </row>
    <row r="20" spans="1:36" x14ac:dyDescent="0.3">
      <c r="A20" s="59" t="s">
        <v>294</v>
      </c>
      <c r="B20" s="71">
        <v>2.6124017431624135E-2</v>
      </c>
      <c r="C20" s="71">
        <v>-2.9834235562294951E-2</v>
      </c>
      <c r="D20" s="71">
        <v>1.7982689163291633E-2</v>
      </c>
      <c r="E20" s="71">
        <v>-0.11516389779505212</v>
      </c>
      <c r="F20" s="71">
        <v>-2.4697437720415678E-2</v>
      </c>
      <c r="G20" s="71">
        <v>9.6286309369005407E-3</v>
      </c>
      <c r="H20" s="71">
        <v>5.4374600910422947E-2</v>
      </c>
      <c r="I20" s="71">
        <v>4.4750402279608588E-2</v>
      </c>
      <c r="J20" s="71">
        <v>1.8815029252549385E-2</v>
      </c>
      <c r="K20" s="71">
        <v>1.7840803240972591E-2</v>
      </c>
      <c r="L20" s="71">
        <v>-4.0692003018036459E-2</v>
      </c>
      <c r="M20" s="71">
        <v>-2.6797212245253759E-2</v>
      </c>
      <c r="N20" s="71">
        <v>-6.2202611452661927E-2</v>
      </c>
      <c r="O20" s="71">
        <v>-5.1682414214874801E-2</v>
      </c>
      <c r="P20" s="71">
        <v>3.7390055443361291E-2</v>
      </c>
      <c r="Q20" s="71">
        <v>-1.4601586701028818E-2</v>
      </c>
      <c r="R20" s="71">
        <v>-5.3412568622402984E-2</v>
      </c>
      <c r="S20" s="71">
        <v>-9.608148069231337E-2</v>
      </c>
      <c r="T20" s="71">
        <v>1</v>
      </c>
      <c r="U20" s="71">
        <v>1.2092031438373242E-2</v>
      </c>
      <c r="V20" s="71">
        <v>-5.4998223886940818E-2</v>
      </c>
      <c r="W20" s="71">
        <v>-2.6461290170044535E-3</v>
      </c>
      <c r="X20" s="71">
        <v>-3.0248819503178922E-3</v>
      </c>
      <c r="Y20" s="71">
        <v>0.12151041172864195</v>
      </c>
      <c r="Z20" s="71">
        <v>1.8794388260957549E-2</v>
      </c>
      <c r="AA20" s="71">
        <v>2.7612718164227289E-2</v>
      </c>
      <c r="AB20" s="71">
        <v>-0.11688293433171072</v>
      </c>
      <c r="AC20" s="71">
        <v>0.19871019401768891</v>
      </c>
      <c r="AD20" s="71">
        <v>-2.2987059222818042E-2</v>
      </c>
      <c r="AE20" s="71">
        <v>3.1647178082777519E-2</v>
      </c>
      <c r="AF20" s="71">
        <v>-5.0428160007156197E-3</v>
      </c>
      <c r="AG20" s="71">
        <v>-3.9171297922348636E-2</v>
      </c>
      <c r="AH20" s="71">
        <v>-0.12304691586122951</v>
      </c>
      <c r="AI20" s="71">
        <v>2.7711008621227429E-2</v>
      </c>
      <c r="AJ20" s="74">
        <v>7.4128683189025435E-2</v>
      </c>
    </row>
    <row r="21" spans="1:36" x14ac:dyDescent="0.3">
      <c r="A21" s="59" t="s">
        <v>295</v>
      </c>
      <c r="B21" s="71">
        <v>0.97076512601480813</v>
      </c>
      <c r="C21" s="71">
        <v>1.9008266199280959E-2</v>
      </c>
      <c r="D21" s="71">
        <v>0.99381505298559458</v>
      </c>
      <c r="E21" s="71">
        <v>0.2711775046129512</v>
      </c>
      <c r="F21" s="71">
        <v>0.19306209168027122</v>
      </c>
      <c r="G21" s="71">
        <v>0.99617218508877592</v>
      </c>
      <c r="H21" s="71">
        <v>-8.3626806995113143E-3</v>
      </c>
      <c r="I21" s="71">
        <v>-3.1684065854457544E-2</v>
      </c>
      <c r="J21" s="71">
        <v>-2.4912567107818771E-2</v>
      </c>
      <c r="K21" s="71">
        <v>0.97579897451752962</v>
      </c>
      <c r="L21" s="71">
        <v>0.23326087856020139</v>
      </c>
      <c r="M21" s="71">
        <v>0.4400470888144638</v>
      </c>
      <c r="N21" s="71">
        <v>0.43059499260365625</v>
      </c>
      <c r="O21" s="71">
        <v>6.6631151081627163E-2</v>
      </c>
      <c r="P21" s="71">
        <v>-0.18360339553176769</v>
      </c>
      <c r="Q21" s="71">
        <v>-3.3435852330964785E-2</v>
      </c>
      <c r="R21" s="71">
        <v>-1.6575752101142281E-2</v>
      </c>
      <c r="S21" s="71">
        <v>1.4288925452165346E-2</v>
      </c>
      <c r="T21" s="71">
        <v>1.2092031438373242E-2</v>
      </c>
      <c r="U21" s="71">
        <v>1.0000000000000002</v>
      </c>
      <c r="V21" s="71">
        <v>5.5855251055643554E-2</v>
      </c>
      <c r="W21" s="71">
        <v>-5.3346732702903667E-2</v>
      </c>
      <c r="X21" s="71">
        <v>-0.29730911396833781</v>
      </c>
      <c r="Y21" s="71">
        <v>-0.2379762415624869</v>
      </c>
      <c r="Z21" s="71">
        <v>7.868170690951494E-2</v>
      </c>
      <c r="AA21" s="71">
        <v>5.845949942728095E-4</v>
      </c>
      <c r="AB21" s="71">
        <v>0.30028187788230482</v>
      </c>
      <c r="AC21" s="71">
        <v>-0.14526545463827903</v>
      </c>
      <c r="AD21" s="71">
        <v>-0.31599714423854386</v>
      </c>
      <c r="AE21" s="71">
        <v>-5.9943635708728273E-2</v>
      </c>
      <c r="AF21" s="71">
        <v>-2.2091300748864472E-2</v>
      </c>
      <c r="AG21" s="71">
        <v>-0.20887270007742992</v>
      </c>
      <c r="AH21" s="71">
        <v>5.4322755293263233E-2</v>
      </c>
      <c r="AI21" s="71">
        <v>-0.30394037442613625</v>
      </c>
      <c r="AJ21" s="74">
        <v>-0.36053398232905132</v>
      </c>
    </row>
    <row r="22" spans="1:36" x14ac:dyDescent="0.3">
      <c r="A22" s="59" t="s">
        <v>296</v>
      </c>
      <c r="B22" s="71">
        <v>6.0538478382797904E-2</v>
      </c>
      <c r="C22" s="71">
        <v>9.5470146958090127E-2</v>
      </c>
      <c r="D22" s="71">
        <v>4.2503952439158034E-2</v>
      </c>
      <c r="E22" s="71">
        <v>0.13647383907082003</v>
      </c>
      <c r="F22" s="71">
        <v>4.4916446203091126E-2</v>
      </c>
      <c r="G22" s="71">
        <v>4.566251743583731E-2</v>
      </c>
      <c r="H22" s="71">
        <v>0.30779080970346556</v>
      </c>
      <c r="I22" s="71">
        <v>0.26022225581284714</v>
      </c>
      <c r="J22" s="71">
        <v>-7.5090649608021948E-2</v>
      </c>
      <c r="K22" s="71">
        <v>6.496309373477463E-2</v>
      </c>
      <c r="L22" s="71">
        <v>0.26726394561826683</v>
      </c>
      <c r="M22" s="71">
        <v>0.19032185527823728</v>
      </c>
      <c r="N22" s="71">
        <v>0.17319940657825442</v>
      </c>
      <c r="O22" s="71">
        <v>5.0106527804382468E-2</v>
      </c>
      <c r="P22" s="71">
        <v>-3.5058868735223084E-2</v>
      </c>
      <c r="Q22" s="71">
        <v>-0.15559256278488656</v>
      </c>
      <c r="R22" s="71">
        <v>-3.2113592555177255E-2</v>
      </c>
      <c r="S22" s="71">
        <v>-3.1127182630461308E-2</v>
      </c>
      <c r="T22" s="71">
        <v>-5.4998223886940818E-2</v>
      </c>
      <c r="U22" s="71">
        <v>5.5855251055643554E-2</v>
      </c>
      <c r="V22" s="71">
        <v>0.99999999999999978</v>
      </c>
      <c r="W22" s="71">
        <v>-0.10763427155600912</v>
      </c>
      <c r="X22" s="71">
        <v>-0.11767082686624661</v>
      </c>
      <c r="Y22" s="71">
        <v>5.3259420684152264E-2</v>
      </c>
      <c r="Z22" s="71">
        <v>-0.12389039764061342</v>
      </c>
      <c r="AA22" s="71">
        <v>3.9019251536496109E-2</v>
      </c>
      <c r="AB22" s="71">
        <v>0.35679965917968359</v>
      </c>
      <c r="AC22" s="71">
        <v>-9.8265652199279796E-2</v>
      </c>
      <c r="AD22" s="71">
        <v>-0.14077071416226075</v>
      </c>
      <c r="AE22" s="71">
        <v>1.9517512331355073E-2</v>
      </c>
      <c r="AF22" s="71">
        <v>-5.3006952704624966E-2</v>
      </c>
      <c r="AG22" s="71">
        <v>-4.8503109267619547E-2</v>
      </c>
      <c r="AH22" s="71">
        <v>0.13681883382471827</v>
      </c>
      <c r="AI22" s="71">
        <v>-7.5914791880899987E-2</v>
      </c>
      <c r="AJ22" s="74">
        <v>-0.2792400654942846</v>
      </c>
    </row>
    <row r="23" spans="1:36" x14ac:dyDescent="0.3">
      <c r="A23" s="59" t="s">
        <v>297</v>
      </c>
      <c r="B23" s="71">
        <v>-4.7952689664774943E-2</v>
      </c>
      <c r="C23" s="71">
        <v>-1.3943121863644337E-4</v>
      </c>
      <c r="D23" s="71">
        <v>-4.4867761872981575E-2</v>
      </c>
      <c r="E23" s="71">
        <v>-0.11058205631975823</v>
      </c>
      <c r="F23" s="71">
        <v>-0.18624662853419294</v>
      </c>
      <c r="G23" s="71">
        <v>-5.7519254436428344E-2</v>
      </c>
      <c r="H23" s="71">
        <v>-7.5759317717892433E-2</v>
      </c>
      <c r="I23" s="71">
        <v>-9.8362057746502501E-2</v>
      </c>
      <c r="J23" s="71">
        <v>-5.5505252354994809E-2</v>
      </c>
      <c r="K23" s="71">
        <v>-4.4851219820010849E-2</v>
      </c>
      <c r="L23" s="71">
        <v>-5.1030746658414929E-2</v>
      </c>
      <c r="M23" s="71">
        <v>-9.8079078904523276E-2</v>
      </c>
      <c r="N23" s="71">
        <v>-0.16821292651534792</v>
      </c>
      <c r="O23" s="71">
        <v>8.938858016762756E-2</v>
      </c>
      <c r="P23" s="71">
        <v>0.16688898642430677</v>
      </c>
      <c r="Q23" s="71">
        <v>-8.6698644222321611E-2</v>
      </c>
      <c r="R23" s="71">
        <v>-6.3987576318333128E-3</v>
      </c>
      <c r="S23" s="71">
        <v>-0.29097582350286377</v>
      </c>
      <c r="T23" s="71">
        <v>-2.6461290170044535E-3</v>
      </c>
      <c r="U23" s="71">
        <v>-5.3346732702903667E-2</v>
      </c>
      <c r="V23" s="71">
        <v>-0.10763427155600912</v>
      </c>
      <c r="W23" s="71">
        <v>0.99999999999999978</v>
      </c>
      <c r="X23" s="71">
        <v>4.8724684191328561E-2</v>
      </c>
      <c r="Y23" s="71">
        <v>0.14721668981726468</v>
      </c>
      <c r="Z23" s="71">
        <v>9.4664368609371011E-2</v>
      </c>
      <c r="AA23" s="71">
        <v>8.5903908155105888E-2</v>
      </c>
      <c r="AB23" s="71">
        <v>-6.4574693222775009E-2</v>
      </c>
      <c r="AC23" s="71">
        <v>8.4928254181811311E-2</v>
      </c>
      <c r="AD23" s="71">
        <v>2.4699928012731201E-2</v>
      </c>
      <c r="AE23" s="71">
        <v>-5.6272985108183682E-2</v>
      </c>
      <c r="AF23" s="71">
        <v>8.5467289197178248E-2</v>
      </c>
      <c r="AG23" s="71">
        <v>0.1074942419200292</v>
      </c>
      <c r="AH23" s="71">
        <v>0.11869162973438299</v>
      </c>
      <c r="AI23" s="71">
        <v>4.2737903601794393E-2</v>
      </c>
      <c r="AJ23" s="74">
        <v>4.586388956649106E-2</v>
      </c>
    </row>
    <row r="24" spans="1:36" x14ac:dyDescent="0.3">
      <c r="A24" s="59" t="s">
        <v>298</v>
      </c>
      <c r="B24" s="71">
        <v>-0.32752509089851922</v>
      </c>
      <c r="C24" s="71">
        <v>-7.3578425846914625E-2</v>
      </c>
      <c r="D24" s="71">
        <v>-0.25506751248759885</v>
      </c>
      <c r="E24" s="71">
        <v>-0.21110140732644933</v>
      </c>
      <c r="F24" s="71">
        <v>-2.0661272622579149E-2</v>
      </c>
      <c r="G24" s="71">
        <v>-0.28483183713662519</v>
      </c>
      <c r="H24" s="71">
        <v>-0.1296352153826375</v>
      </c>
      <c r="I24" s="71">
        <v>-4.8852680933628705E-2</v>
      </c>
      <c r="J24" s="71">
        <v>-4.7345422859851237E-2</v>
      </c>
      <c r="K24" s="71">
        <v>-0.28991875119970584</v>
      </c>
      <c r="L24" s="71">
        <v>-0.28917375649248539</v>
      </c>
      <c r="M24" s="71">
        <v>-0.59245115608896581</v>
      </c>
      <c r="N24" s="71">
        <v>-0.35774685329440686</v>
      </c>
      <c r="O24" s="71">
        <v>-0.23365802194573251</v>
      </c>
      <c r="P24" s="71">
        <v>0.36467627120085722</v>
      </c>
      <c r="Q24" s="71">
        <v>-2.2128212673452802E-2</v>
      </c>
      <c r="R24" s="71">
        <v>-0.13316353619105359</v>
      </c>
      <c r="S24" s="71">
        <v>-0.25694614120217452</v>
      </c>
      <c r="T24" s="71">
        <v>-3.0248819503178922E-3</v>
      </c>
      <c r="U24" s="71">
        <v>-0.29730911396833781</v>
      </c>
      <c r="V24" s="71">
        <v>-0.11767082686624661</v>
      </c>
      <c r="W24" s="71">
        <v>4.8724684191328561E-2</v>
      </c>
      <c r="X24" s="71">
        <v>1</v>
      </c>
      <c r="Y24" s="71">
        <v>0.23915233392600579</v>
      </c>
      <c r="Z24" s="71">
        <v>-9.0125367926943978E-2</v>
      </c>
      <c r="AA24" s="71">
        <v>-0.16240879594955723</v>
      </c>
      <c r="AB24" s="71">
        <v>-0.29340002520109565</v>
      </c>
      <c r="AC24" s="71">
        <v>-1.4602570782622627E-2</v>
      </c>
      <c r="AD24" s="71">
        <v>0.43141750000362689</v>
      </c>
      <c r="AE24" s="71">
        <v>1.5412427149111719E-4</v>
      </c>
      <c r="AF24" s="71">
        <v>-5.8750501027474436E-2</v>
      </c>
      <c r="AG24" s="71">
        <v>0.51970715378382382</v>
      </c>
      <c r="AH24" s="71">
        <v>0.24606414768355381</v>
      </c>
      <c r="AI24" s="71">
        <v>0.49795171963546569</v>
      </c>
      <c r="AJ24" s="74">
        <v>0.50182883139987633</v>
      </c>
    </row>
    <row r="25" spans="1:36" x14ac:dyDescent="0.3">
      <c r="A25" s="59" t="s">
        <v>299</v>
      </c>
      <c r="B25" s="71">
        <v>-0.27190547999426301</v>
      </c>
      <c r="C25" s="71">
        <v>1.0150521144727023E-2</v>
      </c>
      <c r="D25" s="71">
        <v>-0.21948987889799654</v>
      </c>
      <c r="E25" s="71">
        <v>-0.3079585180679531</v>
      </c>
      <c r="F25" s="71">
        <v>-0.19962510239864339</v>
      </c>
      <c r="G25" s="71">
        <v>-0.25249883007676871</v>
      </c>
      <c r="H25" s="71">
        <v>-2.8628510556195461E-2</v>
      </c>
      <c r="I25" s="71">
        <v>-1.5874171061543197E-2</v>
      </c>
      <c r="J25" s="71">
        <v>-0.23140201886157644</v>
      </c>
      <c r="K25" s="71">
        <v>-0.21933958155206415</v>
      </c>
      <c r="L25" s="71">
        <v>-0.18037333421440332</v>
      </c>
      <c r="M25" s="71">
        <v>-0.24596367598115182</v>
      </c>
      <c r="N25" s="71">
        <v>-0.3012252827130022</v>
      </c>
      <c r="O25" s="71">
        <v>0.25137816583916672</v>
      </c>
      <c r="P25" s="71">
        <v>0.27811398914705182</v>
      </c>
      <c r="Q25" s="71">
        <v>4.0453813678958478E-2</v>
      </c>
      <c r="R25" s="71">
        <v>4.4693182568945222E-2</v>
      </c>
      <c r="S25" s="71">
        <v>-0.17396561194450574</v>
      </c>
      <c r="T25" s="71">
        <v>0.12151041172864195</v>
      </c>
      <c r="U25" s="71">
        <v>-0.2379762415624869</v>
      </c>
      <c r="V25" s="71">
        <v>5.3259420684152264E-2</v>
      </c>
      <c r="W25" s="71">
        <v>0.14721668981726468</v>
      </c>
      <c r="X25" s="71">
        <v>0.23915233392600579</v>
      </c>
      <c r="Y25" s="71">
        <v>1</v>
      </c>
      <c r="Z25" s="71">
        <v>0.19000906528468278</v>
      </c>
      <c r="AA25" s="71">
        <v>0.40345490084674207</v>
      </c>
      <c r="AB25" s="71">
        <v>-0.28572407624248369</v>
      </c>
      <c r="AC25" s="71">
        <v>0.21290712128053943</v>
      </c>
      <c r="AD25" s="71">
        <v>0.32794248692431821</v>
      </c>
      <c r="AE25" s="71">
        <v>-7.8297771893113391E-2</v>
      </c>
      <c r="AF25" s="71">
        <v>0.15177879218623619</v>
      </c>
      <c r="AG25" s="71">
        <v>3.6883867356614197E-2</v>
      </c>
      <c r="AH25" s="71">
        <v>-7.5395715435977881E-2</v>
      </c>
      <c r="AI25" s="71">
        <v>2.583255772128247E-2</v>
      </c>
      <c r="AJ25" s="74">
        <v>0.19588246325760023</v>
      </c>
    </row>
    <row r="26" spans="1:36" x14ac:dyDescent="0.3">
      <c r="A26" s="59" t="s">
        <v>300</v>
      </c>
      <c r="B26" s="71">
        <v>9.159248576521567E-2</v>
      </c>
      <c r="C26" s="71">
        <v>-0.19672461280140535</v>
      </c>
      <c r="D26" s="71">
        <v>6.9041459724298093E-2</v>
      </c>
      <c r="E26" s="71">
        <v>-0.1976318428507082</v>
      </c>
      <c r="F26" s="71">
        <v>-9.5219940388297244E-2</v>
      </c>
      <c r="G26" s="71">
        <v>7.2236709897365789E-2</v>
      </c>
      <c r="H26" s="71">
        <v>-7.8667861382241938E-2</v>
      </c>
      <c r="I26" s="71">
        <v>-0.12049136975590954</v>
      </c>
      <c r="J26" s="71">
        <v>9.5901968406915575E-2</v>
      </c>
      <c r="K26" s="71">
        <v>4.4731949343629424E-2</v>
      </c>
      <c r="L26" s="71">
        <v>4.2941567847274761E-3</v>
      </c>
      <c r="M26" s="71">
        <v>0.20982181704771766</v>
      </c>
      <c r="N26" s="71">
        <v>0.1149368239362385</v>
      </c>
      <c r="O26" s="71">
        <v>0.40970768762649556</v>
      </c>
      <c r="P26" s="71">
        <v>6.3925944803808407E-3</v>
      </c>
      <c r="Q26" s="71">
        <v>-3.5158699838436384E-2</v>
      </c>
      <c r="R26" s="71">
        <v>8.8073313054271005E-2</v>
      </c>
      <c r="S26" s="71">
        <v>5.0804125441283279E-2</v>
      </c>
      <c r="T26" s="71">
        <v>1.8794388260957549E-2</v>
      </c>
      <c r="U26" s="71">
        <v>7.868170690951494E-2</v>
      </c>
      <c r="V26" s="71">
        <v>-0.12389039764061342</v>
      </c>
      <c r="W26" s="71">
        <v>9.4664368609371011E-2</v>
      </c>
      <c r="X26" s="71">
        <v>-9.0125367926943978E-2</v>
      </c>
      <c r="Y26" s="71">
        <v>0.19000906528468278</v>
      </c>
      <c r="Z26" s="71">
        <v>1</v>
      </c>
      <c r="AA26" s="71">
        <v>0.56902111951575507</v>
      </c>
      <c r="AB26" s="71">
        <v>-0.22083250250594269</v>
      </c>
      <c r="AC26" s="71">
        <v>0.26407523229863072</v>
      </c>
      <c r="AD26" s="71">
        <v>-8.0351531547273564E-2</v>
      </c>
      <c r="AE26" s="71">
        <v>-2.6156328985404653E-2</v>
      </c>
      <c r="AF26" s="71">
        <v>0.10783315092267469</v>
      </c>
      <c r="AG26" s="71">
        <v>-0.346646367143432</v>
      </c>
      <c r="AH26" s="71">
        <v>-0.34030571952957384</v>
      </c>
      <c r="AI26" s="71">
        <v>-0.29530061704376775</v>
      </c>
      <c r="AJ26" s="74">
        <v>-8.0015947664591386E-2</v>
      </c>
    </row>
    <row r="27" spans="1:36" x14ac:dyDescent="0.3">
      <c r="A27" s="59" t="s">
        <v>301</v>
      </c>
      <c r="B27" s="71">
        <v>6.910504536589296E-3</v>
      </c>
      <c r="C27" s="71">
        <v>4.0226035141446001E-2</v>
      </c>
      <c r="D27" s="71">
        <v>-1.0655964839181803E-2</v>
      </c>
      <c r="E27" s="71">
        <v>-0.11761214922667752</v>
      </c>
      <c r="F27" s="71">
        <v>-0.17532836726709333</v>
      </c>
      <c r="G27" s="71">
        <v>-2.3506463556945585E-2</v>
      </c>
      <c r="H27" s="71">
        <v>0.12991957819361452</v>
      </c>
      <c r="I27" s="71">
        <v>7.5547263940840464E-2</v>
      </c>
      <c r="J27" s="71">
        <v>-6.966920236196622E-2</v>
      </c>
      <c r="K27" s="71">
        <v>-4.154719913436208E-3</v>
      </c>
      <c r="L27" s="71">
        <v>0.25383532949525667</v>
      </c>
      <c r="M27" s="71">
        <v>0.25366913268842828</v>
      </c>
      <c r="N27" s="71">
        <v>0.18337316395337322</v>
      </c>
      <c r="O27" s="71">
        <v>0.67747275143338614</v>
      </c>
      <c r="P27" s="71">
        <v>0.2052930422243244</v>
      </c>
      <c r="Q27" s="71">
        <v>0.11951238317445079</v>
      </c>
      <c r="R27" s="71">
        <v>0.17032269253123186</v>
      </c>
      <c r="S27" s="71">
        <v>-4.2956669859713442E-2</v>
      </c>
      <c r="T27" s="71">
        <v>2.7612718164227289E-2</v>
      </c>
      <c r="U27" s="71">
        <v>5.845949942728095E-4</v>
      </c>
      <c r="V27" s="71">
        <v>3.9019251536496109E-2</v>
      </c>
      <c r="W27" s="71">
        <v>8.5903908155105888E-2</v>
      </c>
      <c r="X27" s="71">
        <v>-0.16240879594955723</v>
      </c>
      <c r="Y27" s="71">
        <v>0.40345490084674207</v>
      </c>
      <c r="Z27" s="71">
        <v>0.56902111951575507</v>
      </c>
      <c r="AA27" s="71">
        <v>1.0000000000000002</v>
      </c>
      <c r="AB27" s="71">
        <v>-0.11645889195810961</v>
      </c>
      <c r="AC27" s="71">
        <v>0.13921157357749814</v>
      </c>
      <c r="AD27" s="71">
        <v>-8.485862334791866E-2</v>
      </c>
      <c r="AE27" s="71">
        <v>-0.11711205654682902</v>
      </c>
      <c r="AF27" s="71">
        <v>0.13432952670802811</v>
      </c>
      <c r="AG27" s="71">
        <v>-0.29690532331947256</v>
      </c>
      <c r="AH27" s="71">
        <v>-0.22053950264620678</v>
      </c>
      <c r="AI27" s="71">
        <v>-0.26655192972717467</v>
      </c>
      <c r="AJ27" s="74">
        <v>-0.16959583733163763</v>
      </c>
    </row>
    <row r="28" spans="1:36" x14ac:dyDescent="0.3">
      <c r="A28" s="59" t="s">
        <v>302</v>
      </c>
      <c r="B28" s="71">
        <v>0.28416864648800133</v>
      </c>
      <c r="C28" s="71">
        <v>3.3191338248795429E-2</v>
      </c>
      <c r="D28" s="71">
        <v>0.27170990175589149</v>
      </c>
      <c r="E28" s="71">
        <v>0.40893681781444913</v>
      </c>
      <c r="F28" s="71">
        <v>0.27911315842558082</v>
      </c>
      <c r="G28" s="71">
        <v>0.28482089514011527</v>
      </c>
      <c r="H28" s="71">
        <v>-4.8626285452235518E-2</v>
      </c>
      <c r="I28" s="71">
        <v>-5.8204136071027548E-2</v>
      </c>
      <c r="J28" s="71">
        <v>-0.18892174488057781</v>
      </c>
      <c r="K28" s="71">
        <v>0.33621671016053462</v>
      </c>
      <c r="L28" s="71">
        <v>0.49841859907183816</v>
      </c>
      <c r="M28" s="71">
        <v>0.39018444963144372</v>
      </c>
      <c r="N28" s="71">
        <v>0.51178450793500396</v>
      </c>
      <c r="O28" s="71">
        <v>1.7987999357054165E-2</v>
      </c>
      <c r="P28" s="71">
        <v>-5.5917570160444463E-2</v>
      </c>
      <c r="Q28" s="71">
        <v>-0.11119267109149486</v>
      </c>
      <c r="R28" s="71">
        <v>-9.1765939805010091E-2</v>
      </c>
      <c r="S28" s="71">
        <v>-2.9684077457941403E-2</v>
      </c>
      <c r="T28" s="71">
        <v>-0.11688293433171072</v>
      </c>
      <c r="U28" s="71">
        <v>0.30028187788230482</v>
      </c>
      <c r="V28" s="71">
        <v>0.35679965917968359</v>
      </c>
      <c r="W28" s="71">
        <v>-6.4574693222775009E-2</v>
      </c>
      <c r="X28" s="71">
        <v>-0.29340002520109565</v>
      </c>
      <c r="Y28" s="71">
        <v>-0.28572407624248369</v>
      </c>
      <c r="Z28" s="71">
        <v>-0.22083250250594269</v>
      </c>
      <c r="AA28" s="71">
        <v>-0.11645889195810961</v>
      </c>
      <c r="AB28" s="71">
        <v>0.99999999999999978</v>
      </c>
      <c r="AC28" s="71">
        <v>-0.39493206944343479</v>
      </c>
      <c r="AD28" s="71">
        <v>-0.46267761000183755</v>
      </c>
      <c r="AE28" s="71">
        <v>0.12133862641905344</v>
      </c>
      <c r="AF28" s="71">
        <v>-2.1095796814172502E-3</v>
      </c>
      <c r="AG28" s="71">
        <v>-7.23052549529518E-2</v>
      </c>
      <c r="AH28" s="71">
        <v>0.25777881697214483</v>
      </c>
      <c r="AI28" s="71">
        <v>-0.16830499336977015</v>
      </c>
      <c r="AJ28" s="74">
        <v>-0.45768451649391484</v>
      </c>
    </row>
    <row r="29" spans="1:36" x14ac:dyDescent="0.3">
      <c r="A29" s="59" t="s">
        <v>303</v>
      </c>
      <c r="B29" s="71">
        <v>-0.15863492837609905</v>
      </c>
      <c r="C29" s="71">
        <v>-0.31532849461311696</v>
      </c>
      <c r="D29" s="71">
        <v>-0.14214600202006175</v>
      </c>
      <c r="E29" s="71">
        <v>-0.4242201842292328</v>
      </c>
      <c r="F29" s="71">
        <v>-9.5774080798778652E-2</v>
      </c>
      <c r="G29" s="71">
        <v>-0.13600059237162096</v>
      </c>
      <c r="H29" s="71">
        <v>5.0232590306964336E-2</v>
      </c>
      <c r="I29" s="71">
        <v>3.325326096758735E-2</v>
      </c>
      <c r="J29" s="71">
        <v>0.22738111734976943</v>
      </c>
      <c r="K29" s="71">
        <v>-0.18064864022295957</v>
      </c>
      <c r="L29" s="71">
        <v>-0.28811854043344198</v>
      </c>
      <c r="M29" s="71">
        <v>-0.15451893473300796</v>
      </c>
      <c r="N29" s="71">
        <v>-0.39716644938874363</v>
      </c>
      <c r="O29" s="71">
        <v>3.7283115675796147E-2</v>
      </c>
      <c r="P29" s="71">
        <v>-7.8167682593662635E-2</v>
      </c>
      <c r="Q29" s="71">
        <v>-7.357680257843037E-2</v>
      </c>
      <c r="R29" s="71">
        <v>1.3551813345819195E-3</v>
      </c>
      <c r="S29" s="71">
        <v>1.9816651801927796E-2</v>
      </c>
      <c r="T29" s="71">
        <v>0.19871019401768891</v>
      </c>
      <c r="U29" s="71">
        <v>-0.14526545463827903</v>
      </c>
      <c r="V29" s="71">
        <v>-9.8265652199279796E-2</v>
      </c>
      <c r="W29" s="71">
        <v>8.4928254181811311E-2</v>
      </c>
      <c r="X29" s="71">
        <v>-1.4602570782622627E-2</v>
      </c>
      <c r="Y29" s="71">
        <v>0.21290712128053943</v>
      </c>
      <c r="Z29" s="71">
        <v>0.26407523229863072</v>
      </c>
      <c r="AA29" s="71">
        <v>0.13921157357749814</v>
      </c>
      <c r="AB29" s="71">
        <v>-0.39493206944343479</v>
      </c>
      <c r="AC29" s="71">
        <v>0.99999999999999978</v>
      </c>
      <c r="AD29" s="71">
        <v>0.14647335148320978</v>
      </c>
      <c r="AE29" s="71">
        <v>-4.223062882170775E-2</v>
      </c>
      <c r="AF29" s="71">
        <v>7.1861843614665397E-2</v>
      </c>
      <c r="AG29" s="71">
        <v>-0.12564861386696824</v>
      </c>
      <c r="AH29" s="71">
        <v>-0.2953526205150338</v>
      </c>
      <c r="AI29" s="71">
        <v>-5.5798237347456515E-2</v>
      </c>
      <c r="AJ29" s="74">
        <v>0.20713315929943327</v>
      </c>
    </row>
    <row r="30" spans="1:36" x14ac:dyDescent="0.3">
      <c r="A30" s="59" t="s">
        <v>304</v>
      </c>
      <c r="B30" s="71">
        <v>-0.3604488108198024</v>
      </c>
      <c r="C30" s="71">
        <v>-0.18661931694441439</v>
      </c>
      <c r="D30" s="71">
        <v>-0.27803987315831225</v>
      </c>
      <c r="E30" s="71">
        <v>-0.42340287500249257</v>
      </c>
      <c r="F30" s="71">
        <v>-0.17606747090019015</v>
      </c>
      <c r="G30" s="71">
        <v>-0.30408730079054774</v>
      </c>
      <c r="H30" s="71">
        <v>5.8316348507474046E-2</v>
      </c>
      <c r="I30" s="71">
        <v>9.261356984285779E-2</v>
      </c>
      <c r="J30" s="71">
        <v>6.4190617533946351E-2</v>
      </c>
      <c r="K30" s="71">
        <v>-0.32522024866471416</v>
      </c>
      <c r="L30" s="71">
        <v>-0.3823111987989033</v>
      </c>
      <c r="M30" s="71">
        <v>-0.57883953708977154</v>
      </c>
      <c r="N30" s="71">
        <v>-0.56792310720780592</v>
      </c>
      <c r="O30" s="71">
        <v>-0.16011542633972045</v>
      </c>
      <c r="P30" s="71">
        <v>0.1910804103791538</v>
      </c>
      <c r="Q30" s="71">
        <v>1.4575191729211057E-2</v>
      </c>
      <c r="R30" s="71">
        <v>4.234079945167208E-2</v>
      </c>
      <c r="S30" s="71">
        <v>-6.4729014486139158E-2</v>
      </c>
      <c r="T30" s="71">
        <v>-2.2987059222818042E-2</v>
      </c>
      <c r="U30" s="71">
        <v>-0.31599714423854386</v>
      </c>
      <c r="V30" s="71">
        <v>-0.14077071416226075</v>
      </c>
      <c r="W30" s="71">
        <v>2.4699928012731201E-2</v>
      </c>
      <c r="X30" s="71">
        <v>0.43141750000362689</v>
      </c>
      <c r="Y30" s="71">
        <v>0.32794248692431821</v>
      </c>
      <c r="Z30" s="71">
        <v>-8.0351531547273564E-2</v>
      </c>
      <c r="AA30" s="71">
        <v>-8.485862334791866E-2</v>
      </c>
      <c r="AB30" s="71">
        <v>-0.46267761000183755</v>
      </c>
      <c r="AC30" s="71">
        <v>0.14647335148320978</v>
      </c>
      <c r="AD30" s="71">
        <v>1.0000000000000002</v>
      </c>
      <c r="AE30" s="71">
        <v>-2.9108397518591483E-2</v>
      </c>
      <c r="AF30" s="71">
        <v>4.5800781886637023E-3</v>
      </c>
      <c r="AG30" s="71">
        <v>0.39734645409746572</v>
      </c>
      <c r="AH30" s="71">
        <v>0.17483121031980381</v>
      </c>
      <c r="AI30" s="71">
        <v>0.2867568171712187</v>
      </c>
      <c r="AJ30" s="74">
        <v>0.48519597187696223</v>
      </c>
    </row>
    <row r="31" spans="1:36" x14ac:dyDescent="0.3">
      <c r="A31" s="59" t="s">
        <v>305</v>
      </c>
      <c r="B31" s="71">
        <v>-7.2346683570951476E-2</v>
      </c>
      <c r="C31" s="71">
        <v>-4.5491839780689427E-3</v>
      </c>
      <c r="D31" s="71">
        <v>-7.2007532180126788E-2</v>
      </c>
      <c r="E31" s="71">
        <v>9.341686515721892E-2</v>
      </c>
      <c r="F31" s="71">
        <v>0.16539675628508424</v>
      </c>
      <c r="G31" s="71">
        <v>-6.9071570267712754E-2</v>
      </c>
      <c r="H31" s="71">
        <v>-7.5257425139014969E-2</v>
      </c>
      <c r="I31" s="71">
        <v>-3.4329414855635572E-2</v>
      </c>
      <c r="J31" s="71">
        <v>1.5715825338274741E-2</v>
      </c>
      <c r="K31" s="71">
        <v>-3.5297123805267061E-2</v>
      </c>
      <c r="L31" s="71">
        <v>-6.8594063861595229E-3</v>
      </c>
      <c r="M31" s="71">
        <v>3.9361737064680886E-2</v>
      </c>
      <c r="N31" s="71">
        <v>1.8185868852318269E-2</v>
      </c>
      <c r="O31" s="71">
        <v>-2.3226002951427148E-2</v>
      </c>
      <c r="P31" s="71">
        <v>-3.5310062981549602E-2</v>
      </c>
      <c r="Q31" s="71">
        <v>-0.13341624270660943</v>
      </c>
      <c r="R31" s="71">
        <v>-0.1070289254660139</v>
      </c>
      <c r="S31" s="71">
        <v>-3.8678998094646748E-2</v>
      </c>
      <c r="T31" s="71">
        <v>3.1647178082777519E-2</v>
      </c>
      <c r="U31" s="71">
        <v>-5.9943635708728273E-2</v>
      </c>
      <c r="V31" s="71">
        <v>1.9517512331355073E-2</v>
      </c>
      <c r="W31" s="71">
        <v>-5.6272985108183682E-2</v>
      </c>
      <c r="X31" s="71">
        <v>1.5412427149111719E-4</v>
      </c>
      <c r="Y31" s="71">
        <v>-7.8297771893113391E-2</v>
      </c>
      <c r="Z31" s="71">
        <v>-2.6156328985404653E-2</v>
      </c>
      <c r="AA31" s="71">
        <v>-0.11711205654682902</v>
      </c>
      <c r="AB31" s="71">
        <v>0.12133862641905344</v>
      </c>
      <c r="AC31" s="71">
        <v>-4.223062882170775E-2</v>
      </c>
      <c r="AD31" s="71">
        <v>-2.9108397518591483E-2</v>
      </c>
      <c r="AE31" s="71">
        <v>1</v>
      </c>
      <c r="AF31" s="71">
        <v>-0.1501596029231303</v>
      </c>
      <c r="AG31" s="71">
        <v>1.6479395387710812E-2</v>
      </c>
      <c r="AH31" s="71">
        <v>9.7688052334172271E-2</v>
      </c>
      <c r="AI31" s="71">
        <v>-6.3402054843006747E-2</v>
      </c>
      <c r="AJ31" s="74">
        <v>-6.1360764254042389E-2</v>
      </c>
    </row>
    <row r="32" spans="1:36" x14ac:dyDescent="0.3">
      <c r="A32" s="59" t="s">
        <v>306</v>
      </c>
      <c r="B32" s="71">
        <v>-3.1381904490079694E-2</v>
      </c>
      <c r="C32" s="71">
        <v>-1.9728393433747177E-3</v>
      </c>
      <c r="D32" s="71">
        <v>-3.311479091757448E-2</v>
      </c>
      <c r="E32" s="71">
        <v>-7.6410959706741069E-2</v>
      </c>
      <c r="F32" s="71">
        <v>-0.11724493382972215</v>
      </c>
      <c r="G32" s="71">
        <v>-3.5723862793658578E-2</v>
      </c>
      <c r="H32" s="71">
        <v>-1.1908260105799076E-2</v>
      </c>
      <c r="I32" s="71">
        <v>-3.9266117368513723E-2</v>
      </c>
      <c r="J32" s="71">
        <v>-9.653933700794844E-3</v>
      </c>
      <c r="K32" s="71">
        <v>-1.6479783436086939E-2</v>
      </c>
      <c r="L32" s="71">
        <v>9.0769533321871362E-2</v>
      </c>
      <c r="M32" s="71">
        <v>-2.0890672402861885E-2</v>
      </c>
      <c r="N32" s="71">
        <v>1.661462455440936E-2</v>
      </c>
      <c r="O32" s="71">
        <v>0.1028851888927078</v>
      </c>
      <c r="P32" s="71">
        <v>1.0393337309745674E-2</v>
      </c>
      <c r="Q32" s="71">
        <v>0.10612607016854575</v>
      </c>
      <c r="R32" s="71">
        <v>6.6314542264617526E-2</v>
      </c>
      <c r="S32" s="71">
        <v>-8.4297903709432798E-2</v>
      </c>
      <c r="T32" s="71">
        <v>-5.0428160007156197E-3</v>
      </c>
      <c r="U32" s="71">
        <v>-2.2091300748864472E-2</v>
      </c>
      <c r="V32" s="71">
        <v>-5.3006952704624966E-2</v>
      </c>
      <c r="W32" s="71">
        <v>8.5467289197178248E-2</v>
      </c>
      <c r="X32" s="71">
        <v>-5.8750501027474436E-2</v>
      </c>
      <c r="Y32" s="71">
        <v>0.15177879218623619</v>
      </c>
      <c r="Z32" s="71">
        <v>0.10783315092267469</v>
      </c>
      <c r="AA32" s="71">
        <v>0.13432952670802811</v>
      </c>
      <c r="AB32" s="71">
        <v>-2.1095796814172502E-3</v>
      </c>
      <c r="AC32" s="71">
        <v>7.1861843614665397E-2</v>
      </c>
      <c r="AD32" s="71">
        <v>4.5800781886637023E-3</v>
      </c>
      <c r="AE32" s="71">
        <v>-0.1501596029231303</v>
      </c>
      <c r="AF32" s="71">
        <v>0.99999999999999989</v>
      </c>
      <c r="AG32" s="71">
        <v>5.0430902013186465E-2</v>
      </c>
      <c r="AH32" s="71">
        <v>1.5575532704599489E-2</v>
      </c>
      <c r="AI32" s="71">
        <v>2.4023250485407606E-2</v>
      </c>
      <c r="AJ32" s="74">
        <v>8.354228864060638E-2</v>
      </c>
    </row>
    <row r="33" spans="1:36" x14ac:dyDescent="0.3">
      <c r="A33" s="59" t="s">
        <v>308</v>
      </c>
      <c r="B33" s="71">
        <v>-0.24601527197770939</v>
      </c>
      <c r="C33" s="71">
        <v>-6.044926147232773E-2</v>
      </c>
      <c r="D33" s="71">
        <v>-0.17594522296239004</v>
      </c>
      <c r="E33" s="71">
        <v>-7.2657294473186709E-2</v>
      </c>
      <c r="F33" s="71">
        <v>3.1694277652885558E-2</v>
      </c>
      <c r="G33" s="71">
        <v>-0.19592997852442459</v>
      </c>
      <c r="H33" s="71">
        <v>-0.22861732301006063</v>
      </c>
      <c r="I33" s="71">
        <v>-0.16063899132027373</v>
      </c>
      <c r="J33" s="71">
        <v>0.11647987129082267</v>
      </c>
      <c r="K33" s="71">
        <v>-0.20768238743286974</v>
      </c>
      <c r="L33" s="71">
        <v>-0.28120591745620777</v>
      </c>
      <c r="M33" s="71">
        <v>-0.67310220747940608</v>
      </c>
      <c r="N33" s="71">
        <v>-0.37343389478366912</v>
      </c>
      <c r="O33" s="71">
        <v>-0.35863029576094052</v>
      </c>
      <c r="P33" s="71">
        <v>0.20299988867597765</v>
      </c>
      <c r="Q33" s="71">
        <v>-1.0299133522558835E-2</v>
      </c>
      <c r="R33" s="71">
        <v>-5.8551099000230838E-2</v>
      </c>
      <c r="S33" s="71">
        <v>-0.17642104956140564</v>
      </c>
      <c r="T33" s="71">
        <v>-3.9171297922348636E-2</v>
      </c>
      <c r="U33" s="71">
        <v>-0.20887270007742992</v>
      </c>
      <c r="V33" s="71">
        <v>-4.8503109267619547E-2</v>
      </c>
      <c r="W33" s="71">
        <v>0.1074942419200292</v>
      </c>
      <c r="X33" s="71">
        <v>0.51970715378382382</v>
      </c>
      <c r="Y33" s="71">
        <v>3.6883867356614197E-2</v>
      </c>
      <c r="Z33" s="71">
        <v>-0.346646367143432</v>
      </c>
      <c r="AA33" s="71">
        <v>-0.29690532331947256</v>
      </c>
      <c r="AB33" s="71">
        <v>-7.23052549529518E-2</v>
      </c>
      <c r="AC33" s="71">
        <v>-0.12564861386696824</v>
      </c>
      <c r="AD33" s="71">
        <v>0.39734645409746572</v>
      </c>
      <c r="AE33" s="71">
        <v>1.6479395387710812E-2</v>
      </c>
      <c r="AF33" s="71">
        <v>5.0430902013186465E-2</v>
      </c>
      <c r="AG33" s="71">
        <v>1</v>
      </c>
      <c r="AH33" s="71">
        <v>0.7635701417610713</v>
      </c>
      <c r="AI33" s="71">
        <v>0.75030138791100631</v>
      </c>
      <c r="AJ33" s="74">
        <v>0.67266816060479462</v>
      </c>
    </row>
    <row r="34" spans="1:36" x14ac:dyDescent="0.3">
      <c r="A34" s="59" t="s">
        <v>309</v>
      </c>
      <c r="B34" s="71">
        <v>3.56556705184028E-2</v>
      </c>
      <c r="C34" s="71">
        <v>9.3003469662616453E-2</v>
      </c>
      <c r="D34" s="71">
        <v>6.3776575825524498E-2</v>
      </c>
      <c r="E34" s="71">
        <v>0.16777407457864718</v>
      </c>
      <c r="F34" s="71">
        <v>7.3006383227339641E-2</v>
      </c>
      <c r="G34" s="71">
        <v>5.8657839537781357E-2</v>
      </c>
      <c r="H34" s="71">
        <v>-0.1181524046276831</v>
      </c>
      <c r="I34" s="71">
        <v>-6.5289561110074862E-2</v>
      </c>
      <c r="J34" s="71">
        <v>2.1681508459215008E-2</v>
      </c>
      <c r="K34" s="71">
        <v>5.2496111469187139E-2</v>
      </c>
      <c r="L34" s="71">
        <v>7.5630774778891628E-3</v>
      </c>
      <c r="M34" s="71">
        <v>-0.20194562975969826</v>
      </c>
      <c r="N34" s="71">
        <v>1.5475553612641585E-2</v>
      </c>
      <c r="O34" s="71">
        <v>-0.24246316606367216</v>
      </c>
      <c r="P34" s="71">
        <v>7.4619931029851871E-2</v>
      </c>
      <c r="Q34" s="71">
        <v>-8.1036627631030186E-2</v>
      </c>
      <c r="R34" s="71">
        <v>-6.5860155989346678E-2</v>
      </c>
      <c r="S34" s="71">
        <v>-0.14985598942825434</v>
      </c>
      <c r="T34" s="71">
        <v>-0.12304691586122951</v>
      </c>
      <c r="U34" s="71">
        <v>5.4322755293263233E-2</v>
      </c>
      <c r="V34" s="71">
        <v>0.13681883382471827</v>
      </c>
      <c r="W34" s="71">
        <v>0.11869162973438299</v>
      </c>
      <c r="X34" s="71">
        <v>0.24606414768355381</v>
      </c>
      <c r="Y34" s="71">
        <v>-7.5395715435977881E-2</v>
      </c>
      <c r="Z34" s="71">
        <v>-0.34030571952957384</v>
      </c>
      <c r="AA34" s="71">
        <v>-0.22053950264620678</v>
      </c>
      <c r="AB34" s="71">
        <v>0.25777881697214483</v>
      </c>
      <c r="AC34" s="71">
        <v>-0.2953526205150338</v>
      </c>
      <c r="AD34" s="71">
        <v>0.17483121031980381</v>
      </c>
      <c r="AE34" s="71">
        <v>9.7688052334172271E-2</v>
      </c>
      <c r="AF34" s="71">
        <v>1.5575532704599489E-2</v>
      </c>
      <c r="AG34" s="71">
        <v>0.7635701417610713</v>
      </c>
      <c r="AH34" s="71">
        <v>1.0000000000000002</v>
      </c>
      <c r="AI34" s="71">
        <v>0.26117053397524087</v>
      </c>
      <c r="AJ34" s="74">
        <v>0.10483499761199606</v>
      </c>
    </row>
    <row r="35" spans="1:36" x14ac:dyDescent="0.3">
      <c r="A35" s="59" t="s">
        <v>310</v>
      </c>
      <c r="B35" s="71">
        <v>-0.33683675020362197</v>
      </c>
      <c r="C35" s="71">
        <v>-5.3051443110802017E-2</v>
      </c>
      <c r="D35" s="71">
        <v>-0.26924209217694683</v>
      </c>
      <c r="E35" s="71">
        <v>-9.0165563816304015E-2</v>
      </c>
      <c r="F35" s="71">
        <v>5.1185167745274339E-2</v>
      </c>
      <c r="G35" s="71">
        <v>-0.29475341400133431</v>
      </c>
      <c r="H35" s="71">
        <v>-0.21175036125105701</v>
      </c>
      <c r="I35" s="71">
        <v>-0.17244772873611935</v>
      </c>
      <c r="J35" s="71">
        <v>7.5868337348293596E-2</v>
      </c>
      <c r="K35" s="71">
        <v>-0.29852057885984024</v>
      </c>
      <c r="L35" s="71">
        <v>-0.30065994300941173</v>
      </c>
      <c r="M35" s="71">
        <v>-0.74803456037477623</v>
      </c>
      <c r="N35" s="71">
        <v>-0.42117960225614365</v>
      </c>
      <c r="O35" s="71">
        <v>-0.2851639870937257</v>
      </c>
      <c r="P35" s="71">
        <v>0.23827145122646129</v>
      </c>
      <c r="Q35" s="71">
        <v>3.6931593089739277E-2</v>
      </c>
      <c r="R35" s="71">
        <v>-6.6533414885429465E-2</v>
      </c>
      <c r="S35" s="71">
        <v>-0.15202462364957803</v>
      </c>
      <c r="T35" s="71">
        <v>2.7711008621227429E-2</v>
      </c>
      <c r="U35" s="71">
        <v>-0.30394037442613625</v>
      </c>
      <c r="V35" s="71">
        <v>-7.5914791880899987E-2</v>
      </c>
      <c r="W35" s="71">
        <v>4.2737903601794393E-2</v>
      </c>
      <c r="X35" s="71">
        <v>0.49795171963546569</v>
      </c>
      <c r="Y35" s="71">
        <v>2.583255772128247E-2</v>
      </c>
      <c r="Z35" s="71">
        <v>-0.29530061704376775</v>
      </c>
      <c r="AA35" s="71">
        <v>-0.26655192972717467</v>
      </c>
      <c r="AB35" s="71">
        <v>-0.16830499336977015</v>
      </c>
      <c r="AC35" s="71">
        <v>-5.5798237347456515E-2</v>
      </c>
      <c r="AD35" s="71">
        <v>0.2867568171712187</v>
      </c>
      <c r="AE35" s="71">
        <v>-6.3402054843006747E-2</v>
      </c>
      <c r="AF35" s="71">
        <v>2.4023250485407606E-2</v>
      </c>
      <c r="AG35" s="71">
        <v>0.75030138791100631</v>
      </c>
      <c r="AH35" s="71">
        <v>0.26117053397524087</v>
      </c>
      <c r="AI35" s="71">
        <v>1</v>
      </c>
      <c r="AJ35" s="74">
        <v>0.6374116652664189</v>
      </c>
    </row>
    <row r="36" spans="1:36" x14ac:dyDescent="0.3">
      <c r="A36" s="60" t="s">
        <v>311</v>
      </c>
      <c r="B36" s="72">
        <v>-0.39727361205218598</v>
      </c>
      <c r="C36" s="72">
        <v>-0.25926214658562097</v>
      </c>
      <c r="D36" s="72">
        <v>-0.32141333236072833</v>
      </c>
      <c r="E36" s="72">
        <v>-0.37924522715477027</v>
      </c>
      <c r="F36" s="72">
        <v>-8.0581092649339242E-2</v>
      </c>
      <c r="G36" s="72">
        <v>-0.34251769892288159</v>
      </c>
      <c r="H36" s="72">
        <v>-0.21069418009521809</v>
      </c>
      <c r="I36" s="72">
        <v>-0.15647489262171707</v>
      </c>
      <c r="J36" s="72">
        <v>0.1969638666176888</v>
      </c>
      <c r="K36" s="72">
        <v>-0.35874497839601355</v>
      </c>
      <c r="L36" s="72">
        <v>-0.47141530718371732</v>
      </c>
      <c r="M36" s="72">
        <v>-0.75074318622526615</v>
      </c>
      <c r="N36" s="72">
        <v>-0.61733413477624732</v>
      </c>
      <c r="O36" s="72">
        <v>-0.2764911832395931</v>
      </c>
      <c r="P36" s="72">
        <v>0.1932792780508332</v>
      </c>
      <c r="Q36" s="72">
        <v>7.3129670022694618E-2</v>
      </c>
      <c r="R36" s="72">
        <v>1.4585413463126395E-2</v>
      </c>
      <c r="S36" s="72">
        <v>-7.8019995914464707E-2</v>
      </c>
      <c r="T36" s="72">
        <v>7.4128683189025435E-2</v>
      </c>
      <c r="U36" s="72">
        <v>-0.36053398232905132</v>
      </c>
      <c r="V36" s="72">
        <v>-0.2792400654942846</v>
      </c>
      <c r="W36" s="72">
        <v>4.586388956649106E-2</v>
      </c>
      <c r="X36" s="72">
        <v>0.50182883139987633</v>
      </c>
      <c r="Y36" s="72">
        <v>0.19588246325760023</v>
      </c>
      <c r="Z36" s="72">
        <v>-8.0015947664591386E-2</v>
      </c>
      <c r="AA36" s="72">
        <v>-0.16959583733163763</v>
      </c>
      <c r="AB36" s="72">
        <v>-0.45768451649391484</v>
      </c>
      <c r="AC36" s="72">
        <v>0.20713315929943327</v>
      </c>
      <c r="AD36" s="72">
        <v>0.48519597187696223</v>
      </c>
      <c r="AE36" s="72">
        <v>-6.1360764254042389E-2</v>
      </c>
      <c r="AF36" s="72">
        <v>8.354228864060638E-2</v>
      </c>
      <c r="AG36" s="72">
        <v>0.67266816060479462</v>
      </c>
      <c r="AH36" s="72">
        <v>0.10483499761199606</v>
      </c>
      <c r="AI36" s="72">
        <v>0.6374116652664189</v>
      </c>
      <c r="AJ36" s="75">
        <v>1</v>
      </c>
    </row>
    <row r="43" spans="1:36" x14ac:dyDescent="0.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2"/>
    </row>
    <row r="44" spans="1:36" x14ac:dyDescent="0.3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2"/>
    </row>
    <row r="45" spans="1:36" x14ac:dyDescent="0.3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2"/>
    </row>
    <row r="46" spans="1:36" x14ac:dyDescent="0.3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2"/>
    </row>
    <row r="47" spans="1:36" x14ac:dyDescent="0.3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2"/>
    </row>
    <row r="48" spans="1:36" x14ac:dyDescent="0.3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2"/>
    </row>
    <row r="49" spans="1:35" x14ac:dyDescent="0.3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2"/>
    </row>
    <row r="50" spans="1:35" x14ac:dyDescent="0.3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2"/>
    </row>
    <row r="51" spans="1:35" x14ac:dyDescent="0.3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2"/>
    </row>
    <row r="52" spans="1:35" x14ac:dyDescent="0.3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2"/>
    </row>
    <row r="53" spans="1:35" x14ac:dyDescent="0.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2"/>
    </row>
    <row r="54" spans="1:35" x14ac:dyDescent="0.3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2"/>
    </row>
    <row r="55" spans="1:35" x14ac:dyDescent="0.3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2"/>
    </row>
    <row r="56" spans="1:35" x14ac:dyDescent="0.3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2"/>
    </row>
    <row r="57" spans="1:35" x14ac:dyDescent="0.3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2"/>
    </row>
    <row r="58" spans="1:35" x14ac:dyDescent="0.3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2"/>
    </row>
    <row r="59" spans="1:35" x14ac:dyDescent="0.3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2"/>
    </row>
    <row r="60" spans="1:35" x14ac:dyDescent="0.3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2"/>
    </row>
    <row r="61" spans="1:35" x14ac:dyDescent="0.3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2"/>
    </row>
    <row r="62" spans="1:35" x14ac:dyDescent="0.3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2"/>
    </row>
    <row r="63" spans="1:35" x14ac:dyDescent="0.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2"/>
    </row>
    <row r="64" spans="1:35" x14ac:dyDescent="0.3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2"/>
    </row>
    <row r="65" spans="1:35" x14ac:dyDescent="0.3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2"/>
    </row>
    <row r="66" spans="1:35" x14ac:dyDescent="0.3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2"/>
    </row>
    <row r="67" spans="1:35" x14ac:dyDescent="0.3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2"/>
    </row>
    <row r="68" spans="1:35" x14ac:dyDescent="0.3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2"/>
    </row>
    <row r="69" spans="1:35" x14ac:dyDescent="0.3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2"/>
    </row>
    <row r="70" spans="1:35" x14ac:dyDescent="0.3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2"/>
    </row>
    <row r="71" spans="1:35" x14ac:dyDescent="0.3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2"/>
    </row>
    <row r="72" spans="1:35" x14ac:dyDescent="0.3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2"/>
    </row>
    <row r="73" spans="1:35" x14ac:dyDescent="0.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2"/>
    </row>
    <row r="74" spans="1:35" x14ac:dyDescent="0.3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2"/>
    </row>
    <row r="75" spans="1:35" x14ac:dyDescent="0.3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2"/>
    </row>
    <row r="76" spans="1:35" x14ac:dyDescent="0.3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2"/>
    </row>
    <row r="77" spans="1:35" x14ac:dyDescent="0.3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2"/>
    </row>
  </sheetData>
  <conditionalFormatting sqref="A43:AI77">
    <cfRule type="colorScale" priority="2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conditionalFormatting sqref="B2:AJ36">
    <cfRule type="colorScale" priority="1">
      <colorScale>
        <cfvo type="num" val="-1"/>
        <cfvo type="num" val="0"/>
        <cfvo type="num" val="1"/>
        <color rgb="FFF8696B"/>
        <color theme="0"/>
        <color theme="8" tint="-0.24997711111789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85"/>
  <sheetViews>
    <sheetView tabSelected="1" topLeftCell="T67" workbookViewId="0">
      <selection activeCell="A88" sqref="A88:XFD88"/>
    </sheetView>
  </sheetViews>
  <sheetFormatPr defaultRowHeight="14.4" x14ac:dyDescent="0.3"/>
  <cols>
    <col min="1" max="1" width="25.33203125" customWidth="1"/>
    <col min="2" max="2" width="8.109375" customWidth="1"/>
    <col min="3" max="3" width="12" customWidth="1"/>
    <col min="4" max="4" width="5.6640625" customWidth="1"/>
    <col min="5" max="6" width="12" customWidth="1"/>
    <col min="7" max="7" width="8" customWidth="1"/>
    <col min="8" max="9" width="12" customWidth="1"/>
    <col min="10" max="10" width="9" customWidth="1"/>
    <col min="11" max="11" width="12" customWidth="1"/>
    <col min="12" max="12" width="9" customWidth="1"/>
    <col min="13" max="14" width="6" customWidth="1"/>
    <col min="15" max="16" width="12" customWidth="1"/>
    <col min="17" max="19" width="6" customWidth="1"/>
    <col min="20" max="20" width="12" customWidth="1"/>
    <col min="21" max="21" width="11.44140625" customWidth="1"/>
    <col min="22" max="22" width="8.33203125" customWidth="1"/>
    <col min="23" max="23" width="11.109375" customWidth="1"/>
    <col min="24" max="24" width="12" customWidth="1"/>
    <col min="25" max="25" width="5.88671875" customWidth="1"/>
    <col min="26" max="27" width="12" customWidth="1"/>
    <col min="28" max="28" width="7.5546875" customWidth="1"/>
    <col min="29" max="29" width="9.88671875" customWidth="1"/>
    <col min="30" max="30" width="12" customWidth="1"/>
    <col min="31" max="31" width="9.5546875" customWidth="1"/>
    <col min="32" max="32" width="7" customWidth="1"/>
    <col min="33" max="33" width="6" customWidth="1"/>
    <col min="34" max="34" width="8.109375" customWidth="1"/>
    <col min="35" max="35" width="9.88671875" customWidth="1"/>
    <col min="46" max="46" width="14" customWidth="1"/>
  </cols>
  <sheetData>
    <row r="1" spans="1:46" x14ac:dyDescent="0.3">
      <c r="A1" t="s">
        <v>341</v>
      </c>
      <c r="B1" t="s">
        <v>277</v>
      </c>
      <c r="C1" t="s">
        <v>278</v>
      </c>
      <c r="D1" t="s">
        <v>279</v>
      </c>
      <c r="E1" t="s">
        <v>280</v>
      </c>
      <c r="F1" t="s">
        <v>335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  <c r="Y1" t="s">
        <v>299</v>
      </c>
      <c r="Z1" t="s">
        <v>300</v>
      </c>
      <c r="AA1" t="s">
        <v>301</v>
      </c>
      <c r="AB1" t="s">
        <v>302</v>
      </c>
      <c r="AC1" t="s">
        <v>303</v>
      </c>
      <c r="AD1" t="s">
        <v>304</v>
      </c>
      <c r="AE1" t="s">
        <v>305</v>
      </c>
      <c r="AF1" t="s">
        <v>306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316</v>
      </c>
      <c r="AP1" t="s">
        <v>317</v>
      </c>
      <c r="AQ1" t="s">
        <v>318</v>
      </c>
      <c r="AR1" t="s">
        <v>319</v>
      </c>
      <c r="AS1" t="s">
        <v>320</v>
      </c>
      <c r="AT1" t="s">
        <v>342</v>
      </c>
    </row>
    <row r="2" spans="1:46" x14ac:dyDescent="0.3">
      <c r="A2" t="s">
        <v>89</v>
      </c>
      <c r="B2">
        <v>53</v>
      </c>
      <c r="C2">
        <v>451.56343188208234</v>
      </c>
      <c r="D2">
        <v>2</v>
      </c>
      <c r="E2">
        <v>17.040129504984236</v>
      </c>
      <c r="F2">
        <v>3.7735849056603772E-2</v>
      </c>
      <c r="G2">
        <v>11737</v>
      </c>
      <c r="H2">
        <v>4543015.5065178499</v>
      </c>
      <c r="I2">
        <v>89649825.338672578</v>
      </c>
      <c r="J2">
        <v>180.833</v>
      </c>
      <c r="K2">
        <v>64.905188765324908</v>
      </c>
      <c r="L2">
        <v>7360.5</v>
      </c>
      <c r="M2">
        <v>0.628</v>
      </c>
      <c r="N2">
        <v>9.73</v>
      </c>
      <c r="O2" s="89">
        <v>62997044.815540597</v>
      </c>
      <c r="P2" s="89">
        <v>86942125.500553802</v>
      </c>
      <c r="Q2">
        <v>6.1</v>
      </c>
      <c r="R2">
        <v>4.5999999999999996</v>
      </c>
      <c r="S2">
        <v>4.3</v>
      </c>
      <c r="T2">
        <v>98.509397278029795</v>
      </c>
      <c r="U2">
        <v>8651.3700000000008</v>
      </c>
      <c r="V2">
        <v>8.52</v>
      </c>
      <c r="W2">
        <v>32.26</v>
      </c>
      <c r="X2">
        <v>46.190837762591698</v>
      </c>
      <c r="Y2">
        <v>0.77</v>
      </c>
      <c r="Z2">
        <v>8.5200647500000004E-2</v>
      </c>
      <c r="AA2">
        <v>9.0312686376000002</v>
      </c>
      <c r="AB2">
        <v>0</v>
      </c>
      <c r="AC2">
        <v>1</v>
      </c>
      <c r="AD2">
        <v>0.56631097560975607</v>
      </c>
      <c r="AE2">
        <v>0</v>
      </c>
      <c r="AF2">
        <v>0.51200000000000001</v>
      </c>
      <c r="AG2">
        <v>0.48</v>
      </c>
      <c r="AH2">
        <v>0.29799999999999999</v>
      </c>
      <c r="AI2">
        <v>0.54100000000000004</v>
      </c>
      <c r="AJ2">
        <v>0.6</v>
      </c>
      <c r="AK2">
        <v>6.3644883701116123E-2</v>
      </c>
      <c r="AL2">
        <v>0.2286</v>
      </c>
      <c r="AM2">
        <v>6.8493150684931496</v>
      </c>
      <c r="AN2">
        <v>0.66860465116279055</v>
      </c>
      <c r="AO2">
        <v>0.14254068330919314</v>
      </c>
      <c r="AP2">
        <v>349.32265485217687</v>
      </c>
      <c r="AQ2">
        <v>477.12362613955867</v>
      </c>
      <c r="AR2">
        <v>102.24077702990543</v>
      </c>
      <c r="AS2">
        <v>17.040129504984236</v>
      </c>
      <c r="AT2" s="93">
        <v>2300101</v>
      </c>
    </row>
    <row r="3" spans="1:46" x14ac:dyDescent="0.3">
      <c r="A3" t="s">
        <v>90</v>
      </c>
      <c r="B3">
        <v>1132</v>
      </c>
      <c r="C3">
        <v>7582.5574385424334</v>
      </c>
      <c r="D3">
        <v>14</v>
      </c>
      <c r="E3">
        <v>93.77721213745059</v>
      </c>
      <c r="F3">
        <v>1.2367491166077738E-2</v>
      </c>
      <c r="G3">
        <v>14929</v>
      </c>
      <c r="H3">
        <v>12572691.472972069</v>
      </c>
      <c r="I3">
        <v>99663741.710764289</v>
      </c>
      <c r="J3">
        <v>130.00200000000001</v>
      </c>
      <c r="K3">
        <v>114.83669482007969</v>
      </c>
      <c r="L3">
        <v>8075.56</v>
      </c>
      <c r="M3">
        <v>0.60599999999999998</v>
      </c>
      <c r="N3">
        <v>24.07</v>
      </c>
      <c r="O3" s="89">
        <v>67889535.333913863</v>
      </c>
      <c r="P3" s="89">
        <v>90471448.723960072</v>
      </c>
      <c r="Q3">
        <v>5.4</v>
      </c>
      <c r="R3">
        <v>4.9000000000000004</v>
      </c>
      <c r="S3">
        <v>4.3</v>
      </c>
      <c r="T3">
        <v>98.558373020980795</v>
      </c>
      <c r="U3">
        <v>20331.29</v>
      </c>
      <c r="V3">
        <v>40.19</v>
      </c>
      <c r="W3">
        <v>32.97</v>
      </c>
      <c r="X3">
        <v>43.854748603352</v>
      </c>
      <c r="Y3">
        <v>1.21</v>
      </c>
      <c r="Z3">
        <v>0</v>
      </c>
      <c r="AA3">
        <v>7.6361444168999997</v>
      </c>
      <c r="AB3">
        <v>0</v>
      </c>
      <c r="AC3">
        <v>1</v>
      </c>
      <c r="AD3">
        <v>0.47959316729690965</v>
      </c>
      <c r="AE3">
        <v>1</v>
      </c>
      <c r="AF3">
        <v>0.53520000000000001</v>
      </c>
      <c r="AG3">
        <v>0.42399999999999999</v>
      </c>
      <c r="AH3">
        <v>0.247</v>
      </c>
      <c r="AI3">
        <v>0.57699999999999996</v>
      </c>
      <c r="AJ3">
        <v>0.44900000000000001</v>
      </c>
      <c r="AK3">
        <v>0.12686717127737959</v>
      </c>
      <c r="AL3">
        <v>0.17059999999999997</v>
      </c>
      <c r="AM3">
        <v>17.167381974248901</v>
      </c>
      <c r="AN3">
        <v>0.86407766990291268</v>
      </c>
      <c r="AO3">
        <v>0.11802531984727711</v>
      </c>
      <c r="AP3">
        <v>395.2039654363989</v>
      </c>
      <c r="AQ3">
        <v>355.01373166320582</v>
      </c>
      <c r="AR3">
        <v>66.983722955321866</v>
      </c>
      <c r="AS3">
        <v>13.396744591064373</v>
      </c>
      <c r="AT3" s="93">
        <v>2300150</v>
      </c>
    </row>
    <row r="4" spans="1:46" x14ac:dyDescent="0.3">
      <c r="A4" t="s">
        <v>345</v>
      </c>
      <c r="B4">
        <v>2464</v>
      </c>
      <c r="C4">
        <v>3933.5259654220076</v>
      </c>
      <c r="D4">
        <v>54</v>
      </c>
      <c r="E4">
        <v>86.205520346099206</v>
      </c>
      <c r="F4">
        <v>2.1915584415584416E-2</v>
      </c>
      <c r="G4">
        <v>62641</v>
      </c>
      <c r="H4">
        <v>6519993.3749461211</v>
      </c>
      <c r="I4">
        <v>108659184.87891318</v>
      </c>
      <c r="J4">
        <v>842.471</v>
      </c>
      <c r="K4">
        <v>74.353894674119346</v>
      </c>
      <c r="L4">
        <v>8932.85</v>
      </c>
      <c r="M4">
        <v>0.60099999999999998</v>
      </c>
      <c r="N4">
        <v>30.63</v>
      </c>
      <c r="O4" s="89">
        <v>52475044.906690508</v>
      </c>
      <c r="P4" s="89">
        <v>88636103.478552386</v>
      </c>
      <c r="Q4">
        <v>6.5</v>
      </c>
      <c r="R4">
        <v>5.3</v>
      </c>
      <c r="S4">
        <v>4.5999999999999996</v>
      </c>
      <c r="T4">
        <v>98.039828192112495</v>
      </c>
      <c r="U4">
        <v>97471.77</v>
      </c>
      <c r="V4">
        <v>15.96</v>
      </c>
      <c r="W4">
        <v>30.48</v>
      </c>
      <c r="X4">
        <v>53.979145537525397</v>
      </c>
      <c r="Y4">
        <v>0.54</v>
      </c>
      <c r="Z4">
        <v>1.1174789674000001</v>
      </c>
      <c r="AA4">
        <v>8.8600118132999999</v>
      </c>
      <c r="AB4">
        <v>0</v>
      </c>
      <c r="AC4">
        <v>0</v>
      </c>
      <c r="AD4">
        <v>0.50927003874824073</v>
      </c>
      <c r="AE4">
        <v>0</v>
      </c>
      <c r="AF4">
        <v>1</v>
      </c>
      <c r="AG4">
        <v>0.52200000000000002</v>
      </c>
      <c r="AH4">
        <v>0.41299999999999998</v>
      </c>
      <c r="AI4">
        <v>0.58099999999999996</v>
      </c>
      <c r="AJ4">
        <v>0.57099999999999995</v>
      </c>
      <c r="AK4">
        <v>6.0711035903002829E-2</v>
      </c>
      <c r="AL4">
        <v>0.31909999999999999</v>
      </c>
      <c r="AM4">
        <v>14.883720930232601</v>
      </c>
      <c r="AN4">
        <v>0.90058765915768868</v>
      </c>
      <c r="AO4">
        <v>0.1068309892881659</v>
      </c>
      <c r="AP4">
        <v>261.80935808815315</v>
      </c>
      <c r="AQ4">
        <v>343.22568285946903</v>
      </c>
      <c r="AR4">
        <v>46.295557222905131</v>
      </c>
      <c r="AS4">
        <v>44.699158697977367</v>
      </c>
      <c r="AT4" s="93">
        <v>2300200</v>
      </c>
    </row>
    <row r="5" spans="1:46" x14ac:dyDescent="0.3">
      <c r="A5" t="s">
        <v>92</v>
      </c>
      <c r="B5">
        <v>463</v>
      </c>
      <c r="C5">
        <v>853.14169891284314</v>
      </c>
      <c r="D5">
        <v>22</v>
      </c>
      <c r="E5">
        <v>40.538050488299248</v>
      </c>
      <c r="F5">
        <v>4.7516198704103674E-2</v>
      </c>
      <c r="G5">
        <v>54270</v>
      </c>
      <c r="H5">
        <v>4032983.4715312324</v>
      </c>
      <c r="I5">
        <v>91450525.152017683</v>
      </c>
      <c r="J5">
        <v>2254.279</v>
      </c>
      <c r="K5">
        <v>24.07421619063124</v>
      </c>
      <c r="L5">
        <v>7038.21</v>
      </c>
      <c r="M5">
        <v>0.59499999999999997</v>
      </c>
      <c r="N5">
        <v>19.16</v>
      </c>
      <c r="O5" s="89">
        <v>46508282.034273081</v>
      </c>
      <c r="P5" s="89">
        <v>94679030.200847611</v>
      </c>
      <c r="Q5">
        <v>6</v>
      </c>
      <c r="R5">
        <v>5.5</v>
      </c>
      <c r="S5">
        <v>4.5999999999999996</v>
      </c>
      <c r="T5">
        <v>99.613063706296899</v>
      </c>
      <c r="U5">
        <v>69789.350000000006</v>
      </c>
      <c r="V5">
        <v>29.48</v>
      </c>
      <c r="W5">
        <v>32.47</v>
      </c>
      <c r="X5">
        <v>47.321084414750104</v>
      </c>
      <c r="Y5">
        <v>0.53</v>
      </c>
      <c r="Z5">
        <v>1.8057858854</v>
      </c>
      <c r="AA5">
        <v>6.8177630366999997</v>
      </c>
      <c r="AB5">
        <v>0</v>
      </c>
      <c r="AC5">
        <v>1</v>
      </c>
      <c r="AD5">
        <v>0.50688037529319785</v>
      </c>
      <c r="AE5">
        <v>1</v>
      </c>
      <c r="AF5">
        <v>0.49920000000000003</v>
      </c>
      <c r="AG5">
        <v>0.42799999999999999</v>
      </c>
      <c r="AH5">
        <v>0.186</v>
      </c>
      <c r="AI5">
        <v>0.52600000000000002</v>
      </c>
      <c r="AJ5">
        <v>0.57099999999999995</v>
      </c>
      <c r="AK5">
        <v>5.0912106135986734E-2</v>
      </c>
      <c r="AL5">
        <v>0.2979</v>
      </c>
      <c r="AM5">
        <v>6.6225165562913899</v>
      </c>
      <c r="AN5">
        <v>0.87522202486678524</v>
      </c>
      <c r="AO5">
        <v>0.16403169338492721</v>
      </c>
      <c r="AP5">
        <v>316.93384927215772</v>
      </c>
      <c r="AQ5">
        <v>480.92868988391382</v>
      </c>
      <c r="AR5">
        <v>55.279159756771698</v>
      </c>
      <c r="AS5">
        <v>3.6852773171181132</v>
      </c>
      <c r="AT5" s="93">
        <v>2300309</v>
      </c>
    </row>
    <row r="6" spans="1:46" x14ac:dyDescent="0.3">
      <c r="A6" t="s">
        <v>93</v>
      </c>
      <c r="B6">
        <v>15</v>
      </c>
      <c r="C6">
        <v>86.211851255819298</v>
      </c>
      <c r="D6">
        <v>1</v>
      </c>
      <c r="E6">
        <v>5.7474567503879532</v>
      </c>
      <c r="F6">
        <v>6.6666666666666666E-2</v>
      </c>
      <c r="G6">
        <v>17399</v>
      </c>
      <c r="H6">
        <v>2391931.9501120755</v>
      </c>
      <c r="I6">
        <v>87042933.501925394</v>
      </c>
      <c r="J6">
        <v>2438.5630000000001</v>
      </c>
      <c r="K6">
        <v>7.134939716546179</v>
      </c>
      <c r="L6">
        <v>6424.51</v>
      </c>
      <c r="M6">
        <v>0.56899999999999995</v>
      </c>
      <c r="N6">
        <v>9.0500000000000007</v>
      </c>
      <c r="O6" s="89">
        <v>60010231.73745618</v>
      </c>
      <c r="P6" s="89">
        <v>108320808.95453762</v>
      </c>
      <c r="Q6">
        <v>6.8</v>
      </c>
      <c r="R6">
        <v>5.5</v>
      </c>
      <c r="S6">
        <v>4.0999999999999996</v>
      </c>
      <c r="T6">
        <v>100</v>
      </c>
      <c r="U6">
        <v>10923.99</v>
      </c>
      <c r="V6">
        <v>11.49</v>
      </c>
      <c r="W6">
        <v>31.25</v>
      </c>
      <c r="X6">
        <v>49.065340421883</v>
      </c>
      <c r="Y6">
        <v>0.46</v>
      </c>
      <c r="Z6">
        <v>1.7242370251000001</v>
      </c>
      <c r="AA6">
        <v>8.3912868556000006</v>
      </c>
      <c r="AB6">
        <v>0</v>
      </c>
      <c r="AC6">
        <v>1</v>
      </c>
      <c r="AD6">
        <v>0.75615626735789665</v>
      </c>
      <c r="AE6">
        <v>1</v>
      </c>
      <c r="AF6">
        <v>0.57600000000000007</v>
      </c>
      <c r="AG6">
        <v>0.46100000000000002</v>
      </c>
      <c r="AH6">
        <v>0.218</v>
      </c>
      <c r="AI6">
        <v>0.56999999999999995</v>
      </c>
      <c r="AJ6">
        <v>0.59499999999999997</v>
      </c>
      <c r="AK6">
        <v>5.3451347778607966E-2</v>
      </c>
      <c r="AL6">
        <v>0.3614</v>
      </c>
      <c r="AM6">
        <v>11.4285714285714</v>
      </c>
      <c r="AN6">
        <v>0.92255434782608703</v>
      </c>
      <c r="AO6">
        <v>0.14201965630208632</v>
      </c>
      <c r="AP6">
        <v>321.85757802172543</v>
      </c>
      <c r="AQ6">
        <v>712.68463704810631</v>
      </c>
      <c r="AR6">
        <v>51.72711075349158</v>
      </c>
      <c r="AS6">
        <v>11.494913500775906</v>
      </c>
      <c r="AT6" s="93">
        <v>2300408</v>
      </c>
    </row>
    <row r="7" spans="1:46" x14ac:dyDescent="0.3">
      <c r="A7" t="s">
        <v>349</v>
      </c>
      <c r="B7">
        <v>365</v>
      </c>
      <c r="C7">
        <v>3115.9296568208979</v>
      </c>
      <c r="D7">
        <v>3</v>
      </c>
      <c r="E7">
        <v>25.610380740993687</v>
      </c>
      <c r="F7">
        <v>8.21917808219178E-3</v>
      </c>
      <c r="G7">
        <v>11714</v>
      </c>
      <c r="H7">
        <v>2852514.0857094075</v>
      </c>
      <c r="I7">
        <v>81000512.207614809</v>
      </c>
      <c r="J7">
        <v>135.76</v>
      </c>
      <c r="K7">
        <v>86.284619917501473</v>
      </c>
      <c r="L7">
        <v>6506.65</v>
      </c>
      <c r="M7">
        <v>0.6</v>
      </c>
      <c r="N7">
        <v>15.7</v>
      </c>
      <c r="O7" s="89">
        <v>58264349.325593308</v>
      </c>
      <c r="P7" s="89">
        <v>101979572.90421717</v>
      </c>
      <c r="Q7">
        <v>7.3</v>
      </c>
      <c r="R7">
        <v>5.0999999999999996</v>
      </c>
      <c r="S7">
        <v>4</v>
      </c>
      <c r="T7">
        <v>99.662162162162204</v>
      </c>
      <c r="U7">
        <v>7532.92</v>
      </c>
      <c r="V7">
        <v>0</v>
      </c>
      <c r="W7">
        <v>31.58</v>
      </c>
      <c r="X7">
        <v>32.391138273491201</v>
      </c>
      <c r="Y7">
        <v>0.94</v>
      </c>
      <c r="Z7">
        <v>0</v>
      </c>
      <c r="AA7">
        <v>9.3904729384000003</v>
      </c>
      <c r="AB7">
        <v>0</v>
      </c>
      <c r="AC7">
        <v>0</v>
      </c>
      <c r="AD7">
        <v>0.67988116238046603</v>
      </c>
      <c r="AE7">
        <v>0</v>
      </c>
      <c r="AF7">
        <v>0.58069999999999999</v>
      </c>
      <c r="AG7">
        <v>0.43099999999999999</v>
      </c>
      <c r="AH7">
        <v>0.35699999999999998</v>
      </c>
      <c r="AI7">
        <v>0.47399999999999998</v>
      </c>
      <c r="AJ7">
        <v>0.46100000000000002</v>
      </c>
      <c r="AK7">
        <v>8.1782482499573164E-2</v>
      </c>
      <c r="AL7">
        <v>0.22920000000000001</v>
      </c>
      <c r="AM7">
        <v>6.7567567567567597</v>
      </c>
      <c r="AN7">
        <v>0.97933884297520646</v>
      </c>
      <c r="AO7">
        <v>0.12924705480621479</v>
      </c>
      <c r="AP7">
        <v>315.86136247225545</v>
      </c>
      <c r="AQ7">
        <v>452.45005975755504</v>
      </c>
      <c r="AR7">
        <v>34.147174321324911</v>
      </c>
      <c r="AS7">
        <v>0</v>
      </c>
      <c r="AT7" s="93">
        <v>2300507</v>
      </c>
    </row>
    <row r="8" spans="1:46" x14ac:dyDescent="0.3">
      <c r="A8" t="s">
        <v>95</v>
      </c>
      <c r="B8">
        <v>7</v>
      </c>
      <c r="C8">
        <v>92.275243870287369</v>
      </c>
      <c r="D8">
        <v>0</v>
      </c>
      <c r="E8">
        <v>0</v>
      </c>
      <c r="F8">
        <v>0</v>
      </c>
      <c r="G8">
        <v>7586</v>
      </c>
      <c r="H8">
        <v>3530793.4352755076</v>
      </c>
      <c r="I8">
        <v>102623253.36145532</v>
      </c>
      <c r="J8">
        <v>72.674999999999997</v>
      </c>
      <c r="K8">
        <v>104.38252493980049</v>
      </c>
      <c r="L8">
        <v>6606.64</v>
      </c>
      <c r="M8">
        <v>0.60199999999999998</v>
      </c>
      <c r="N8">
        <v>16.399999999999999</v>
      </c>
      <c r="O8" s="89">
        <v>71871931.979963079</v>
      </c>
      <c r="P8" s="89">
        <v>123183484.04956499</v>
      </c>
      <c r="Q8">
        <v>6.5</v>
      </c>
      <c r="R8">
        <v>5.4</v>
      </c>
      <c r="S8">
        <v>3.5</v>
      </c>
      <c r="T8">
        <v>99.589603283173702</v>
      </c>
      <c r="U8">
        <v>4777.87</v>
      </c>
      <c r="V8">
        <v>26.36</v>
      </c>
      <c r="W8">
        <v>32.14</v>
      </c>
      <c r="X8">
        <v>57.411764705882298</v>
      </c>
      <c r="Y8">
        <v>1.05</v>
      </c>
      <c r="Z8">
        <v>2.5046137622</v>
      </c>
      <c r="AA8">
        <v>12.2594252571</v>
      </c>
      <c r="AB8">
        <v>0</v>
      </c>
      <c r="AC8">
        <v>1</v>
      </c>
      <c r="AD8">
        <v>0.27698366394399065</v>
      </c>
      <c r="AE8">
        <v>0</v>
      </c>
      <c r="AF8">
        <v>0.54110000000000003</v>
      </c>
      <c r="AG8">
        <v>0.40100000000000002</v>
      </c>
      <c r="AH8">
        <v>0.11600000000000001</v>
      </c>
      <c r="AI8">
        <v>0.53100000000000003</v>
      </c>
      <c r="AJ8">
        <v>0.55600000000000005</v>
      </c>
      <c r="AK8">
        <v>9.5702610071183761E-2</v>
      </c>
      <c r="AL8">
        <v>0.32600000000000001</v>
      </c>
      <c r="AN8">
        <v>0.96238938053097345</v>
      </c>
      <c r="AO8">
        <v>0.15462694437121013</v>
      </c>
      <c r="AP8">
        <v>632.74452939625633</v>
      </c>
      <c r="AQ8">
        <v>1080.9385710519377</v>
      </c>
      <c r="AR8">
        <v>65.910888478776698</v>
      </c>
      <c r="AS8">
        <v>13.182177695755341</v>
      </c>
      <c r="AT8" s="93">
        <v>2300606</v>
      </c>
    </row>
    <row r="9" spans="1:46" x14ac:dyDescent="0.3">
      <c r="A9" t="s">
        <v>96</v>
      </c>
      <c r="B9">
        <v>188</v>
      </c>
      <c r="C9">
        <v>1096.4656479645398</v>
      </c>
      <c r="D9">
        <v>4</v>
      </c>
      <c r="E9">
        <v>23.329056339671062</v>
      </c>
      <c r="F9">
        <v>2.1276595744680851E-2</v>
      </c>
      <c r="G9">
        <v>17146</v>
      </c>
      <c r="H9">
        <v>15553863.233407211</v>
      </c>
      <c r="I9">
        <v>85464831.447567955</v>
      </c>
      <c r="J9">
        <v>1345.701</v>
      </c>
      <c r="K9">
        <v>12.741314749710373</v>
      </c>
      <c r="L9">
        <v>8908.98</v>
      </c>
      <c r="M9">
        <v>0.60099999999999998</v>
      </c>
      <c r="N9">
        <v>16.649999999999999</v>
      </c>
      <c r="O9" s="89">
        <v>70429269.975504503</v>
      </c>
      <c r="P9" s="89">
        <v>82259586.550799027</v>
      </c>
      <c r="Q9">
        <v>6</v>
      </c>
      <c r="R9">
        <v>5.8</v>
      </c>
      <c r="S9">
        <v>3.7</v>
      </c>
      <c r="T9">
        <v>99.637795275590506</v>
      </c>
      <c r="U9">
        <v>22811.06</v>
      </c>
      <c r="V9">
        <v>64.150000000000006</v>
      </c>
      <c r="W9">
        <v>34.880000000000003</v>
      </c>
      <c r="X9">
        <v>35.665270993254197</v>
      </c>
      <c r="Y9">
        <v>1.69</v>
      </c>
      <c r="Z9">
        <v>1.924647148</v>
      </c>
      <c r="AA9">
        <v>8.1651697188999997</v>
      </c>
      <c r="AB9">
        <v>0</v>
      </c>
      <c r="AC9">
        <v>1</v>
      </c>
      <c r="AD9">
        <v>0.50846628767039548</v>
      </c>
      <c r="AE9">
        <v>0</v>
      </c>
      <c r="AF9">
        <v>0.50229999999999997</v>
      </c>
      <c r="AG9">
        <v>0.43</v>
      </c>
      <c r="AH9">
        <v>0.34899999999999998</v>
      </c>
      <c r="AI9">
        <v>0.45500000000000002</v>
      </c>
      <c r="AJ9">
        <v>0.48699999999999999</v>
      </c>
      <c r="AK9">
        <v>6.2055289863525022E-2</v>
      </c>
      <c r="AL9">
        <v>0.23699999999999999</v>
      </c>
      <c r="AM9">
        <v>6.6666666666666696</v>
      </c>
      <c r="AN9">
        <v>0.80972222222222223</v>
      </c>
      <c r="AO9">
        <v>0.13408375131225941</v>
      </c>
      <c r="AP9">
        <v>396.59395777440801</v>
      </c>
      <c r="AQ9">
        <v>449.08433453866792</v>
      </c>
      <c r="AR9">
        <v>34.99358450950659</v>
      </c>
      <c r="AS9">
        <v>5.8322640849177656</v>
      </c>
      <c r="AT9" s="93">
        <v>2300705</v>
      </c>
    </row>
    <row r="10" spans="1:46" x14ac:dyDescent="0.3">
      <c r="A10" t="s">
        <v>97</v>
      </c>
      <c r="B10">
        <v>719</v>
      </c>
      <c r="C10">
        <v>1654.6994384608302</v>
      </c>
      <c r="D10">
        <v>16</v>
      </c>
      <c r="E10">
        <v>36.822240633342538</v>
      </c>
      <c r="F10">
        <v>2.2253129346314324E-2</v>
      </c>
      <c r="G10">
        <v>43452</v>
      </c>
      <c r="H10">
        <v>1821870.0174905641</v>
      </c>
      <c r="I10">
        <v>97261806.130903065</v>
      </c>
      <c r="J10">
        <v>1175.0440000000001</v>
      </c>
      <c r="K10">
        <v>36.979040784855712</v>
      </c>
      <c r="L10">
        <v>10090.68</v>
      </c>
      <c r="M10">
        <v>0.60599999999999998</v>
      </c>
      <c r="N10">
        <v>21.87</v>
      </c>
      <c r="O10" s="89">
        <v>50533183.881064162</v>
      </c>
      <c r="P10" s="89">
        <v>101112042.36859062</v>
      </c>
      <c r="Q10">
        <v>5.8</v>
      </c>
      <c r="R10">
        <v>5.2</v>
      </c>
      <c r="S10">
        <v>4.3</v>
      </c>
      <c r="T10">
        <v>92.812105926859999</v>
      </c>
      <c r="U10">
        <v>30213.279999999999</v>
      </c>
      <c r="V10">
        <v>20.71</v>
      </c>
      <c r="W10">
        <v>32.21</v>
      </c>
      <c r="X10">
        <v>53.110953934609498</v>
      </c>
      <c r="Y10">
        <v>0.32</v>
      </c>
      <c r="Z10">
        <v>0.82850041429999999</v>
      </c>
      <c r="AA10">
        <v>6.0756697045000001</v>
      </c>
      <c r="AB10">
        <v>0</v>
      </c>
      <c r="AC10">
        <v>0</v>
      </c>
      <c r="AD10">
        <v>0.59352059543230018</v>
      </c>
      <c r="AE10">
        <v>0</v>
      </c>
      <c r="AF10">
        <v>0.60360000000000003</v>
      </c>
      <c r="AG10">
        <v>0.6</v>
      </c>
      <c r="AH10">
        <v>0.621</v>
      </c>
      <c r="AI10">
        <v>0.54700000000000004</v>
      </c>
      <c r="AJ10">
        <v>0.63200000000000001</v>
      </c>
      <c r="AK10">
        <v>6.8765534382767196E-2</v>
      </c>
      <c r="AL10">
        <v>0.40340000000000004</v>
      </c>
      <c r="AM10">
        <v>9.1185410334346493</v>
      </c>
      <c r="AN10">
        <v>0.92520775623268692</v>
      </c>
      <c r="AO10">
        <v>0.10973027708736077</v>
      </c>
      <c r="AP10">
        <v>225.53622387922306</v>
      </c>
      <c r="AQ10">
        <v>301.48209518549203</v>
      </c>
      <c r="AR10">
        <v>36.822240633342538</v>
      </c>
      <c r="AS10">
        <v>4.6027800791678173</v>
      </c>
      <c r="AT10" s="93">
        <v>2300754</v>
      </c>
    </row>
    <row r="11" spans="1:46" x14ac:dyDescent="0.3">
      <c r="A11" t="s">
        <v>98</v>
      </c>
      <c r="B11">
        <v>12</v>
      </c>
      <c r="C11">
        <v>163.19869441044472</v>
      </c>
      <c r="D11">
        <v>0</v>
      </c>
      <c r="E11">
        <v>0</v>
      </c>
      <c r="F11">
        <v>0</v>
      </c>
      <c r="G11">
        <v>7353</v>
      </c>
      <c r="H11">
        <v>4411540.8676730581</v>
      </c>
      <c r="I11">
        <v>120995512.03590372</v>
      </c>
      <c r="J11">
        <v>259.70600000000002</v>
      </c>
      <c r="K11">
        <v>28.312784456269782</v>
      </c>
      <c r="L11">
        <v>7290.2</v>
      </c>
      <c r="M11">
        <v>0.59899999999999998</v>
      </c>
      <c r="N11">
        <v>22.89</v>
      </c>
      <c r="O11" s="89">
        <v>39909124.983000137</v>
      </c>
      <c r="P11" s="89">
        <v>90360474.772201821</v>
      </c>
      <c r="Q11">
        <v>7.3</v>
      </c>
      <c r="R11">
        <v>5.0999999999999996</v>
      </c>
      <c r="S11">
        <v>4</v>
      </c>
      <c r="T11">
        <v>99.1911619648846</v>
      </c>
      <c r="U11">
        <v>6889.18</v>
      </c>
      <c r="V11">
        <v>13.6</v>
      </c>
      <c r="W11">
        <v>29.41</v>
      </c>
      <c r="X11">
        <v>63.364055299539203</v>
      </c>
      <c r="Y11">
        <v>0.68</v>
      </c>
      <c r="Z11">
        <v>2.1759825921</v>
      </c>
      <c r="AA11">
        <v>7.8879368965000003</v>
      </c>
      <c r="AB11">
        <v>0</v>
      </c>
      <c r="AC11">
        <v>1</v>
      </c>
      <c r="AD11">
        <v>0.28422107674684993</v>
      </c>
      <c r="AE11">
        <v>0</v>
      </c>
      <c r="AF11">
        <v>0.5927</v>
      </c>
      <c r="AG11">
        <v>0.46300000000000002</v>
      </c>
      <c r="AH11">
        <v>0.23300000000000001</v>
      </c>
      <c r="AI11">
        <v>0.59</v>
      </c>
      <c r="AJ11">
        <v>0.56499999999999995</v>
      </c>
      <c r="AK11">
        <v>8.7855297157622733E-2</v>
      </c>
      <c r="AL11">
        <v>0.2928</v>
      </c>
      <c r="AM11">
        <v>9.7087378640776691</v>
      </c>
      <c r="AN11">
        <v>1.0651041666666674</v>
      </c>
      <c r="AO11">
        <v>0.16197470420236637</v>
      </c>
      <c r="AP11">
        <v>652.79477764177886</v>
      </c>
      <c r="AQ11">
        <v>135.99891200870394</v>
      </c>
      <c r="AR11">
        <v>13.599891200870394</v>
      </c>
      <c r="AS11">
        <v>0</v>
      </c>
      <c r="AT11" s="93">
        <v>2300804</v>
      </c>
    </row>
    <row r="12" spans="1:46" x14ac:dyDescent="0.3">
      <c r="A12" t="s">
        <v>355</v>
      </c>
      <c r="B12">
        <v>185</v>
      </c>
      <c r="C12">
        <v>1267.1232876712329</v>
      </c>
      <c r="D12">
        <v>11</v>
      </c>
      <c r="E12">
        <v>75.342465753424662</v>
      </c>
      <c r="F12">
        <v>5.9459459459459463E-2</v>
      </c>
      <c r="G12">
        <v>14600</v>
      </c>
      <c r="H12">
        <v>4885125.5479452051</v>
      </c>
      <c r="I12">
        <v>102789041.09589042</v>
      </c>
      <c r="J12">
        <v>543.98</v>
      </c>
      <c r="K12">
        <v>26.839222030221698</v>
      </c>
      <c r="L12">
        <v>6805.1</v>
      </c>
      <c r="M12">
        <v>0.61799999999999999</v>
      </c>
      <c r="N12">
        <v>18.88</v>
      </c>
      <c r="O12" s="89">
        <v>64612566.712328769</v>
      </c>
      <c r="P12" s="89">
        <v>95693656.986301363</v>
      </c>
      <c r="Q12">
        <v>5.7</v>
      </c>
      <c r="R12">
        <v>5.2</v>
      </c>
      <c r="S12">
        <v>4.5</v>
      </c>
      <c r="T12">
        <v>98.941893830702995</v>
      </c>
      <c r="U12">
        <v>14420.56</v>
      </c>
      <c r="V12">
        <v>13.7</v>
      </c>
      <c r="W12">
        <v>31.03</v>
      </c>
      <c r="X12">
        <v>51.383587786259497</v>
      </c>
      <c r="Y12">
        <v>0.68</v>
      </c>
      <c r="Z12">
        <v>0.82191780820000004</v>
      </c>
      <c r="AA12">
        <v>7.1232876711999999</v>
      </c>
      <c r="AB12">
        <v>0</v>
      </c>
      <c r="AC12">
        <v>1</v>
      </c>
      <c r="AD12">
        <v>0.58549371633752245</v>
      </c>
      <c r="AE12">
        <v>1</v>
      </c>
      <c r="AF12">
        <v>0.51329999999999998</v>
      </c>
      <c r="AG12">
        <v>0.45800000000000002</v>
      </c>
      <c r="AH12">
        <v>0.32800000000000001</v>
      </c>
      <c r="AI12">
        <v>0.51900000000000002</v>
      </c>
      <c r="AJ12">
        <v>0.52700000000000002</v>
      </c>
      <c r="AK12">
        <v>6.2465753424657537E-2</v>
      </c>
      <c r="AL12">
        <v>0.32119999999999999</v>
      </c>
      <c r="AM12">
        <v>11.173184357541899</v>
      </c>
      <c r="AN12">
        <v>0.9671052631578948</v>
      </c>
      <c r="AO12">
        <v>0.13664383561643836</v>
      </c>
      <c r="AP12">
        <v>219.17808219178082</v>
      </c>
      <c r="AQ12">
        <v>445.20547945205476</v>
      </c>
      <c r="AR12">
        <v>54.794520547945204</v>
      </c>
      <c r="AS12">
        <v>6.8493150684931505</v>
      </c>
      <c r="AT12" s="93">
        <v>2300903</v>
      </c>
    </row>
    <row r="13" spans="1:46" x14ac:dyDescent="0.3">
      <c r="A13" t="s">
        <v>100</v>
      </c>
      <c r="B13">
        <v>817</v>
      </c>
      <c r="C13">
        <v>1017.80219506422</v>
      </c>
      <c r="D13">
        <v>26</v>
      </c>
      <c r="E13">
        <v>32.390277933500265</v>
      </c>
      <c r="F13">
        <v>3.182374541003672E-2</v>
      </c>
      <c r="G13">
        <v>80271</v>
      </c>
      <c r="H13">
        <v>3809141.0222870023</v>
      </c>
      <c r="I13">
        <v>102145980.49108645</v>
      </c>
      <c r="J13">
        <v>480.23599999999999</v>
      </c>
      <c r="K13">
        <v>167.14906837471577</v>
      </c>
      <c r="L13">
        <v>24630.33</v>
      </c>
      <c r="M13">
        <v>0.64100000000000001</v>
      </c>
      <c r="N13">
        <v>51.04</v>
      </c>
      <c r="O13" s="89">
        <v>66205051.836902484</v>
      </c>
      <c r="P13" s="89">
        <v>99168336.31074734</v>
      </c>
      <c r="Q13">
        <v>6</v>
      </c>
      <c r="R13">
        <v>5.0999999999999996</v>
      </c>
      <c r="S13">
        <v>4.0999999999999996</v>
      </c>
      <c r="T13">
        <v>98.901882487164897</v>
      </c>
      <c r="U13">
        <v>320678.53000000003</v>
      </c>
      <c r="V13">
        <v>37.369999999999997</v>
      </c>
      <c r="W13">
        <v>32.43</v>
      </c>
      <c r="X13">
        <v>36.477420151973803</v>
      </c>
      <c r="Y13">
        <v>0.55000000000000004</v>
      </c>
      <c r="Z13">
        <v>0.49831196820000001</v>
      </c>
      <c r="AA13">
        <v>9.0692778214000001</v>
      </c>
      <c r="AB13">
        <v>1</v>
      </c>
      <c r="AC13">
        <v>0</v>
      </c>
      <c r="AD13">
        <v>7.634796497218703E-2</v>
      </c>
      <c r="AE13">
        <v>1</v>
      </c>
      <c r="AF13">
        <v>0.60740000000000005</v>
      </c>
      <c r="AG13">
        <v>0.441</v>
      </c>
      <c r="AH13">
        <v>0.41499999999999998</v>
      </c>
      <c r="AI13">
        <v>0.48099999999999998</v>
      </c>
      <c r="AJ13">
        <v>0.42599999999999999</v>
      </c>
      <c r="AK13">
        <v>0.21368862976666542</v>
      </c>
      <c r="AL13">
        <v>0.10830000000000001</v>
      </c>
      <c r="AM13">
        <v>8.4104289318755292</v>
      </c>
      <c r="AN13">
        <v>0.67377201112140883</v>
      </c>
      <c r="AO13">
        <v>0.10759801173524686</v>
      </c>
      <c r="AP13">
        <v>365.01351671213763</v>
      </c>
      <c r="AQ13">
        <v>343.83525806331056</v>
      </c>
      <c r="AR13">
        <v>72.255235390115985</v>
      </c>
      <c r="AS13">
        <v>11.21201928467317</v>
      </c>
      <c r="AT13" s="93">
        <v>2301000</v>
      </c>
    </row>
    <row r="14" spans="1:46" x14ac:dyDescent="0.3">
      <c r="A14" t="s">
        <v>101</v>
      </c>
      <c r="B14">
        <v>1305</v>
      </c>
      <c r="C14">
        <v>1750.5734637208739</v>
      </c>
      <c r="D14">
        <v>46</v>
      </c>
      <c r="E14">
        <v>61.706037801655327</v>
      </c>
      <c r="F14">
        <v>3.5249042145593872E-2</v>
      </c>
      <c r="G14">
        <v>74547</v>
      </c>
      <c r="H14">
        <v>10355246.703422001</v>
      </c>
      <c r="I14">
        <v>90013280.212483406</v>
      </c>
      <c r="J14">
        <v>1227.1969999999999</v>
      </c>
      <c r="K14">
        <v>60.745748237650524</v>
      </c>
      <c r="L14">
        <v>15210.71</v>
      </c>
      <c r="M14">
        <v>0.65500000000000003</v>
      </c>
      <c r="N14">
        <v>38.24</v>
      </c>
      <c r="O14" s="89">
        <v>68045400.324627414</v>
      </c>
      <c r="P14" s="89">
        <v>79267238.681637093</v>
      </c>
      <c r="Q14">
        <v>6.1</v>
      </c>
      <c r="R14">
        <v>5.2</v>
      </c>
      <c r="S14">
        <v>4.5</v>
      </c>
      <c r="T14">
        <v>98.391545131610897</v>
      </c>
      <c r="U14">
        <v>184116.56</v>
      </c>
      <c r="V14">
        <v>17.440000000000001</v>
      </c>
      <c r="W14">
        <v>31.76</v>
      </c>
      <c r="X14">
        <v>29.771257085695201</v>
      </c>
      <c r="Y14">
        <v>0.5</v>
      </c>
      <c r="Z14">
        <v>1.3011925363000001</v>
      </c>
      <c r="AA14">
        <v>10.3827115779</v>
      </c>
      <c r="AB14">
        <v>0</v>
      </c>
      <c r="AC14">
        <v>0</v>
      </c>
      <c r="AD14">
        <v>0.36327882126693561</v>
      </c>
      <c r="AE14">
        <v>1</v>
      </c>
      <c r="AF14">
        <v>0.57330000000000003</v>
      </c>
      <c r="AG14">
        <v>0.42799999999999999</v>
      </c>
      <c r="AH14">
        <v>0.32200000000000001</v>
      </c>
      <c r="AI14">
        <v>0.47</v>
      </c>
      <c r="AJ14">
        <v>0.49099999999999999</v>
      </c>
      <c r="AK14">
        <v>0.14331897997236642</v>
      </c>
      <c r="AL14">
        <v>0.17420000000000002</v>
      </c>
      <c r="AM14">
        <v>2.0408163265306101</v>
      </c>
      <c r="AN14">
        <v>0.82193158953722334</v>
      </c>
      <c r="AO14">
        <v>0.12453888151099307</v>
      </c>
      <c r="AP14">
        <v>348.77325713979104</v>
      </c>
      <c r="AQ14">
        <v>403.77211691952726</v>
      </c>
      <c r="AR14">
        <v>60.364602197271523</v>
      </c>
      <c r="AS14">
        <v>4.0243068131514343</v>
      </c>
      <c r="AT14" s="93">
        <v>2301109</v>
      </c>
    </row>
    <row r="15" spans="1:46" x14ac:dyDescent="0.3">
      <c r="A15" t="s">
        <v>102</v>
      </c>
      <c r="B15">
        <v>648</v>
      </c>
      <c r="C15">
        <v>2448.146888813329</v>
      </c>
      <c r="D15">
        <v>12</v>
      </c>
      <c r="E15">
        <v>45.336053496543123</v>
      </c>
      <c r="F15">
        <v>1.8518518518518517E-2</v>
      </c>
      <c r="G15">
        <v>26469</v>
      </c>
      <c r="H15">
        <v>4771770.2973289508</v>
      </c>
      <c r="I15">
        <v>109035475.46186104</v>
      </c>
      <c r="J15">
        <v>643.98800000000006</v>
      </c>
      <c r="K15">
        <v>41.101697547159262</v>
      </c>
      <c r="L15">
        <v>7457.75</v>
      </c>
      <c r="M15">
        <v>0.61499999999999999</v>
      </c>
      <c r="N15">
        <v>28.56</v>
      </c>
      <c r="O15" s="89">
        <v>88102190.335864604</v>
      </c>
      <c r="P15" s="89">
        <v>89914338.660319611</v>
      </c>
      <c r="Q15">
        <v>5.2</v>
      </c>
      <c r="R15">
        <v>4.9000000000000004</v>
      </c>
      <c r="S15">
        <v>4.7</v>
      </c>
      <c r="T15">
        <v>99.154071734716894</v>
      </c>
      <c r="U15">
        <v>21478.62</v>
      </c>
      <c r="V15">
        <v>56.67</v>
      </c>
      <c r="W15">
        <v>32.47</v>
      </c>
      <c r="X15">
        <v>53.2579611833428</v>
      </c>
      <c r="Y15">
        <v>0.98</v>
      </c>
      <c r="Z15">
        <v>1.8890022289999999</v>
      </c>
      <c r="AA15">
        <v>12.9963353357</v>
      </c>
      <c r="AB15">
        <v>0</v>
      </c>
      <c r="AC15">
        <v>1</v>
      </c>
      <c r="AD15">
        <v>0.45898152888818872</v>
      </c>
      <c r="AE15">
        <v>1</v>
      </c>
      <c r="AF15">
        <v>0.40049999999999997</v>
      </c>
      <c r="AG15">
        <v>0.51</v>
      </c>
      <c r="AH15">
        <v>0.45300000000000001</v>
      </c>
      <c r="AI15">
        <v>0.52600000000000002</v>
      </c>
      <c r="AJ15">
        <v>0.55100000000000005</v>
      </c>
      <c r="AK15">
        <v>7.4426687823491627E-2</v>
      </c>
      <c r="AL15">
        <v>0.26239999999999997</v>
      </c>
      <c r="AM15">
        <v>8.0213903743315509</v>
      </c>
      <c r="AN15">
        <v>0.70496083550913824</v>
      </c>
      <c r="AO15">
        <v>0.13887944387774379</v>
      </c>
      <c r="AP15">
        <v>506.25259737806488</v>
      </c>
      <c r="AQ15">
        <v>876.49703426650046</v>
      </c>
      <c r="AR15">
        <v>154.89818277985569</v>
      </c>
      <c r="AS15">
        <v>26.446031206316821</v>
      </c>
      <c r="AT15" s="93">
        <v>2301208</v>
      </c>
    </row>
    <row r="16" spans="1:46" x14ac:dyDescent="0.3">
      <c r="A16" t="s">
        <v>360</v>
      </c>
      <c r="B16">
        <v>40</v>
      </c>
      <c r="C16">
        <v>365.79789666209416</v>
      </c>
      <c r="D16">
        <v>2</v>
      </c>
      <c r="E16">
        <v>18.289894833104711</v>
      </c>
      <c r="F16">
        <v>0.05</v>
      </c>
      <c r="G16">
        <v>10935</v>
      </c>
      <c r="H16">
        <v>6610003.6579789678</v>
      </c>
      <c r="I16">
        <v>100883401.92043896</v>
      </c>
      <c r="J16">
        <v>342.30099999999999</v>
      </c>
      <c r="K16">
        <v>31.945568374033382</v>
      </c>
      <c r="L16">
        <v>7162.31</v>
      </c>
      <c r="M16">
        <v>0.59</v>
      </c>
      <c r="N16">
        <v>22.71</v>
      </c>
      <c r="O16" s="89">
        <v>67805938.088705987</v>
      </c>
      <c r="P16" s="89">
        <v>108209497.66803843</v>
      </c>
      <c r="Q16">
        <v>8.3000000000000007</v>
      </c>
      <c r="R16">
        <v>6.9</v>
      </c>
      <c r="S16">
        <v>5.6</v>
      </c>
      <c r="T16">
        <v>99.9479166666667</v>
      </c>
      <c r="U16">
        <v>7862.94</v>
      </c>
      <c r="V16">
        <v>9.14</v>
      </c>
      <c r="W16">
        <v>26.67</v>
      </c>
      <c r="X16">
        <v>52.0211698147641</v>
      </c>
      <c r="Y16">
        <v>0.82</v>
      </c>
      <c r="Z16">
        <v>1.8289894833</v>
      </c>
      <c r="AA16">
        <v>11.796982167399999</v>
      </c>
      <c r="AB16">
        <v>0</v>
      </c>
      <c r="AC16">
        <v>1</v>
      </c>
      <c r="AD16">
        <v>0.5323610713945286</v>
      </c>
      <c r="AE16">
        <v>0</v>
      </c>
      <c r="AF16">
        <v>0.5998</v>
      </c>
      <c r="AG16">
        <v>0.47599999999999998</v>
      </c>
      <c r="AH16">
        <v>0.22900000000000001</v>
      </c>
      <c r="AI16">
        <v>0.53200000000000003</v>
      </c>
      <c r="AJ16">
        <v>0.66700000000000004</v>
      </c>
      <c r="AK16">
        <v>6.6483767718335626E-2</v>
      </c>
      <c r="AL16">
        <v>0.3871</v>
      </c>
      <c r="AM16">
        <v>40.540540540540498</v>
      </c>
      <c r="AN16">
        <v>1</v>
      </c>
      <c r="AO16">
        <v>0.16707818930041152</v>
      </c>
      <c r="AP16">
        <v>557.84179240969365</v>
      </c>
      <c r="AQ16">
        <v>713.30589849108367</v>
      </c>
      <c r="AR16">
        <v>91.44947416552354</v>
      </c>
      <c r="AS16">
        <v>18.289894833104711</v>
      </c>
      <c r="AT16" s="93">
        <v>2301257</v>
      </c>
    </row>
    <row r="17" spans="1:46" x14ac:dyDescent="0.3">
      <c r="A17" t="s">
        <v>104</v>
      </c>
      <c r="B17">
        <v>161</v>
      </c>
      <c r="C17">
        <v>745.37037037037032</v>
      </c>
      <c r="D17">
        <v>2</v>
      </c>
      <c r="E17">
        <v>9.2592592592592595</v>
      </c>
      <c r="F17">
        <v>1.2422360248447204E-2</v>
      </c>
      <c r="G17">
        <v>21600</v>
      </c>
      <c r="H17">
        <v>2760128.1018518521</v>
      </c>
      <c r="I17">
        <v>98791666.666666657</v>
      </c>
      <c r="J17">
        <v>1097.3389999999999</v>
      </c>
      <c r="K17">
        <v>19.683980975796906</v>
      </c>
      <c r="L17">
        <v>6724.7</v>
      </c>
      <c r="M17">
        <v>0.56399999999999995</v>
      </c>
      <c r="N17">
        <v>18.940000000000001</v>
      </c>
      <c r="O17" s="89">
        <v>66828335.78703703</v>
      </c>
      <c r="P17" s="89">
        <v>157870351.75925922</v>
      </c>
      <c r="Q17">
        <v>5.9</v>
      </c>
      <c r="R17">
        <v>5.6</v>
      </c>
      <c r="S17">
        <v>4.5999999999999996</v>
      </c>
      <c r="T17">
        <v>95.044667783361206</v>
      </c>
      <c r="U17">
        <v>14210.26</v>
      </c>
      <c r="V17">
        <v>4.63</v>
      </c>
      <c r="W17">
        <v>34.21</v>
      </c>
      <c r="X17">
        <v>50.498753117207002</v>
      </c>
      <c r="Y17">
        <v>0.56000000000000005</v>
      </c>
      <c r="Z17">
        <v>2.0370370370000002</v>
      </c>
      <c r="AA17">
        <v>7.3611111110999996</v>
      </c>
      <c r="AB17">
        <v>0</v>
      </c>
      <c r="AC17">
        <v>1</v>
      </c>
      <c r="AD17">
        <v>0.38443316412859563</v>
      </c>
      <c r="AE17">
        <v>1</v>
      </c>
      <c r="AF17">
        <v>0.57899999999999996</v>
      </c>
      <c r="AG17">
        <v>0.47799999999999998</v>
      </c>
      <c r="AH17">
        <v>0.29199999999999998</v>
      </c>
      <c r="AI17">
        <v>0.58899999999999997</v>
      </c>
      <c r="AJ17">
        <v>0.55200000000000005</v>
      </c>
      <c r="AK17">
        <v>5.199074074074074E-2</v>
      </c>
      <c r="AL17">
        <v>0.40639999999999998</v>
      </c>
      <c r="AM17">
        <v>11.0192837465565</v>
      </c>
      <c r="AN17">
        <v>0.84679487179487201</v>
      </c>
      <c r="AO17">
        <v>0.11916666666666667</v>
      </c>
      <c r="AP17">
        <v>412.03703703703707</v>
      </c>
      <c r="AQ17">
        <v>458.33333333333331</v>
      </c>
      <c r="AR17">
        <v>32.407407407407405</v>
      </c>
      <c r="AS17">
        <v>27.777777777777779</v>
      </c>
      <c r="AT17" s="93">
        <v>2301307</v>
      </c>
    </row>
    <row r="18" spans="1:46" x14ac:dyDescent="0.3">
      <c r="A18" t="s">
        <v>105</v>
      </c>
      <c r="B18">
        <v>181</v>
      </c>
      <c r="C18">
        <v>1527.8129484257618</v>
      </c>
      <c r="D18">
        <v>1</v>
      </c>
      <c r="E18">
        <v>8.440955516164431</v>
      </c>
      <c r="F18">
        <v>5.5248618784530384E-3</v>
      </c>
      <c r="G18">
        <v>11847</v>
      </c>
      <c r="H18">
        <v>9100734.9539967924</v>
      </c>
      <c r="I18">
        <v>113365408.96429476</v>
      </c>
      <c r="J18">
        <v>119.758</v>
      </c>
      <c r="K18">
        <v>98.924497737103167</v>
      </c>
      <c r="L18">
        <v>11444.89</v>
      </c>
      <c r="M18">
        <v>0.622</v>
      </c>
      <c r="N18">
        <v>26.25</v>
      </c>
      <c r="O18" s="89">
        <v>86412632.311977729</v>
      </c>
      <c r="P18" s="89">
        <v>210694228.9187136</v>
      </c>
      <c r="Q18">
        <v>5.7</v>
      </c>
      <c r="R18">
        <v>5.3</v>
      </c>
      <c r="S18">
        <v>3.8</v>
      </c>
      <c r="T18">
        <v>99.531396438612902</v>
      </c>
      <c r="U18">
        <v>7905.52</v>
      </c>
      <c r="V18">
        <v>16.88</v>
      </c>
      <c r="W18">
        <v>30.99</v>
      </c>
      <c r="X18">
        <v>57.329266226063403</v>
      </c>
      <c r="Y18">
        <v>1.1000000000000001</v>
      </c>
      <c r="Z18">
        <v>1.0129146619</v>
      </c>
      <c r="AA18">
        <v>9.4538701781000007</v>
      </c>
      <c r="AB18">
        <v>0</v>
      </c>
      <c r="AC18">
        <v>1</v>
      </c>
      <c r="AD18">
        <v>0.67308526324919771</v>
      </c>
      <c r="AE18">
        <v>1</v>
      </c>
      <c r="AF18">
        <v>0.6109</v>
      </c>
      <c r="AG18">
        <v>0.45900000000000002</v>
      </c>
      <c r="AH18">
        <v>0.35899999999999999</v>
      </c>
      <c r="AI18">
        <v>0.48799999999999999</v>
      </c>
      <c r="AJ18">
        <v>0.53100000000000003</v>
      </c>
      <c r="AK18">
        <v>7.1663712332236007E-2</v>
      </c>
      <c r="AL18">
        <v>0.27039999999999997</v>
      </c>
      <c r="AM18">
        <v>28.409090909090899</v>
      </c>
      <c r="AN18">
        <v>0.79141104294478526</v>
      </c>
      <c r="AO18">
        <v>0.12948425761796237</v>
      </c>
      <c r="AP18">
        <v>312.3153540980839</v>
      </c>
      <c r="AQ18">
        <v>396.72490925972824</v>
      </c>
      <c r="AR18">
        <v>92.850510677808728</v>
      </c>
      <c r="AS18">
        <v>0</v>
      </c>
      <c r="AT18" s="93">
        <v>2301406</v>
      </c>
    </row>
    <row r="19" spans="1:46" x14ac:dyDescent="0.3">
      <c r="A19" t="s">
        <v>106</v>
      </c>
      <c r="B19">
        <v>40</v>
      </c>
      <c r="C19">
        <v>510.20408163265301</v>
      </c>
      <c r="D19">
        <v>2</v>
      </c>
      <c r="E19">
        <v>25.510204081632654</v>
      </c>
      <c r="F19">
        <v>0.05</v>
      </c>
      <c r="G19">
        <v>7840</v>
      </c>
      <c r="H19">
        <v>11493844.770408165</v>
      </c>
      <c r="I19">
        <v>83831632.653061226</v>
      </c>
      <c r="J19">
        <v>1068.4369999999999</v>
      </c>
      <c r="K19">
        <v>7.3378215093636783</v>
      </c>
      <c r="L19">
        <v>6907.11</v>
      </c>
      <c r="M19">
        <v>0.61799999999999999</v>
      </c>
      <c r="N19">
        <v>13.5</v>
      </c>
      <c r="O19" s="89">
        <v>84014477.168367341</v>
      </c>
      <c r="P19" s="89">
        <v>108110496.42857142</v>
      </c>
      <c r="Q19">
        <v>5.7</v>
      </c>
      <c r="R19">
        <v>4.8</v>
      </c>
      <c r="S19">
        <v>4.5999999999999996</v>
      </c>
      <c r="T19">
        <v>99.610263072426093</v>
      </c>
      <c r="U19">
        <v>6135.25</v>
      </c>
      <c r="V19">
        <v>12.76</v>
      </c>
      <c r="W19">
        <v>32.26</v>
      </c>
      <c r="X19">
        <v>36.486486486486498</v>
      </c>
      <c r="Y19">
        <v>0.89</v>
      </c>
      <c r="Z19">
        <v>2.0408163264999999</v>
      </c>
      <c r="AA19">
        <v>9.0561224490000001</v>
      </c>
      <c r="AB19">
        <v>0</v>
      </c>
      <c r="AC19">
        <v>1</v>
      </c>
      <c r="AD19">
        <v>0.49294117647058822</v>
      </c>
      <c r="AE19">
        <v>1</v>
      </c>
      <c r="AF19">
        <v>0.54110000000000003</v>
      </c>
      <c r="AG19">
        <v>0.41099999999999998</v>
      </c>
      <c r="AH19">
        <v>0.23300000000000001</v>
      </c>
      <c r="AI19">
        <v>0.48</v>
      </c>
      <c r="AJ19">
        <v>0.52</v>
      </c>
      <c r="AK19">
        <v>4.7448979591836735E-2</v>
      </c>
      <c r="AL19">
        <v>0.22750000000000001</v>
      </c>
      <c r="AM19">
        <v>26.5486725663717</v>
      </c>
      <c r="AN19">
        <v>0.9916666666666667</v>
      </c>
      <c r="AO19">
        <v>0.15778061224489795</v>
      </c>
      <c r="AP19">
        <v>510.20408163265301</v>
      </c>
      <c r="AQ19">
        <v>752.55102040816325</v>
      </c>
      <c r="AR19">
        <v>76.530612244897952</v>
      </c>
      <c r="AS19">
        <v>25.510204081632654</v>
      </c>
      <c r="AT19" s="93">
        <v>2301505</v>
      </c>
    </row>
    <row r="20" spans="1:46" x14ac:dyDescent="0.3">
      <c r="A20" t="s">
        <v>365</v>
      </c>
      <c r="B20">
        <v>223</v>
      </c>
      <c r="C20">
        <v>952.29961139343209</v>
      </c>
      <c r="D20">
        <v>4</v>
      </c>
      <c r="E20">
        <v>17.081607379254386</v>
      </c>
      <c r="F20">
        <v>1.7937219730941704E-2</v>
      </c>
      <c r="G20">
        <v>23417</v>
      </c>
      <c r="H20">
        <v>6261040.9104496734</v>
      </c>
      <c r="I20">
        <v>101638980.22803946</v>
      </c>
      <c r="J20">
        <v>1155.124</v>
      </c>
      <c r="K20">
        <v>20.272282456255777</v>
      </c>
      <c r="L20">
        <v>6947.09</v>
      </c>
      <c r="M20">
        <v>0.6</v>
      </c>
      <c r="N20">
        <v>21.16</v>
      </c>
      <c r="O20" s="89">
        <v>51687235.683477819</v>
      </c>
      <c r="P20" s="89">
        <v>85971425.801767945</v>
      </c>
      <c r="Q20">
        <v>6.3</v>
      </c>
      <c r="R20">
        <v>4.7</v>
      </c>
      <c r="S20">
        <v>4.5999999999999996</v>
      </c>
      <c r="T20">
        <v>99.859983197983794</v>
      </c>
      <c r="U20">
        <v>16353.2</v>
      </c>
      <c r="V20">
        <v>29.89</v>
      </c>
      <c r="W20">
        <v>32.880000000000003</v>
      </c>
      <c r="X20">
        <v>51.371496720333901</v>
      </c>
      <c r="Y20">
        <v>0.64</v>
      </c>
      <c r="Z20">
        <v>2.0497928855000001</v>
      </c>
      <c r="AA20">
        <v>8.4980996712000003</v>
      </c>
      <c r="AB20">
        <v>0</v>
      </c>
      <c r="AC20">
        <v>1</v>
      </c>
      <c r="AD20">
        <v>0.46749832924927603</v>
      </c>
      <c r="AE20">
        <v>1</v>
      </c>
      <c r="AF20">
        <v>0.62060000000000004</v>
      </c>
      <c r="AG20">
        <v>0.437</v>
      </c>
      <c r="AH20">
        <v>0.27300000000000002</v>
      </c>
      <c r="AI20">
        <v>0.498</v>
      </c>
      <c r="AJ20">
        <v>0.54100000000000004</v>
      </c>
      <c r="AK20">
        <v>6.5935004483921936E-2</v>
      </c>
      <c r="AL20">
        <v>0.31390000000000001</v>
      </c>
      <c r="AM20">
        <v>3.3557046979865799</v>
      </c>
      <c r="AN20">
        <v>0.85227272727272751</v>
      </c>
      <c r="AO20">
        <v>0.15962762095913224</v>
      </c>
      <c r="AP20">
        <v>401.41777341247808</v>
      </c>
      <c r="AQ20">
        <v>644.83067856685307</v>
      </c>
      <c r="AR20">
        <v>51.244822137763158</v>
      </c>
      <c r="AS20">
        <v>8.5408036896271931</v>
      </c>
      <c r="AT20" s="93">
        <v>2301604</v>
      </c>
    </row>
    <row r="21" spans="1:46" x14ac:dyDescent="0.3">
      <c r="A21" t="s">
        <v>108</v>
      </c>
      <c r="B21">
        <v>146</v>
      </c>
      <c r="C21">
        <v>592.1959925367081</v>
      </c>
      <c r="D21">
        <v>8</v>
      </c>
      <c r="E21">
        <v>32.449095481463459</v>
      </c>
      <c r="F21">
        <v>5.4794520547945202E-2</v>
      </c>
      <c r="G21">
        <v>24654</v>
      </c>
      <c r="H21">
        <v>8073221.0189015977</v>
      </c>
      <c r="I21">
        <v>94010708.20150888</v>
      </c>
      <c r="J21">
        <v>885.87</v>
      </c>
      <c r="K21">
        <v>27.830268549561449</v>
      </c>
      <c r="L21">
        <v>7511.26</v>
      </c>
      <c r="M21">
        <v>0.60499999999999998</v>
      </c>
      <c r="N21">
        <v>18.11</v>
      </c>
      <c r="O21" s="89">
        <v>64418764.825180493</v>
      </c>
      <c r="P21" s="89">
        <v>74395435.385738626</v>
      </c>
      <c r="Q21">
        <v>5</v>
      </c>
      <c r="R21">
        <v>4.7</v>
      </c>
      <c r="S21">
        <v>4.9000000000000004</v>
      </c>
      <c r="T21">
        <v>99.159663865546193</v>
      </c>
      <c r="U21">
        <v>19931.82</v>
      </c>
      <c r="V21">
        <v>12.17</v>
      </c>
      <c r="W21">
        <v>28.21</v>
      </c>
      <c r="X21">
        <v>47.049979683055703</v>
      </c>
      <c r="Y21">
        <v>0.85</v>
      </c>
      <c r="Z21">
        <v>3.6099618723</v>
      </c>
      <c r="AA21">
        <v>8.3962034558000003</v>
      </c>
      <c r="AB21">
        <v>0</v>
      </c>
      <c r="AC21">
        <v>1</v>
      </c>
      <c r="AD21">
        <v>0.51864365383049749</v>
      </c>
      <c r="AE21">
        <v>1</v>
      </c>
      <c r="AF21">
        <v>0.48149999999999998</v>
      </c>
      <c r="AG21">
        <v>0.41199999999999998</v>
      </c>
      <c r="AH21">
        <v>0.25</v>
      </c>
      <c r="AI21">
        <v>0.46400000000000002</v>
      </c>
      <c r="AJ21">
        <v>0.52200000000000002</v>
      </c>
      <c r="AK21">
        <v>6.4573700008112273E-2</v>
      </c>
      <c r="AL21">
        <v>0.2757</v>
      </c>
      <c r="AM21">
        <v>3.13479623824451</v>
      </c>
      <c r="AN21">
        <v>1</v>
      </c>
      <c r="AO21">
        <v>0.15851383142694897</v>
      </c>
      <c r="AP21">
        <v>1115.4376571753062</v>
      </c>
      <c r="AQ21">
        <v>1395.3111057029284</v>
      </c>
      <c r="AR21">
        <v>271.76117465725639</v>
      </c>
      <c r="AS21">
        <v>640.8696357589032</v>
      </c>
      <c r="AT21" s="93">
        <v>2301703</v>
      </c>
    </row>
    <row r="22" spans="1:46" x14ac:dyDescent="0.3">
      <c r="A22" t="s">
        <v>109</v>
      </c>
      <c r="B22">
        <v>34</v>
      </c>
      <c r="C22">
        <v>540.71246819338421</v>
      </c>
      <c r="D22">
        <v>0</v>
      </c>
      <c r="E22">
        <v>0</v>
      </c>
      <c r="F22">
        <v>0</v>
      </c>
      <c r="G22">
        <v>6288</v>
      </c>
      <c r="H22">
        <v>13028127.703562342</v>
      </c>
      <c r="I22">
        <v>95620229.007633582</v>
      </c>
      <c r="J22">
        <v>145.55600000000001</v>
      </c>
      <c r="K22">
        <v>43.199868092005822</v>
      </c>
      <c r="L22">
        <v>9141.2900000000009</v>
      </c>
      <c r="M22">
        <v>0.627</v>
      </c>
      <c r="N22">
        <v>15.31</v>
      </c>
      <c r="O22" s="89">
        <v>88995202.926208645</v>
      </c>
      <c r="P22" s="89">
        <v>183358513.67684481</v>
      </c>
      <c r="Q22">
        <v>4.8</v>
      </c>
      <c r="R22">
        <v>4.4000000000000004</v>
      </c>
      <c r="S22">
        <v>3.9</v>
      </c>
      <c r="T22">
        <v>99.564965197215798</v>
      </c>
      <c r="U22">
        <v>5784.91</v>
      </c>
      <c r="V22">
        <v>0</v>
      </c>
      <c r="W22">
        <v>48.15</v>
      </c>
      <c r="X22">
        <v>49.325717912105297</v>
      </c>
      <c r="Y22">
        <v>0.95</v>
      </c>
      <c r="Z22">
        <v>3.0216284987000002</v>
      </c>
      <c r="AA22">
        <v>12.245547073799999</v>
      </c>
      <c r="AB22">
        <v>0</v>
      </c>
      <c r="AC22">
        <v>1</v>
      </c>
      <c r="AD22">
        <v>0.45170925987387983</v>
      </c>
      <c r="AE22">
        <v>0</v>
      </c>
      <c r="AF22">
        <v>0.56079999999999997</v>
      </c>
      <c r="AG22">
        <v>0.34499999999999997</v>
      </c>
      <c r="AH22">
        <v>0.121</v>
      </c>
      <c r="AI22">
        <v>0.439</v>
      </c>
      <c r="AJ22">
        <v>0.47499999999999998</v>
      </c>
      <c r="AK22">
        <v>0.11052798982188296</v>
      </c>
      <c r="AL22">
        <v>0.21109999999999998</v>
      </c>
      <c r="AN22">
        <v>0.88194444444444442</v>
      </c>
      <c r="AO22">
        <v>0.15314885496183206</v>
      </c>
      <c r="AP22">
        <v>381.67938931297709</v>
      </c>
      <c r="AQ22">
        <v>477.09923664122141</v>
      </c>
      <c r="AR22">
        <v>111.32315521628499</v>
      </c>
      <c r="AS22">
        <v>0</v>
      </c>
      <c r="AT22" s="93">
        <v>2301802</v>
      </c>
    </row>
    <row r="23" spans="1:46" x14ac:dyDescent="0.3">
      <c r="A23" t="s">
        <v>369</v>
      </c>
      <c r="B23">
        <v>411</v>
      </c>
      <c r="C23">
        <v>2258.6140572621862</v>
      </c>
      <c r="D23">
        <v>2</v>
      </c>
      <c r="E23">
        <v>10.990822663076331</v>
      </c>
      <c r="F23">
        <v>4.8661800486618006E-3</v>
      </c>
      <c r="G23">
        <v>18197</v>
      </c>
      <c r="H23">
        <v>12565504.258943783</v>
      </c>
      <c r="I23">
        <v>93582458.647029728</v>
      </c>
      <c r="J23">
        <v>1080.9860000000001</v>
      </c>
      <c r="K23">
        <v>16.83370552440087</v>
      </c>
      <c r="L23">
        <v>8874.99</v>
      </c>
      <c r="M23">
        <v>0.60599999999999998</v>
      </c>
      <c r="N23">
        <v>18.04</v>
      </c>
      <c r="O23" s="89">
        <v>70543585.206352696</v>
      </c>
      <c r="P23" s="89">
        <v>101136549.04654612</v>
      </c>
      <c r="Q23">
        <v>5.7</v>
      </c>
      <c r="R23">
        <v>4.9000000000000004</v>
      </c>
      <c r="S23">
        <v>3.9</v>
      </c>
      <c r="T23">
        <v>100</v>
      </c>
      <c r="U23">
        <v>14482.65</v>
      </c>
      <c r="V23">
        <v>71.44</v>
      </c>
      <c r="W23">
        <v>30</v>
      </c>
      <c r="X23">
        <v>48.805872042068401</v>
      </c>
      <c r="Y23">
        <v>0.88</v>
      </c>
      <c r="Z23">
        <v>0.93421992639999996</v>
      </c>
      <c r="AA23">
        <v>10.9358685498</v>
      </c>
      <c r="AB23">
        <v>0</v>
      </c>
      <c r="AC23">
        <v>1</v>
      </c>
      <c r="AD23">
        <v>0.49448455096736932</v>
      </c>
      <c r="AE23">
        <v>0</v>
      </c>
      <c r="AF23">
        <v>0.54600000000000004</v>
      </c>
      <c r="AG23">
        <v>0.46899999999999997</v>
      </c>
      <c r="AH23">
        <v>0.315</v>
      </c>
      <c r="AI23">
        <v>0.57299999999999995</v>
      </c>
      <c r="AJ23">
        <v>0.51900000000000002</v>
      </c>
      <c r="AK23">
        <v>8.4299609825795457E-2</v>
      </c>
      <c r="AL23">
        <v>0.3261</v>
      </c>
      <c r="AM23">
        <v>26.515151515151501</v>
      </c>
      <c r="AN23">
        <v>0.93893129770992378</v>
      </c>
      <c r="AO23">
        <v>0.12562510303896246</v>
      </c>
      <c r="AP23">
        <v>357.20173654998075</v>
      </c>
      <c r="AQ23">
        <v>494.58701983843486</v>
      </c>
      <c r="AR23">
        <v>54.954113315381662</v>
      </c>
      <c r="AS23">
        <v>21.981645326152663</v>
      </c>
      <c r="AT23" s="93">
        <v>2301851</v>
      </c>
    </row>
    <row r="24" spans="1:46" x14ac:dyDescent="0.3">
      <c r="A24" t="s">
        <v>111</v>
      </c>
      <c r="B24">
        <v>883</v>
      </c>
      <c r="C24">
        <v>1452.7566180220792</v>
      </c>
      <c r="D24">
        <v>34</v>
      </c>
      <c r="E24">
        <v>55.938533423273725</v>
      </c>
      <c r="F24">
        <v>3.8505096262740658E-2</v>
      </c>
      <c r="G24">
        <v>60781</v>
      </c>
      <c r="H24">
        <v>33178717.214261036</v>
      </c>
      <c r="I24">
        <v>95408104.506342441</v>
      </c>
      <c r="J24">
        <v>608.15800000000002</v>
      </c>
      <c r="K24">
        <v>99.942778028078223</v>
      </c>
      <c r="L24">
        <v>14320.84</v>
      </c>
      <c r="M24">
        <v>0.68300000000000005</v>
      </c>
      <c r="N24">
        <v>47.52</v>
      </c>
      <c r="O24" s="89">
        <v>198486365.3115283</v>
      </c>
      <c r="P24" s="89">
        <v>104968560.05988714</v>
      </c>
      <c r="Q24">
        <v>6.2</v>
      </c>
      <c r="R24">
        <v>5.5</v>
      </c>
      <c r="S24">
        <v>4.0999999999999996</v>
      </c>
      <c r="T24">
        <v>97.691151467363198</v>
      </c>
      <c r="U24">
        <v>153842.9</v>
      </c>
      <c r="V24">
        <v>14.81</v>
      </c>
      <c r="W24">
        <v>32.31</v>
      </c>
      <c r="X24">
        <v>37.363624485529499</v>
      </c>
      <c r="Y24">
        <v>1.1000000000000001</v>
      </c>
      <c r="Z24">
        <v>6.1106274693999998</v>
      </c>
      <c r="AA24">
        <v>20.558494609299999</v>
      </c>
      <c r="AB24">
        <v>0</v>
      </c>
      <c r="AC24">
        <v>1</v>
      </c>
      <c r="AD24">
        <v>0.31272707553820289</v>
      </c>
      <c r="AE24">
        <v>1</v>
      </c>
      <c r="AF24">
        <v>0.49439999999999995</v>
      </c>
      <c r="AG24">
        <v>0.34499999999999997</v>
      </c>
      <c r="AH24">
        <v>0.17699999999999999</v>
      </c>
      <c r="AI24">
        <v>0.40200000000000002</v>
      </c>
      <c r="AJ24">
        <v>0.45700000000000002</v>
      </c>
      <c r="AK24">
        <v>0.1728500682779158</v>
      </c>
      <c r="AL24">
        <v>0.12970000000000001</v>
      </c>
      <c r="AM24">
        <v>15.091342335186701</v>
      </c>
      <c r="AN24">
        <v>0.87001696352841373</v>
      </c>
      <c r="AO24">
        <v>0.12173212023494184</v>
      </c>
      <c r="AP24">
        <v>1018.4103585001892</v>
      </c>
      <c r="AQ24">
        <v>1182.9354568039353</v>
      </c>
      <c r="AR24">
        <v>103.65081193136014</v>
      </c>
      <c r="AS24">
        <v>148.07258847337161</v>
      </c>
      <c r="AT24" s="93">
        <v>2301901</v>
      </c>
    </row>
    <row r="25" spans="1:46" x14ac:dyDescent="0.3">
      <c r="A25" t="s">
        <v>112</v>
      </c>
      <c r="B25">
        <v>302</v>
      </c>
      <c r="C25">
        <v>1346.711259754738</v>
      </c>
      <c r="D25">
        <v>19</v>
      </c>
      <c r="E25">
        <v>84.726867335562986</v>
      </c>
      <c r="F25">
        <v>6.2913907284768214E-2</v>
      </c>
      <c r="G25">
        <v>22425</v>
      </c>
      <c r="H25">
        <v>8685485.3957636561</v>
      </c>
      <c r="I25">
        <v>114838795.98662207</v>
      </c>
      <c r="J25">
        <v>260.00299999999999</v>
      </c>
      <c r="K25">
        <v>86.24900481917517</v>
      </c>
      <c r="L25">
        <v>6958.94</v>
      </c>
      <c r="M25">
        <v>0.61599999999999999</v>
      </c>
      <c r="N25">
        <v>26.1</v>
      </c>
      <c r="O25" s="89">
        <v>61586067.424749158</v>
      </c>
      <c r="P25" s="89">
        <v>96313559.910813823</v>
      </c>
      <c r="Q25">
        <v>6</v>
      </c>
      <c r="R25">
        <v>4.8</v>
      </c>
      <c r="S25">
        <v>3.6</v>
      </c>
      <c r="T25">
        <v>98.454661558109805</v>
      </c>
      <c r="U25">
        <v>18711.03</v>
      </c>
      <c r="V25">
        <v>31.22</v>
      </c>
      <c r="W25">
        <v>28.99</v>
      </c>
      <c r="X25">
        <v>53.134275461834903</v>
      </c>
      <c r="Y25">
        <v>0.71</v>
      </c>
      <c r="Z25">
        <v>1.1148272018000001</v>
      </c>
      <c r="AA25">
        <v>8.4726867335999998</v>
      </c>
      <c r="AB25">
        <v>0</v>
      </c>
      <c r="AC25">
        <v>1</v>
      </c>
      <c r="AD25">
        <v>0.58478516323506868</v>
      </c>
      <c r="AE25">
        <v>0</v>
      </c>
      <c r="AF25">
        <v>0.51149999999999995</v>
      </c>
      <c r="AG25">
        <v>0.50700000000000001</v>
      </c>
      <c r="AH25">
        <v>0.46300000000000002</v>
      </c>
      <c r="AI25">
        <v>0.53300000000000003</v>
      </c>
      <c r="AJ25">
        <v>0.52500000000000002</v>
      </c>
      <c r="AK25">
        <v>4.8695652173913043E-2</v>
      </c>
      <c r="AL25">
        <v>0.23300000000000001</v>
      </c>
      <c r="AM25">
        <v>17.3913043478261</v>
      </c>
      <c r="AN25">
        <v>0.67113564668769699</v>
      </c>
      <c r="AO25">
        <v>0.12120401337792643</v>
      </c>
      <c r="AP25">
        <v>392.41917502787066</v>
      </c>
      <c r="AQ25">
        <v>294.31438127090297</v>
      </c>
      <c r="AR25">
        <v>84.726867335562986</v>
      </c>
      <c r="AS25">
        <v>8.9186176142697882</v>
      </c>
      <c r="AT25" s="93">
        <v>2301950</v>
      </c>
    </row>
    <row r="26" spans="1:46" x14ac:dyDescent="0.3">
      <c r="A26" t="s">
        <v>113</v>
      </c>
      <c r="B26">
        <v>69</v>
      </c>
      <c r="C26">
        <v>304.23280423280426</v>
      </c>
      <c r="D26">
        <v>7</v>
      </c>
      <c r="E26">
        <v>30.864197530864196</v>
      </c>
      <c r="F26">
        <v>0.10144927536231885</v>
      </c>
      <c r="G26">
        <v>22680</v>
      </c>
      <c r="H26">
        <v>3072146.2962962962</v>
      </c>
      <c r="I26">
        <v>92507936.507936507</v>
      </c>
      <c r="J26">
        <v>711.346</v>
      </c>
      <c r="K26">
        <v>31.883218574364655</v>
      </c>
      <c r="L26">
        <v>7674.21</v>
      </c>
      <c r="M26">
        <v>0.59899999999999998</v>
      </c>
      <c r="N26">
        <v>18.3</v>
      </c>
      <c r="O26" s="89">
        <v>55245202.954144619</v>
      </c>
      <c r="P26" s="89">
        <v>73304027.072310403</v>
      </c>
      <c r="Q26">
        <v>5.6</v>
      </c>
      <c r="R26">
        <v>5.4</v>
      </c>
      <c r="S26">
        <v>4.9000000000000004</v>
      </c>
      <c r="T26">
        <v>99.227490676611595</v>
      </c>
      <c r="U26">
        <v>16837.43</v>
      </c>
      <c r="V26">
        <v>8.82</v>
      </c>
      <c r="W26">
        <v>28.07</v>
      </c>
      <c r="X26">
        <v>41.097635996133199</v>
      </c>
      <c r="Y26">
        <v>0.75</v>
      </c>
      <c r="Z26">
        <v>1.3227513228000001</v>
      </c>
      <c r="AA26">
        <v>7.6719576719999996</v>
      </c>
      <c r="AB26">
        <v>0</v>
      </c>
      <c r="AC26">
        <v>1</v>
      </c>
      <c r="AD26">
        <v>0.38830528957887889</v>
      </c>
      <c r="AE26">
        <v>1</v>
      </c>
      <c r="AF26">
        <v>0.49560000000000004</v>
      </c>
      <c r="AG26">
        <v>0.38900000000000001</v>
      </c>
      <c r="AH26">
        <v>0.16200000000000001</v>
      </c>
      <c r="AI26">
        <v>0.47699999999999998</v>
      </c>
      <c r="AJ26">
        <v>0.52700000000000002</v>
      </c>
      <c r="AK26">
        <v>5.9656084656084657E-2</v>
      </c>
      <c r="AL26">
        <v>0.26629999999999998</v>
      </c>
      <c r="AM26">
        <v>21.4592274678112</v>
      </c>
      <c r="AN26">
        <v>0.56492248062015493</v>
      </c>
      <c r="AO26">
        <v>0.16181657848324515</v>
      </c>
      <c r="AP26">
        <v>480.59964726631392</v>
      </c>
      <c r="AQ26">
        <v>648.14814814814815</v>
      </c>
      <c r="AR26">
        <v>79.365079365079367</v>
      </c>
      <c r="AS26">
        <v>17.636684303350972</v>
      </c>
      <c r="AT26" s="93">
        <v>2302008</v>
      </c>
    </row>
    <row r="27" spans="1:46" x14ac:dyDescent="0.3">
      <c r="A27" t="s">
        <v>114</v>
      </c>
      <c r="B27">
        <v>690</v>
      </c>
      <c r="C27">
        <v>4594.7925684224547</v>
      </c>
      <c r="D27">
        <v>16</v>
      </c>
      <c r="E27">
        <v>106.54591463008589</v>
      </c>
      <c r="F27">
        <v>2.318840579710145E-2</v>
      </c>
      <c r="G27">
        <v>15017</v>
      </c>
      <c r="H27">
        <v>2074440.8337217823</v>
      </c>
      <c r="I27">
        <v>114214556.83558634</v>
      </c>
      <c r="J27">
        <v>385.58300000000003</v>
      </c>
      <c r="K27">
        <v>38.946219101983225</v>
      </c>
      <c r="L27">
        <v>6662.58</v>
      </c>
      <c r="M27">
        <v>0.57099999999999995</v>
      </c>
      <c r="N27">
        <v>20.51</v>
      </c>
      <c r="O27" s="89">
        <v>67208681.627488852</v>
      </c>
      <c r="P27" s="89">
        <v>104072103.08317243</v>
      </c>
      <c r="Q27">
        <v>7.4</v>
      </c>
      <c r="R27">
        <v>5.9</v>
      </c>
      <c r="S27">
        <v>4.2</v>
      </c>
      <c r="T27">
        <v>98.704336872413194</v>
      </c>
      <c r="U27">
        <v>12050.3</v>
      </c>
      <c r="V27">
        <v>13.32</v>
      </c>
      <c r="W27">
        <v>29.63</v>
      </c>
      <c r="X27">
        <v>58.854028183993599</v>
      </c>
      <c r="Y27">
        <v>0.8</v>
      </c>
      <c r="Z27">
        <v>0.59932076980000004</v>
      </c>
      <c r="AA27">
        <v>8.8566291536000001</v>
      </c>
      <c r="AB27">
        <v>0</v>
      </c>
      <c r="AC27">
        <v>0</v>
      </c>
      <c r="AD27">
        <v>0.32508980381320807</v>
      </c>
      <c r="AE27">
        <v>1</v>
      </c>
      <c r="AF27">
        <v>0.51560000000000006</v>
      </c>
      <c r="AG27">
        <v>0.52700000000000002</v>
      </c>
      <c r="AH27">
        <v>0.47099999999999997</v>
      </c>
      <c r="AI27">
        <v>0.58399999999999996</v>
      </c>
      <c r="AJ27">
        <v>0.52700000000000002</v>
      </c>
      <c r="AK27">
        <v>6.8255976559898776E-2</v>
      </c>
      <c r="AL27">
        <v>0.39510000000000001</v>
      </c>
      <c r="AM27">
        <v>15.0753768844221</v>
      </c>
      <c r="AN27">
        <v>0.87666666666666682</v>
      </c>
      <c r="AO27">
        <v>0.13045215422521142</v>
      </c>
      <c r="AP27">
        <v>259.7056669108344</v>
      </c>
      <c r="AQ27">
        <v>372.91070120530065</v>
      </c>
      <c r="AR27">
        <v>46.613837650662582</v>
      </c>
      <c r="AS27">
        <v>19.97735899314111</v>
      </c>
      <c r="AT27" s="93">
        <v>2302057</v>
      </c>
    </row>
    <row r="28" spans="1:46" x14ac:dyDescent="0.3">
      <c r="A28" t="s">
        <v>375</v>
      </c>
      <c r="B28">
        <v>501</v>
      </c>
      <c r="C28">
        <v>1401.3986013986014</v>
      </c>
      <c r="D28">
        <v>28</v>
      </c>
      <c r="E28">
        <v>78.32167832167832</v>
      </c>
      <c r="F28">
        <v>5.588822355289421E-2</v>
      </c>
      <c r="G28">
        <v>35750</v>
      </c>
      <c r="H28">
        <v>12669628.587412586</v>
      </c>
      <c r="I28">
        <v>108058741.25874127</v>
      </c>
      <c r="J28">
        <v>314.07499999999999</v>
      </c>
      <c r="K28">
        <v>113.82631537053253</v>
      </c>
      <c r="L28">
        <v>9114.77</v>
      </c>
      <c r="M28">
        <v>0.61899999999999999</v>
      </c>
      <c r="N28">
        <v>32.619999999999997</v>
      </c>
      <c r="O28" s="89">
        <v>75774836.36363636</v>
      </c>
      <c r="P28" s="89">
        <v>64675866.461538464</v>
      </c>
      <c r="Q28">
        <v>5.5</v>
      </c>
      <c r="R28">
        <v>4.5</v>
      </c>
      <c r="S28">
        <v>4.3</v>
      </c>
      <c r="T28">
        <v>99.039186882121697</v>
      </c>
      <c r="U28">
        <v>36429.49</v>
      </c>
      <c r="V28">
        <v>13.99</v>
      </c>
      <c r="W28">
        <v>30.63</v>
      </c>
      <c r="X28">
        <v>47.733785926935802</v>
      </c>
      <c r="Y28">
        <v>0.64</v>
      </c>
      <c r="Z28">
        <v>1.5384615385</v>
      </c>
      <c r="AA28">
        <v>13.6223776224</v>
      </c>
      <c r="AB28">
        <v>0</v>
      </c>
      <c r="AC28">
        <v>0</v>
      </c>
      <c r="AD28">
        <v>0.26661864890009301</v>
      </c>
      <c r="AE28">
        <v>0</v>
      </c>
      <c r="AF28">
        <v>0.51049999999999995</v>
      </c>
      <c r="AG28">
        <v>0.42099999999999999</v>
      </c>
      <c r="AH28">
        <v>0.28100000000000003</v>
      </c>
      <c r="AI28">
        <v>0.496</v>
      </c>
      <c r="AJ28">
        <v>0.48599999999999999</v>
      </c>
      <c r="AK28">
        <v>8.9258741258741253E-2</v>
      </c>
      <c r="AL28">
        <v>0.19889999999999999</v>
      </c>
      <c r="AM28">
        <v>12.915129151291501</v>
      </c>
      <c r="AN28">
        <v>0.95876288659793829</v>
      </c>
      <c r="AO28">
        <v>0.12195804195804195</v>
      </c>
      <c r="AP28">
        <v>413.98601398601397</v>
      </c>
      <c r="AQ28">
        <v>786.01398601398603</v>
      </c>
      <c r="AR28">
        <v>148.25174825174827</v>
      </c>
      <c r="AS28">
        <v>41.95804195804196</v>
      </c>
      <c r="AT28" s="93">
        <v>2302107</v>
      </c>
    </row>
    <row r="29" spans="1:46" x14ac:dyDescent="0.3">
      <c r="A29" t="s">
        <v>116</v>
      </c>
      <c r="B29">
        <v>648</v>
      </c>
      <c r="C29">
        <v>1209.5645194407632</v>
      </c>
      <c r="D29">
        <v>28</v>
      </c>
      <c r="E29">
        <v>52.265133556082354</v>
      </c>
      <c r="F29">
        <v>4.3209876543209874E-2</v>
      </c>
      <c r="G29">
        <v>53573</v>
      </c>
      <c r="H29">
        <v>1600658.4286860917</v>
      </c>
      <c r="I29">
        <v>111207137.92395422</v>
      </c>
      <c r="J29">
        <v>1596.751</v>
      </c>
      <c r="K29">
        <v>33.55125501721934</v>
      </c>
      <c r="L29">
        <v>13744.68</v>
      </c>
      <c r="M29">
        <v>0.63800000000000001</v>
      </c>
      <c r="N29">
        <v>35.049999999999997</v>
      </c>
      <c r="O29" s="89">
        <v>44357974.166091129</v>
      </c>
      <c r="P29" s="89">
        <v>80313119.052507803</v>
      </c>
      <c r="Q29">
        <v>6</v>
      </c>
      <c r="R29">
        <v>5.4</v>
      </c>
      <c r="S29">
        <v>5.0999999999999996</v>
      </c>
      <c r="T29">
        <v>91.911550771021197</v>
      </c>
      <c r="U29">
        <v>89023.76</v>
      </c>
      <c r="V29">
        <v>18.670000000000002</v>
      </c>
      <c r="W29">
        <v>33.04</v>
      </c>
      <c r="X29">
        <v>46.2826002335539</v>
      </c>
      <c r="Y29">
        <v>0.37</v>
      </c>
      <c r="Z29">
        <v>0.46665297820000001</v>
      </c>
      <c r="AA29">
        <v>7.3357848170000004</v>
      </c>
      <c r="AB29">
        <v>0</v>
      </c>
      <c r="AC29">
        <v>0</v>
      </c>
      <c r="AD29">
        <v>0.56174078805945937</v>
      </c>
      <c r="AE29">
        <v>1</v>
      </c>
      <c r="AF29">
        <v>0.52759999999999996</v>
      </c>
      <c r="AG29">
        <v>0.45600000000000002</v>
      </c>
      <c r="AH29">
        <v>0.38900000000000001</v>
      </c>
      <c r="AI29">
        <v>0.498</v>
      </c>
      <c r="AJ29">
        <v>0.48199999999999998</v>
      </c>
      <c r="AK29">
        <v>9.312526832546246E-2</v>
      </c>
      <c r="AL29">
        <v>0.25429999999999997</v>
      </c>
      <c r="AM29">
        <v>11.396011396011399</v>
      </c>
      <c r="AN29">
        <v>0.8238731218697829</v>
      </c>
      <c r="AO29">
        <v>0.13749463349075094</v>
      </c>
      <c r="AP29">
        <v>337.85675620181809</v>
      </c>
      <c r="AQ29">
        <v>362.12271106714201</v>
      </c>
      <c r="AR29">
        <v>98.930431374013025</v>
      </c>
      <c r="AS29">
        <v>16.799507214455041</v>
      </c>
      <c r="AT29" s="93">
        <v>2302206</v>
      </c>
    </row>
    <row r="30" spans="1:46" x14ac:dyDescent="0.3">
      <c r="A30" t="s">
        <v>117</v>
      </c>
      <c r="B30">
        <v>1100</v>
      </c>
      <c r="C30">
        <v>3375.1649228314564</v>
      </c>
      <c r="D30">
        <v>17</v>
      </c>
      <c r="E30">
        <v>52.16163971648615</v>
      </c>
      <c r="F30">
        <v>1.5454545454545455E-2</v>
      </c>
      <c r="G30">
        <v>32591</v>
      </c>
      <c r="H30">
        <v>1263994.7224693934</v>
      </c>
      <c r="I30">
        <v>93509864.686569914</v>
      </c>
      <c r="J30">
        <v>842.10599999999999</v>
      </c>
      <c r="K30">
        <v>38.701778635943697</v>
      </c>
      <c r="L30">
        <v>7322.64</v>
      </c>
      <c r="M30">
        <v>0.623</v>
      </c>
      <c r="N30">
        <v>22.7</v>
      </c>
      <c r="O30" s="89">
        <v>46037641.864318371</v>
      </c>
      <c r="P30" s="89">
        <v>89611509.465803444</v>
      </c>
      <c r="Q30">
        <v>6.5</v>
      </c>
      <c r="R30">
        <v>5.7</v>
      </c>
      <c r="S30">
        <v>5</v>
      </c>
      <c r="T30">
        <v>98.133771275007504</v>
      </c>
      <c r="U30">
        <v>26074.57</v>
      </c>
      <c r="V30">
        <v>15.34</v>
      </c>
      <c r="W30">
        <v>28.85</v>
      </c>
      <c r="X30">
        <v>46.112707047246502</v>
      </c>
      <c r="Y30">
        <v>0.61</v>
      </c>
      <c r="Z30">
        <v>0.92049952440000005</v>
      </c>
      <c r="AA30">
        <v>7.0264797029999997</v>
      </c>
      <c r="AB30">
        <v>0</v>
      </c>
      <c r="AC30">
        <v>0</v>
      </c>
      <c r="AD30">
        <v>0.57908543299436488</v>
      </c>
      <c r="AE30">
        <v>1</v>
      </c>
      <c r="AF30">
        <v>0.54409999999999992</v>
      </c>
      <c r="AG30">
        <v>0.52</v>
      </c>
      <c r="AH30">
        <v>0.50700000000000001</v>
      </c>
      <c r="AI30">
        <v>0.495</v>
      </c>
      <c r="AJ30">
        <v>0.55700000000000005</v>
      </c>
      <c r="AK30">
        <v>5.1916173176643855E-2</v>
      </c>
      <c r="AL30">
        <v>0.34889999999999999</v>
      </c>
      <c r="AM30">
        <v>16.393442622950801</v>
      </c>
      <c r="AN30">
        <v>1</v>
      </c>
      <c r="AO30">
        <v>0.12791875057531221</v>
      </c>
      <c r="AP30">
        <v>177.96324138565862</v>
      </c>
      <c r="AQ30">
        <v>463.31809395231812</v>
      </c>
      <c r="AR30">
        <v>24.546653984228776</v>
      </c>
      <c r="AS30">
        <v>3.068331748028597</v>
      </c>
      <c r="AT30" s="93">
        <v>2302305</v>
      </c>
    </row>
    <row r="31" spans="1:46" x14ac:dyDescent="0.3">
      <c r="A31" t="s">
        <v>118</v>
      </c>
      <c r="B31">
        <v>237</v>
      </c>
      <c r="C31">
        <v>435.10189094914631</v>
      </c>
      <c r="D31">
        <v>17</v>
      </c>
      <c r="E31">
        <v>31.209840279052692</v>
      </c>
      <c r="F31">
        <v>7.1729957805907171E-2</v>
      </c>
      <c r="G31">
        <v>54470</v>
      </c>
      <c r="H31">
        <v>5357054.1215347899</v>
      </c>
      <c r="I31">
        <v>94516247.475674689</v>
      </c>
      <c r="J31">
        <v>2835.0369999999998</v>
      </c>
      <c r="K31">
        <v>19.213153126396588</v>
      </c>
      <c r="L31">
        <v>7031.15</v>
      </c>
      <c r="M31">
        <v>0.59799999999999998</v>
      </c>
      <c r="N31">
        <v>22.43</v>
      </c>
      <c r="O31" s="89">
        <v>43531219.992656507</v>
      </c>
      <c r="P31" s="89">
        <v>74256034.514411598</v>
      </c>
      <c r="Q31">
        <v>5.3</v>
      </c>
      <c r="R31">
        <v>4.8</v>
      </c>
      <c r="S31">
        <v>4.4000000000000004</v>
      </c>
      <c r="T31">
        <v>98.837648441106097</v>
      </c>
      <c r="U31">
        <v>43072.3</v>
      </c>
      <c r="V31">
        <v>12.85</v>
      </c>
      <c r="W31">
        <v>29.69</v>
      </c>
      <c r="X31">
        <v>48.108177437381997</v>
      </c>
      <c r="Y31">
        <v>0.39</v>
      </c>
      <c r="Z31">
        <v>1.2116761519999999</v>
      </c>
      <c r="AA31">
        <v>5.8564347346999996</v>
      </c>
      <c r="AB31">
        <v>0</v>
      </c>
      <c r="AC31">
        <v>1</v>
      </c>
      <c r="AD31">
        <v>0.49323783763190981</v>
      </c>
      <c r="AE31">
        <v>1</v>
      </c>
      <c r="AF31">
        <v>0.63019999999999998</v>
      </c>
      <c r="AG31">
        <v>0.496</v>
      </c>
      <c r="AH31">
        <v>0.29299999999999998</v>
      </c>
      <c r="AI31">
        <v>0.58599999999999997</v>
      </c>
      <c r="AJ31">
        <v>0.60899999999999999</v>
      </c>
      <c r="AK31">
        <v>6.4237194786120805E-2</v>
      </c>
      <c r="AL31">
        <v>0.36359999999999998</v>
      </c>
      <c r="AM31">
        <v>17.828200972447299</v>
      </c>
      <c r="AN31">
        <v>0.95141065830721006</v>
      </c>
      <c r="AO31">
        <v>0.15740774738388102</v>
      </c>
      <c r="AP31">
        <v>332.29300532403158</v>
      </c>
      <c r="AQ31">
        <v>598.49458417477501</v>
      </c>
      <c r="AR31">
        <v>77.106664218836059</v>
      </c>
      <c r="AS31">
        <v>20.194602533504682</v>
      </c>
      <c r="AT31" s="93">
        <v>2302404</v>
      </c>
    </row>
    <row r="32" spans="1:46" x14ac:dyDescent="0.3">
      <c r="A32" t="s">
        <v>119</v>
      </c>
      <c r="B32">
        <v>591</v>
      </c>
      <c r="C32">
        <v>1194.4944115447581</v>
      </c>
      <c r="D32">
        <v>13</v>
      </c>
      <c r="E32">
        <v>26.274834771712108</v>
      </c>
      <c r="F32">
        <v>2.1996615905245348E-2</v>
      </c>
      <c r="G32">
        <v>49477</v>
      </c>
      <c r="H32">
        <v>17689817.693069506</v>
      </c>
      <c r="I32">
        <v>89137174.848919705</v>
      </c>
      <c r="J32">
        <v>654.65800000000002</v>
      </c>
      <c r="K32">
        <v>75.576866088858608</v>
      </c>
      <c r="L32">
        <v>10248.61</v>
      </c>
      <c r="M32">
        <v>0.64700000000000002</v>
      </c>
      <c r="N32">
        <v>28.55</v>
      </c>
      <c r="O32" s="89">
        <v>84120558.522141606</v>
      </c>
      <c r="P32" s="89">
        <v>85212278.311134458</v>
      </c>
      <c r="Q32">
        <v>6.1</v>
      </c>
      <c r="R32">
        <v>5.8</v>
      </c>
      <c r="S32">
        <v>4.0999999999999996</v>
      </c>
      <c r="T32">
        <v>89.953920062747201</v>
      </c>
      <c r="U32">
        <v>58162</v>
      </c>
      <c r="V32">
        <v>8.08</v>
      </c>
      <c r="W32">
        <v>30.23</v>
      </c>
      <c r="X32">
        <v>37.951928092773201</v>
      </c>
      <c r="Y32">
        <v>0.83</v>
      </c>
      <c r="Z32">
        <v>4.4465104997999996</v>
      </c>
      <c r="AA32">
        <v>13.117205974499999</v>
      </c>
      <c r="AB32">
        <v>0</v>
      </c>
      <c r="AC32">
        <v>1</v>
      </c>
      <c r="AD32">
        <v>0.37921802048989889</v>
      </c>
      <c r="AE32">
        <v>0</v>
      </c>
      <c r="AF32">
        <v>0.75700000000000001</v>
      </c>
      <c r="AG32">
        <v>0.38300000000000001</v>
      </c>
      <c r="AH32">
        <v>0.184</v>
      </c>
      <c r="AI32">
        <v>0.48099999999999998</v>
      </c>
      <c r="AJ32">
        <v>0.48499999999999999</v>
      </c>
      <c r="AK32">
        <v>0.13264749277442045</v>
      </c>
      <c r="AL32">
        <v>0.15359999999999999</v>
      </c>
      <c r="AM32">
        <v>15.113350125944599</v>
      </c>
      <c r="AN32">
        <v>1</v>
      </c>
      <c r="AO32">
        <v>0.12597772702467813</v>
      </c>
      <c r="AP32">
        <v>1071.2048022313397</v>
      </c>
      <c r="AQ32">
        <v>2384.9465408169453</v>
      </c>
      <c r="AR32">
        <v>242.53693635426561</v>
      </c>
      <c r="AS32">
        <v>240.51579521798004</v>
      </c>
      <c r="AT32" s="93">
        <v>2302503</v>
      </c>
    </row>
    <row r="33" spans="1:46" x14ac:dyDescent="0.3">
      <c r="A33" t="s">
        <v>120</v>
      </c>
      <c r="B33">
        <v>2177</v>
      </c>
      <c r="C33">
        <v>3419.676096825372</v>
      </c>
      <c r="D33">
        <v>78</v>
      </c>
      <c r="E33">
        <v>122.52399428221361</v>
      </c>
      <c r="F33">
        <v>3.5829122645842905E-2</v>
      </c>
      <c r="G33">
        <v>63661</v>
      </c>
      <c r="H33">
        <v>8353238.1677950397</v>
      </c>
      <c r="I33">
        <v>102779723.84976675</v>
      </c>
      <c r="J33">
        <v>1120.452</v>
      </c>
      <c r="K33">
        <v>56.817248753181751</v>
      </c>
      <c r="L33">
        <v>9005.0400000000009</v>
      </c>
      <c r="M33">
        <v>0.62</v>
      </c>
      <c r="N33">
        <v>30.86</v>
      </c>
      <c r="O33" s="89">
        <v>116289106.42308478</v>
      </c>
      <c r="P33" s="89">
        <v>90450471.073341608</v>
      </c>
      <c r="Q33">
        <v>6.7</v>
      </c>
      <c r="R33">
        <v>5.2</v>
      </c>
      <c r="S33">
        <v>4.5</v>
      </c>
      <c r="T33">
        <v>97.822149481723997</v>
      </c>
      <c r="U33">
        <v>92249.8</v>
      </c>
      <c r="V33">
        <v>4.71</v>
      </c>
      <c r="W33">
        <v>31.61</v>
      </c>
      <c r="X33">
        <v>42.697983006556399</v>
      </c>
      <c r="Y33">
        <v>0.57999999999999996</v>
      </c>
      <c r="Z33">
        <v>1.6493614615000001</v>
      </c>
      <c r="AA33">
        <v>7.5713545184999997</v>
      </c>
      <c r="AB33">
        <v>0</v>
      </c>
      <c r="AC33">
        <v>0</v>
      </c>
      <c r="AD33">
        <v>0.25767146514179329</v>
      </c>
      <c r="AE33">
        <v>0</v>
      </c>
      <c r="AF33">
        <v>0.50329999999999997</v>
      </c>
      <c r="AG33">
        <v>0.438</v>
      </c>
      <c r="AH33">
        <v>0.184</v>
      </c>
      <c r="AI33">
        <v>0.57599999999999996</v>
      </c>
      <c r="AJ33">
        <v>0.55300000000000005</v>
      </c>
      <c r="AK33">
        <v>8.7039160553557121E-2</v>
      </c>
      <c r="AL33">
        <v>0.28510000000000002</v>
      </c>
      <c r="AM33">
        <v>15.794669299111501</v>
      </c>
      <c r="AN33">
        <v>0.8391933815925543</v>
      </c>
      <c r="AO33">
        <v>0.10852798416612996</v>
      </c>
      <c r="AP33">
        <v>419.40905735065428</v>
      </c>
      <c r="AQ33">
        <v>929.9257001932109</v>
      </c>
      <c r="AR33">
        <v>36.128870108857853</v>
      </c>
      <c r="AS33">
        <v>25.133127032248943</v>
      </c>
      <c r="AT33" s="93">
        <v>2302602</v>
      </c>
    </row>
    <row r="34" spans="1:46" x14ac:dyDescent="0.3">
      <c r="A34" t="s">
        <v>121</v>
      </c>
      <c r="B34">
        <v>237</v>
      </c>
      <c r="C34">
        <v>864.14351345438638</v>
      </c>
      <c r="D34">
        <v>4</v>
      </c>
      <c r="E34">
        <v>14.58470064901918</v>
      </c>
      <c r="F34">
        <v>1.6877637130801686E-2</v>
      </c>
      <c r="G34">
        <v>27426</v>
      </c>
      <c r="H34">
        <v>10379957.850215124</v>
      </c>
      <c r="I34">
        <v>97538831.765478015</v>
      </c>
      <c r="J34">
        <v>1082.5820000000001</v>
      </c>
      <c r="K34">
        <v>25.333877710880095</v>
      </c>
      <c r="L34">
        <v>6896.85</v>
      </c>
      <c r="M34">
        <v>0.63</v>
      </c>
      <c r="N34">
        <v>19.2</v>
      </c>
      <c r="O34" s="89">
        <v>54100673.667322971</v>
      </c>
      <c r="P34" s="89">
        <v>80749287.464449793</v>
      </c>
      <c r="Q34">
        <v>6.6</v>
      </c>
      <c r="R34">
        <v>5.8</v>
      </c>
      <c r="S34">
        <v>4.5</v>
      </c>
      <c r="T34">
        <v>95.900167930974604</v>
      </c>
      <c r="U34">
        <v>24040.48</v>
      </c>
      <c r="V34">
        <v>29.17</v>
      </c>
      <c r="W34">
        <v>32.729999999999997</v>
      </c>
      <c r="X34">
        <v>44.270112850382198</v>
      </c>
      <c r="Y34">
        <v>0.73</v>
      </c>
      <c r="Z34">
        <v>3.1357106395000001</v>
      </c>
      <c r="AA34">
        <v>7.6934295924000002</v>
      </c>
      <c r="AB34">
        <v>0</v>
      </c>
      <c r="AC34">
        <v>1</v>
      </c>
      <c r="AD34">
        <v>0.28012525465932242</v>
      </c>
      <c r="AE34">
        <v>0</v>
      </c>
      <c r="AF34">
        <v>0.96750000000000003</v>
      </c>
      <c r="AG34">
        <v>0.42199999999999999</v>
      </c>
      <c r="AH34">
        <v>0.22600000000000001</v>
      </c>
      <c r="AI34">
        <v>0.46500000000000002</v>
      </c>
      <c r="AJ34">
        <v>0.57399999999999995</v>
      </c>
      <c r="AK34">
        <v>7.2923503245095889E-2</v>
      </c>
      <c r="AL34">
        <v>0.29020000000000001</v>
      </c>
      <c r="AM34">
        <v>19.047619047619101</v>
      </c>
      <c r="AN34">
        <v>0.92286501377410479</v>
      </c>
      <c r="AO34">
        <v>0.14993072267191715</v>
      </c>
      <c r="AP34">
        <v>765.69678407350693</v>
      </c>
      <c r="AQ34">
        <v>678.18858017939181</v>
      </c>
      <c r="AR34">
        <v>47.400277109312334</v>
      </c>
      <c r="AS34">
        <v>21.877050973528767</v>
      </c>
      <c r="AT34" s="93">
        <v>2302701</v>
      </c>
    </row>
    <row r="35" spans="1:46" x14ac:dyDescent="0.3">
      <c r="A35" t="s">
        <v>383</v>
      </c>
      <c r="B35">
        <v>1733</v>
      </c>
      <c r="C35">
        <v>2250.7370417029238</v>
      </c>
      <c r="D35">
        <v>58</v>
      </c>
      <c r="E35">
        <v>75.327610166629867</v>
      </c>
      <c r="F35">
        <v>3.3467974610502021E-2</v>
      </c>
      <c r="G35">
        <v>76997</v>
      </c>
      <c r="H35">
        <v>10130165.396054391</v>
      </c>
      <c r="I35">
        <v>102542436.71831371</v>
      </c>
      <c r="J35">
        <v>3032.39</v>
      </c>
      <c r="K35">
        <v>25.391522858207555</v>
      </c>
      <c r="L35">
        <v>8106.88</v>
      </c>
      <c r="M35">
        <v>0.61199999999999999</v>
      </c>
      <c r="N35">
        <v>24.82</v>
      </c>
      <c r="O35" s="89">
        <v>61358980.375858799</v>
      </c>
      <c r="P35" s="89">
        <v>81095069.002688423</v>
      </c>
      <c r="Q35">
        <v>6.4</v>
      </c>
      <c r="R35">
        <v>5.7</v>
      </c>
      <c r="S35">
        <v>4.8</v>
      </c>
      <c r="T35">
        <v>100</v>
      </c>
      <c r="U35">
        <v>129980.56</v>
      </c>
      <c r="V35">
        <v>22.08</v>
      </c>
      <c r="W35">
        <v>31.47</v>
      </c>
      <c r="X35">
        <v>49.183108073118902</v>
      </c>
      <c r="Y35">
        <v>0.38</v>
      </c>
      <c r="Z35">
        <v>1.5714897983</v>
      </c>
      <c r="AA35">
        <v>8.0003117004999993</v>
      </c>
      <c r="AB35">
        <v>0</v>
      </c>
      <c r="AC35">
        <v>1</v>
      </c>
      <c r="AD35">
        <v>0.37057725618680598</v>
      </c>
      <c r="AE35">
        <v>1</v>
      </c>
      <c r="AF35">
        <v>0.47350000000000003</v>
      </c>
      <c r="AG35">
        <v>0.45800000000000002</v>
      </c>
      <c r="AH35">
        <v>0.28399999999999997</v>
      </c>
      <c r="AI35">
        <v>0.53400000000000003</v>
      </c>
      <c r="AJ35">
        <v>0.55600000000000005</v>
      </c>
      <c r="AK35">
        <v>9.248412275802953E-2</v>
      </c>
      <c r="AL35">
        <v>0.30559999999999998</v>
      </c>
      <c r="AM35">
        <v>11.473962930273601</v>
      </c>
      <c r="AN35">
        <v>1</v>
      </c>
      <c r="AO35">
        <v>0.13499227242619843</v>
      </c>
      <c r="AP35">
        <v>416.89935971531361</v>
      </c>
      <c r="AQ35">
        <v>607.81588893073751</v>
      </c>
      <c r="AR35">
        <v>62.340091172383346</v>
      </c>
      <c r="AS35">
        <v>24.676286089068409</v>
      </c>
      <c r="AT35" s="93">
        <v>2302800</v>
      </c>
    </row>
    <row r="36" spans="1:46" x14ac:dyDescent="0.3">
      <c r="A36" t="s">
        <v>123</v>
      </c>
      <c r="B36">
        <v>543</v>
      </c>
      <c r="C36">
        <v>3061.2244897959181</v>
      </c>
      <c r="D36">
        <v>10</v>
      </c>
      <c r="E36">
        <v>56.376141616867741</v>
      </c>
      <c r="F36">
        <v>1.841620626151013E-2</v>
      </c>
      <c r="G36">
        <v>17738</v>
      </c>
      <c r="H36">
        <v>2043198.7258991995</v>
      </c>
      <c r="I36">
        <v>108776637.72691396</v>
      </c>
      <c r="J36">
        <v>226.54900000000001</v>
      </c>
      <c r="K36">
        <v>78.29652746205015</v>
      </c>
      <c r="L36">
        <v>9827.07</v>
      </c>
      <c r="M36">
        <v>0.61099999999999999</v>
      </c>
      <c r="N36">
        <v>18.989999999999998</v>
      </c>
      <c r="O36" s="89">
        <v>67559874.112075776</v>
      </c>
      <c r="P36" s="89">
        <v>90910183.053331837</v>
      </c>
      <c r="Q36">
        <v>5.4</v>
      </c>
      <c r="R36">
        <v>4.7</v>
      </c>
      <c r="S36">
        <v>3.7</v>
      </c>
      <c r="T36">
        <v>94.533911427686604</v>
      </c>
      <c r="U36">
        <v>11394.97</v>
      </c>
      <c r="V36">
        <v>45.1</v>
      </c>
      <c r="W36">
        <v>33.33</v>
      </c>
      <c r="X36">
        <v>52.934892612166898</v>
      </c>
      <c r="Y36">
        <v>0.9</v>
      </c>
      <c r="Z36">
        <v>0.78926598260000003</v>
      </c>
      <c r="AA36">
        <v>10.655090765600001</v>
      </c>
      <c r="AB36">
        <v>0</v>
      </c>
      <c r="AC36">
        <v>1</v>
      </c>
      <c r="AD36">
        <v>0.63591607080060952</v>
      </c>
      <c r="AE36">
        <v>1</v>
      </c>
      <c r="AF36">
        <v>0.55149999999999999</v>
      </c>
      <c r="AG36">
        <v>0.55100000000000005</v>
      </c>
      <c r="AH36">
        <v>0.55900000000000005</v>
      </c>
      <c r="AI36">
        <v>0.52100000000000002</v>
      </c>
      <c r="AJ36">
        <v>0.57399999999999995</v>
      </c>
      <c r="AK36">
        <v>5.6545270041718346E-2</v>
      </c>
      <c r="AL36">
        <v>0.35850000000000004</v>
      </c>
      <c r="AM36">
        <v>20</v>
      </c>
      <c r="AN36">
        <v>0.9604166666666667</v>
      </c>
      <c r="AO36">
        <v>0.12927049272747773</v>
      </c>
      <c r="AP36">
        <v>343.89446386289319</v>
      </c>
      <c r="AQ36">
        <v>445.3715187732551</v>
      </c>
      <c r="AR36">
        <v>107.11466907204871</v>
      </c>
      <c r="AS36">
        <v>39.463299131807418</v>
      </c>
      <c r="AT36" s="93">
        <v>2302909</v>
      </c>
    </row>
    <row r="37" spans="1:46" x14ac:dyDescent="0.3">
      <c r="A37" t="s">
        <v>124</v>
      </c>
      <c r="B37">
        <v>293</v>
      </c>
      <c r="C37">
        <v>1299.5076950370337</v>
      </c>
      <c r="D37">
        <v>14</v>
      </c>
      <c r="E37">
        <v>62.092517851598878</v>
      </c>
      <c r="F37">
        <v>4.778156996587031E-2</v>
      </c>
      <c r="G37">
        <v>22547</v>
      </c>
      <c r="H37">
        <v>3681519.7587262164</v>
      </c>
      <c r="I37">
        <v>91603317.51452522</v>
      </c>
      <c r="J37">
        <v>926.27099999999996</v>
      </c>
      <c r="K37">
        <v>24.341688339589602</v>
      </c>
      <c r="L37">
        <v>5631.24</v>
      </c>
      <c r="M37">
        <v>0.59199999999999997</v>
      </c>
      <c r="N37">
        <v>16.079999999999998</v>
      </c>
      <c r="O37" s="89">
        <v>48664207.965583004</v>
      </c>
      <c r="P37" s="89">
        <v>85737732.248192668</v>
      </c>
      <c r="Q37">
        <v>5.5</v>
      </c>
      <c r="R37">
        <v>4.9000000000000004</v>
      </c>
      <c r="S37">
        <v>5.0999999999999996</v>
      </c>
      <c r="T37">
        <v>97.604687230742698</v>
      </c>
      <c r="U37">
        <v>16418.22</v>
      </c>
      <c r="V37">
        <v>39.92</v>
      </c>
      <c r="W37">
        <v>37.04</v>
      </c>
      <c r="X37">
        <v>46.506013519445197</v>
      </c>
      <c r="Y37">
        <v>0.44</v>
      </c>
      <c r="Z37">
        <v>0.93138776779999999</v>
      </c>
      <c r="AA37">
        <v>7.0075841575000002</v>
      </c>
      <c r="AB37">
        <v>0</v>
      </c>
      <c r="AC37">
        <v>1</v>
      </c>
      <c r="AD37">
        <v>0.42442557442557444</v>
      </c>
      <c r="AE37">
        <v>0</v>
      </c>
      <c r="AF37">
        <v>0.52139999999999997</v>
      </c>
      <c r="AG37">
        <v>0.54200000000000004</v>
      </c>
      <c r="AH37">
        <v>0.48</v>
      </c>
      <c r="AI37">
        <v>0.58699999999999997</v>
      </c>
      <c r="AJ37">
        <v>0.55900000000000005</v>
      </c>
      <c r="AK37">
        <v>4.4484853860824056E-2</v>
      </c>
      <c r="AL37">
        <v>0.2969</v>
      </c>
      <c r="AM37">
        <v>10.830324909747301</v>
      </c>
      <c r="AN37">
        <v>0.61562499999999998</v>
      </c>
      <c r="AO37">
        <v>0.11158912493901628</v>
      </c>
      <c r="AP37">
        <v>235.0645318667672</v>
      </c>
      <c r="AQ37">
        <v>328.20330864416553</v>
      </c>
      <c r="AR37">
        <v>22.175899232713888</v>
      </c>
      <c r="AS37">
        <v>8.8703596930855539</v>
      </c>
      <c r="AT37" s="93">
        <v>2303006</v>
      </c>
    </row>
    <row r="38" spans="1:46" x14ac:dyDescent="0.3">
      <c r="A38" t="s">
        <v>387</v>
      </c>
      <c r="B38">
        <v>571</v>
      </c>
      <c r="C38">
        <v>3095.186470078057</v>
      </c>
      <c r="D38">
        <v>14</v>
      </c>
      <c r="E38">
        <v>75.888985255854294</v>
      </c>
      <c r="F38">
        <v>2.4518388791593695E-2</v>
      </c>
      <c r="G38">
        <v>18448</v>
      </c>
      <c r="H38">
        <v>11978554.206418041</v>
      </c>
      <c r="I38">
        <v>159448178.66435385</v>
      </c>
      <c r="J38">
        <v>755.59699999999998</v>
      </c>
      <c r="K38">
        <v>24.415131346471732</v>
      </c>
      <c r="L38">
        <v>8062.68</v>
      </c>
      <c r="M38">
        <v>0.59599999999999997</v>
      </c>
      <c r="N38">
        <v>22.64</v>
      </c>
      <c r="O38" s="89">
        <v>76027410.234171718</v>
      </c>
      <c r="P38" s="89">
        <v>94059319.438421503</v>
      </c>
      <c r="Q38">
        <v>6.8</v>
      </c>
      <c r="R38">
        <v>5.8</v>
      </c>
      <c r="S38">
        <v>4.5</v>
      </c>
      <c r="T38">
        <v>99.771428571428601</v>
      </c>
      <c r="U38">
        <v>17326.009999999998</v>
      </c>
      <c r="V38">
        <v>10.84</v>
      </c>
      <c r="W38">
        <v>30.77</v>
      </c>
      <c r="X38">
        <v>46.6926702421583</v>
      </c>
      <c r="Y38">
        <v>1.03</v>
      </c>
      <c r="Z38">
        <v>0.9757155247</v>
      </c>
      <c r="AA38">
        <v>8.7814397225</v>
      </c>
      <c r="AB38">
        <v>0</v>
      </c>
      <c r="AC38">
        <v>1</v>
      </c>
      <c r="AD38">
        <v>0.54755545865809119</v>
      </c>
      <c r="AE38">
        <v>0</v>
      </c>
      <c r="AF38">
        <v>0.76709999999999989</v>
      </c>
      <c r="AG38">
        <v>0.434</v>
      </c>
      <c r="AH38">
        <v>0.22700000000000001</v>
      </c>
      <c r="AI38">
        <v>0.55300000000000005</v>
      </c>
      <c r="AJ38">
        <v>0.52300000000000002</v>
      </c>
      <c r="AK38">
        <v>8.2664787510841289E-2</v>
      </c>
      <c r="AL38">
        <v>0.30859999999999999</v>
      </c>
      <c r="AM38">
        <v>4.0816326530612201</v>
      </c>
      <c r="AN38">
        <v>0.96184210526315794</v>
      </c>
      <c r="AO38">
        <v>0.16072202948829142</v>
      </c>
      <c r="AP38">
        <v>325.23850823937556</v>
      </c>
      <c r="AQ38">
        <v>1089.5490026019079</v>
      </c>
      <c r="AR38">
        <v>86.730268863833473</v>
      </c>
      <c r="AS38">
        <v>0</v>
      </c>
      <c r="AT38" s="93">
        <v>2303105</v>
      </c>
    </row>
    <row r="39" spans="1:46" x14ac:dyDescent="0.3">
      <c r="A39" t="s">
        <v>389</v>
      </c>
      <c r="B39">
        <v>437</v>
      </c>
      <c r="C39">
        <v>1620.619321342481</v>
      </c>
      <c r="D39">
        <v>5</v>
      </c>
      <c r="E39">
        <v>18.542555164101614</v>
      </c>
      <c r="F39">
        <v>1.1441647597254004E-2</v>
      </c>
      <c r="G39">
        <v>26965</v>
      </c>
      <c r="H39">
        <v>1771650.5470053775</v>
      </c>
      <c r="I39">
        <v>66528462.822176889</v>
      </c>
      <c r="J39">
        <v>634.17899999999997</v>
      </c>
      <c r="K39">
        <v>42.519541012868608</v>
      </c>
      <c r="L39">
        <v>7476.01</v>
      </c>
      <c r="M39">
        <v>0.57799999999999996</v>
      </c>
      <c r="N39">
        <v>20.56</v>
      </c>
      <c r="O39" s="89">
        <v>66283013.684405714</v>
      </c>
      <c r="P39" s="89">
        <v>88229753.791952536</v>
      </c>
      <c r="Q39">
        <v>6</v>
      </c>
      <c r="R39">
        <v>4.8</v>
      </c>
      <c r="S39">
        <v>4.8</v>
      </c>
      <c r="T39">
        <v>99.606330842773403</v>
      </c>
      <c r="U39">
        <v>17685.29</v>
      </c>
      <c r="V39">
        <v>14.83</v>
      </c>
      <c r="W39">
        <v>31.17</v>
      </c>
      <c r="X39">
        <v>56.160373513172999</v>
      </c>
      <c r="Y39">
        <v>0.74</v>
      </c>
      <c r="Z39">
        <v>1.2238086408</v>
      </c>
      <c r="AA39">
        <v>8.9375115890999997</v>
      </c>
      <c r="AB39">
        <v>0</v>
      </c>
      <c r="AC39">
        <v>1</v>
      </c>
      <c r="AD39">
        <v>0.46838176789300195</v>
      </c>
      <c r="AE39">
        <v>0</v>
      </c>
      <c r="AF39">
        <v>0.51719999999999999</v>
      </c>
      <c r="AG39">
        <v>0.48399999999999999</v>
      </c>
      <c r="AH39">
        <v>0.28399999999999997</v>
      </c>
      <c r="AI39">
        <v>0.58399999999999996</v>
      </c>
      <c r="AJ39">
        <v>0.58299999999999996</v>
      </c>
      <c r="AK39">
        <v>6.6604858149452995E-2</v>
      </c>
      <c r="AL39">
        <v>0.3175</v>
      </c>
      <c r="AM39">
        <v>15.283842794759799</v>
      </c>
      <c r="AN39">
        <v>0.86956521739130432</v>
      </c>
      <c r="AO39">
        <v>0.15034303727053588</v>
      </c>
      <c r="AP39">
        <v>630.44687557945485</v>
      </c>
      <c r="AQ39">
        <v>752.82773966252546</v>
      </c>
      <c r="AR39">
        <v>70.461709623586131</v>
      </c>
      <c r="AS39">
        <v>33.376599295382903</v>
      </c>
      <c r="AT39" s="93">
        <v>2303204</v>
      </c>
    </row>
    <row r="40" spans="1:46" x14ac:dyDescent="0.3">
      <c r="A40" t="s">
        <v>391</v>
      </c>
      <c r="B40">
        <v>246</v>
      </c>
      <c r="C40">
        <v>1315.5783731750362</v>
      </c>
      <c r="D40">
        <v>4</v>
      </c>
      <c r="E40">
        <v>21.391518263008717</v>
      </c>
      <c r="F40">
        <v>1.6260162601626018E-2</v>
      </c>
      <c r="G40">
        <v>18699</v>
      </c>
      <c r="H40">
        <v>5843223.7552810302</v>
      </c>
      <c r="I40">
        <v>91192042.355206162</v>
      </c>
      <c r="J40">
        <v>1036.4169999999999</v>
      </c>
      <c r="K40">
        <v>18.04196573386967</v>
      </c>
      <c r="L40">
        <v>7267.16</v>
      </c>
      <c r="M40">
        <v>0.59699999999999998</v>
      </c>
      <c r="N40">
        <v>14.36</v>
      </c>
      <c r="O40" s="89">
        <v>84859417.99026686</v>
      </c>
      <c r="P40" s="89">
        <v>67539458.259799987</v>
      </c>
      <c r="Q40">
        <v>5.5</v>
      </c>
      <c r="R40">
        <v>5</v>
      </c>
      <c r="S40">
        <v>5</v>
      </c>
      <c r="T40">
        <v>91.588609966279506</v>
      </c>
      <c r="U40">
        <v>14315.95</v>
      </c>
      <c r="V40">
        <v>16.04</v>
      </c>
      <c r="W40">
        <v>31.15</v>
      </c>
      <c r="X40">
        <v>43.959570030482901</v>
      </c>
      <c r="Y40">
        <v>0.86</v>
      </c>
      <c r="Z40">
        <v>1.0160971175</v>
      </c>
      <c r="AA40">
        <v>7.8613829617000004</v>
      </c>
      <c r="AB40">
        <v>0</v>
      </c>
      <c r="AC40">
        <v>1</v>
      </c>
      <c r="AD40">
        <v>0.55243173372111809</v>
      </c>
      <c r="AE40">
        <v>1</v>
      </c>
      <c r="AF40">
        <v>0.48340000000000005</v>
      </c>
      <c r="AG40">
        <v>0.373</v>
      </c>
      <c r="AH40">
        <v>9.6000000000000002E-2</v>
      </c>
      <c r="AI40">
        <v>0.50800000000000001</v>
      </c>
      <c r="AJ40">
        <v>0.51500000000000001</v>
      </c>
      <c r="AK40">
        <v>4.1766939408524523E-2</v>
      </c>
      <c r="AL40">
        <v>0.3342</v>
      </c>
      <c r="AM40">
        <v>9.8522167487684698</v>
      </c>
      <c r="AN40">
        <v>0.82159624413145549</v>
      </c>
      <c r="AO40">
        <v>0.17974223220493074</v>
      </c>
      <c r="AP40">
        <v>454.56976308893525</v>
      </c>
      <c r="AQ40">
        <v>861.00861008610082</v>
      </c>
      <c r="AR40">
        <v>53.478795657521793</v>
      </c>
      <c r="AS40">
        <v>10.695759131504358</v>
      </c>
      <c r="AT40" s="93">
        <v>2303303</v>
      </c>
    </row>
    <row r="41" spans="1:46" x14ac:dyDescent="0.3">
      <c r="A41" t="s">
        <v>128</v>
      </c>
      <c r="B41">
        <v>349</v>
      </c>
      <c r="C41">
        <v>1982.2787686016131</v>
      </c>
      <c r="D41">
        <v>3</v>
      </c>
      <c r="E41">
        <v>17.039645575372031</v>
      </c>
      <c r="F41">
        <v>8.5959885386819486E-3</v>
      </c>
      <c r="G41">
        <v>17606</v>
      </c>
      <c r="H41">
        <v>8397364.307622401</v>
      </c>
      <c r="I41">
        <v>89376348.971941382</v>
      </c>
      <c r="J41">
        <v>363.22</v>
      </c>
      <c r="K41">
        <v>48.472000440504374</v>
      </c>
      <c r="L41">
        <v>6609.89</v>
      </c>
      <c r="M41">
        <v>0.59299999999999997</v>
      </c>
      <c r="N41">
        <v>19.37</v>
      </c>
      <c r="O41" s="89">
        <v>73509370.328297183</v>
      </c>
      <c r="P41" s="89">
        <v>95855369.646711349</v>
      </c>
      <c r="Q41">
        <v>6.9</v>
      </c>
      <c r="R41">
        <v>5.2</v>
      </c>
      <c r="S41">
        <v>4.5999999999999996</v>
      </c>
      <c r="T41">
        <v>99.067989007049803</v>
      </c>
      <c r="U41">
        <v>10849.94</v>
      </c>
      <c r="V41">
        <v>11.36</v>
      </c>
      <c r="W41">
        <v>28.13</v>
      </c>
      <c r="X41">
        <v>42.114786542267503</v>
      </c>
      <c r="Y41">
        <v>1.31</v>
      </c>
      <c r="Z41">
        <v>0.90878109740000002</v>
      </c>
      <c r="AA41">
        <v>9.9965920709000002</v>
      </c>
      <c r="AB41">
        <v>0</v>
      </c>
      <c r="AC41">
        <v>1</v>
      </c>
      <c r="AD41">
        <v>0.52466260599546155</v>
      </c>
      <c r="AE41">
        <v>1</v>
      </c>
      <c r="AF41">
        <v>0.50900000000000001</v>
      </c>
      <c r="AG41">
        <v>0.41599999999999998</v>
      </c>
      <c r="AH41">
        <v>0.20300000000000001</v>
      </c>
      <c r="AI41">
        <v>0.52500000000000002</v>
      </c>
      <c r="AJ41">
        <v>0.51900000000000002</v>
      </c>
      <c r="AK41">
        <v>5.6571623310235145E-2</v>
      </c>
      <c r="AL41">
        <v>0.33250000000000002</v>
      </c>
      <c r="AM41">
        <v>11.278195488721799</v>
      </c>
      <c r="AN41">
        <v>0.85315985130111527</v>
      </c>
      <c r="AO41">
        <v>0.13898670907645122</v>
      </c>
      <c r="AP41">
        <v>386.23196637509943</v>
      </c>
      <c r="AQ41">
        <v>869.02192434397364</v>
      </c>
      <c r="AR41">
        <v>130.6372827445189</v>
      </c>
      <c r="AS41">
        <v>39.759173009201405</v>
      </c>
      <c r="AT41" s="93">
        <v>2303402</v>
      </c>
    </row>
    <row r="42" spans="1:46" x14ac:dyDescent="0.3">
      <c r="A42" t="s">
        <v>129</v>
      </c>
      <c r="B42">
        <v>1239</v>
      </c>
      <c r="C42">
        <v>1726.9977558786225</v>
      </c>
      <c r="D42">
        <v>83</v>
      </c>
      <c r="E42">
        <v>115.69072940914096</v>
      </c>
      <c r="F42">
        <v>6.6989507667473774E-2</v>
      </c>
      <c r="G42">
        <v>71743</v>
      </c>
      <c r="H42">
        <v>7417036.7561992109</v>
      </c>
      <c r="I42">
        <v>103948538.53337608</v>
      </c>
      <c r="J42">
        <v>838.11500000000001</v>
      </c>
      <c r="K42">
        <v>85.600424762711555</v>
      </c>
      <c r="L42">
        <v>10317.32</v>
      </c>
      <c r="M42">
        <v>0.64600000000000002</v>
      </c>
      <c r="N42">
        <v>38.21</v>
      </c>
      <c r="O42" s="89">
        <v>59526473.955647245</v>
      </c>
      <c r="P42" s="89">
        <v>76407181.062960848</v>
      </c>
      <c r="Q42">
        <v>6.7</v>
      </c>
      <c r="R42">
        <v>5.4</v>
      </c>
      <c r="S42">
        <v>4.4000000000000004</v>
      </c>
      <c r="T42">
        <v>97.319123082375597</v>
      </c>
      <c r="U42">
        <v>129895.73</v>
      </c>
      <c r="V42">
        <v>33.450000000000003</v>
      </c>
      <c r="W42">
        <v>27.05</v>
      </c>
      <c r="X42">
        <v>44.815317310887103</v>
      </c>
      <c r="Y42">
        <v>0.35</v>
      </c>
      <c r="Z42">
        <v>0.90601173629999998</v>
      </c>
      <c r="AA42">
        <v>8.3910625427000003</v>
      </c>
      <c r="AB42">
        <v>1</v>
      </c>
      <c r="AC42">
        <v>0</v>
      </c>
      <c r="AD42">
        <v>0.15096307943515466</v>
      </c>
      <c r="AE42">
        <v>0</v>
      </c>
      <c r="AF42">
        <v>0.52689999999999992</v>
      </c>
      <c r="AG42">
        <v>0.48499999999999999</v>
      </c>
      <c r="AH42">
        <v>0.47099999999999997</v>
      </c>
      <c r="AI42">
        <v>0.495</v>
      </c>
      <c r="AJ42">
        <v>0.48899999999999999</v>
      </c>
      <c r="AK42">
        <v>9.9020113460546677E-2</v>
      </c>
      <c r="AL42">
        <v>0.16020000000000001</v>
      </c>
      <c r="AM42">
        <v>11.173184357541899</v>
      </c>
      <c r="AN42">
        <v>0.67771684945164523</v>
      </c>
      <c r="AO42">
        <v>0.12857003470721881</v>
      </c>
      <c r="AP42">
        <v>418.15926292460586</v>
      </c>
      <c r="AQ42">
        <v>671.84254909886681</v>
      </c>
      <c r="AR42">
        <v>62.723889438690883</v>
      </c>
      <c r="AS42">
        <v>11.15091367798949</v>
      </c>
      <c r="AT42" s="93">
        <v>2303501</v>
      </c>
    </row>
    <row r="43" spans="1:46" x14ac:dyDescent="0.3">
      <c r="A43" t="s">
        <v>130</v>
      </c>
      <c r="B43">
        <v>103</v>
      </c>
      <c r="C43">
        <v>497.63262150932457</v>
      </c>
      <c r="D43">
        <v>3</v>
      </c>
      <c r="E43">
        <v>14.494154024543434</v>
      </c>
      <c r="F43">
        <v>2.9126213592233011E-2</v>
      </c>
      <c r="G43">
        <v>20698</v>
      </c>
      <c r="H43">
        <v>1203686.2981930622</v>
      </c>
      <c r="I43">
        <v>47169774.857474156</v>
      </c>
      <c r="J43">
        <v>488.15300000000002</v>
      </c>
      <c r="K43">
        <v>42.400640782705423</v>
      </c>
      <c r="L43">
        <v>5797.02</v>
      </c>
      <c r="M43">
        <v>0.61799999999999999</v>
      </c>
      <c r="N43">
        <v>9.75</v>
      </c>
      <c r="O43" s="89">
        <v>59230999.806744613</v>
      </c>
      <c r="P43" s="89">
        <v>83433617.257706061</v>
      </c>
      <c r="Q43">
        <v>6</v>
      </c>
      <c r="R43">
        <v>4.9000000000000004</v>
      </c>
      <c r="S43">
        <v>4</v>
      </c>
      <c r="T43">
        <v>98.993462695859705</v>
      </c>
      <c r="U43">
        <v>8427.56</v>
      </c>
      <c r="V43">
        <v>9.66</v>
      </c>
      <c r="W43">
        <v>29.41</v>
      </c>
      <c r="X43">
        <v>23.0798715921614</v>
      </c>
      <c r="Y43">
        <v>0.68</v>
      </c>
      <c r="Z43">
        <v>0.8696492415</v>
      </c>
      <c r="AA43">
        <v>8.3099816407000002</v>
      </c>
      <c r="AB43">
        <v>0</v>
      </c>
      <c r="AC43">
        <v>1</v>
      </c>
      <c r="AD43">
        <v>0.5343825020005335</v>
      </c>
      <c r="AE43">
        <v>1</v>
      </c>
      <c r="AF43">
        <v>0.60360000000000003</v>
      </c>
      <c r="AG43">
        <v>0.47499999999999998</v>
      </c>
      <c r="AH43">
        <v>0.221</v>
      </c>
      <c r="AI43">
        <v>0.54800000000000004</v>
      </c>
      <c r="AJ43">
        <v>0.65700000000000003</v>
      </c>
      <c r="AK43">
        <v>2.5316455696202531E-2</v>
      </c>
      <c r="AL43">
        <v>0.2288</v>
      </c>
      <c r="AM43">
        <v>22.0588235294118</v>
      </c>
      <c r="AN43">
        <v>0.83518518518518503</v>
      </c>
      <c r="AO43">
        <v>0.1322349985505846</v>
      </c>
      <c r="AP43">
        <v>212.5809256933037</v>
      </c>
      <c r="AQ43">
        <v>410.66769736206402</v>
      </c>
      <c r="AR43">
        <v>19.325538699391245</v>
      </c>
      <c r="AS43">
        <v>0</v>
      </c>
      <c r="AT43" s="93">
        <v>2303600</v>
      </c>
    </row>
    <row r="44" spans="1:46" x14ac:dyDescent="0.3">
      <c r="A44" t="s">
        <v>131</v>
      </c>
      <c r="B44">
        <v>241</v>
      </c>
      <c r="C44">
        <v>2330.3036163217944</v>
      </c>
      <c r="D44">
        <v>2</v>
      </c>
      <c r="E44">
        <v>19.338619222587507</v>
      </c>
      <c r="F44">
        <v>8.2987551867219917E-3</v>
      </c>
      <c r="G44">
        <v>10342</v>
      </c>
      <c r="H44">
        <v>2428442.5643009092</v>
      </c>
      <c r="I44">
        <v>103123187.00444789</v>
      </c>
      <c r="J44">
        <v>784.02200000000005</v>
      </c>
      <c r="K44">
        <v>13.190956376224136</v>
      </c>
      <c r="L44">
        <v>7723.1</v>
      </c>
      <c r="M44">
        <v>0.60899999999999999</v>
      </c>
      <c r="N44">
        <v>21.2</v>
      </c>
      <c r="O44" s="89">
        <v>77258444.304776639</v>
      </c>
      <c r="P44" s="89">
        <v>139313260.78128022</v>
      </c>
      <c r="Q44">
        <v>8.1999999999999993</v>
      </c>
      <c r="R44">
        <v>6.9</v>
      </c>
      <c r="S44">
        <v>3.9</v>
      </c>
      <c r="T44">
        <v>99.725812769290997</v>
      </c>
      <c r="U44">
        <v>7551.05</v>
      </c>
      <c r="V44">
        <v>19.34</v>
      </c>
      <c r="W44">
        <v>36.590000000000003</v>
      </c>
      <c r="X44">
        <v>55.965690053970697</v>
      </c>
      <c r="Y44">
        <v>0.87</v>
      </c>
      <c r="Z44">
        <v>2.2239412106000001</v>
      </c>
      <c r="AA44">
        <v>10.6362405724</v>
      </c>
      <c r="AB44">
        <v>0</v>
      </c>
      <c r="AC44">
        <v>1</v>
      </c>
      <c r="AD44">
        <v>0.45789790996784568</v>
      </c>
      <c r="AE44">
        <v>0</v>
      </c>
      <c r="AF44">
        <v>0.53079999999999994</v>
      </c>
      <c r="AG44">
        <v>0.435</v>
      </c>
      <c r="AH44">
        <v>0.23100000000000001</v>
      </c>
      <c r="AI44">
        <v>0.52900000000000003</v>
      </c>
      <c r="AJ44">
        <v>0.54400000000000004</v>
      </c>
      <c r="AK44">
        <v>6.3527364146199958E-2</v>
      </c>
      <c r="AL44">
        <v>0.32350000000000001</v>
      </c>
      <c r="AM44">
        <v>9.0090090090090094</v>
      </c>
      <c r="AN44">
        <v>0.73983739837398399</v>
      </c>
      <c r="AO44">
        <v>0.1586733707213305</v>
      </c>
      <c r="AP44">
        <v>396.44169406304388</v>
      </c>
      <c r="AQ44">
        <v>425.44962289692518</v>
      </c>
      <c r="AR44">
        <v>58.015857667762525</v>
      </c>
      <c r="AS44">
        <v>38.677238445175014</v>
      </c>
      <c r="AT44" s="93">
        <v>2303659</v>
      </c>
    </row>
    <row r="45" spans="1:46" x14ac:dyDescent="0.3">
      <c r="A45" t="s">
        <v>132</v>
      </c>
      <c r="B45">
        <v>5063</v>
      </c>
      <c r="C45">
        <v>1400.9407858328723</v>
      </c>
      <c r="D45">
        <v>318</v>
      </c>
      <c r="E45">
        <v>87.991145545102384</v>
      </c>
      <c r="F45">
        <v>6.2808611495160968E-2</v>
      </c>
      <c r="G45">
        <v>361400</v>
      </c>
      <c r="H45">
        <v>4952744.3746541226</v>
      </c>
      <c r="I45">
        <v>90072883.231876045</v>
      </c>
      <c r="J45">
        <v>1223.2460000000001</v>
      </c>
      <c r="K45">
        <v>295.44343492641707</v>
      </c>
      <c r="L45">
        <v>13944.16</v>
      </c>
      <c r="M45">
        <v>0.68200000000000005</v>
      </c>
      <c r="N45">
        <v>36.729999999999997</v>
      </c>
      <c r="O45" s="89">
        <v>49237421.997786388</v>
      </c>
      <c r="P45" s="89">
        <v>67777689.457664639</v>
      </c>
      <c r="Q45">
        <v>5.2</v>
      </c>
      <c r="R45">
        <v>4.2</v>
      </c>
      <c r="S45">
        <v>4</v>
      </c>
      <c r="T45">
        <v>95.760492136154497</v>
      </c>
      <c r="U45">
        <v>598953.93999999994</v>
      </c>
      <c r="V45">
        <v>53.13</v>
      </c>
      <c r="W45">
        <v>30.87</v>
      </c>
      <c r="X45">
        <v>28.672387544768501</v>
      </c>
      <c r="Y45">
        <v>0.26</v>
      </c>
      <c r="Z45">
        <v>0.4537908135</v>
      </c>
      <c r="AA45">
        <v>5.5589374653999997</v>
      </c>
      <c r="AB45">
        <v>1</v>
      </c>
      <c r="AC45">
        <v>1</v>
      </c>
      <c r="AD45">
        <v>0.10822545407616127</v>
      </c>
      <c r="AE45">
        <v>0</v>
      </c>
      <c r="AF45">
        <v>0.5423</v>
      </c>
      <c r="AG45">
        <v>0.42299999999999999</v>
      </c>
      <c r="AH45">
        <v>0.45800000000000002</v>
      </c>
      <c r="AI45">
        <v>0.42799999999999999</v>
      </c>
      <c r="AJ45">
        <v>0.38200000000000001</v>
      </c>
      <c r="AK45">
        <v>0.1090453790813503</v>
      </c>
      <c r="AL45">
        <v>0.1042</v>
      </c>
      <c r="AM45">
        <v>12.916510670160999</v>
      </c>
      <c r="AN45">
        <v>0.68174281503316125</v>
      </c>
      <c r="AO45">
        <v>0.10141671278361926</v>
      </c>
      <c r="AP45">
        <v>310.18262313226342</v>
      </c>
      <c r="AQ45">
        <v>408.13503043718873</v>
      </c>
      <c r="AR45">
        <v>28.223574986164916</v>
      </c>
      <c r="AS45">
        <v>40.12174875484228</v>
      </c>
      <c r="AT45" s="93">
        <v>2303709</v>
      </c>
    </row>
    <row r="46" spans="1:46" x14ac:dyDescent="0.3">
      <c r="A46" t="s">
        <v>133</v>
      </c>
      <c r="B46">
        <v>185</v>
      </c>
      <c r="C46">
        <v>723.87212896662368</v>
      </c>
      <c r="D46">
        <v>7</v>
      </c>
      <c r="E46">
        <v>27.389756231169542</v>
      </c>
      <c r="F46">
        <v>3.783783783783784E-2</v>
      </c>
      <c r="G46">
        <v>25557</v>
      </c>
      <c r="H46">
        <v>14335662.440818563</v>
      </c>
      <c r="I46">
        <v>90679657.236764878</v>
      </c>
      <c r="J46">
        <v>729.97</v>
      </c>
      <c r="K46">
        <v>35.011027850459605</v>
      </c>
      <c r="L46">
        <v>7130.37</v>
      </c>
      <c r="M46">
        <v>0.627</v>
      </c>
      <c r="N46">
        <v>26.12</v>
      </c>
      <c r="O46" s="89">
        <v>58831929.764839381</v>
      </c>
      <c r="P46" s="89">
        <v>80111180.068083107</v>
      </c>
      <c r="Q46">
        <v>5.7</v>
      </c>
      <c r="R46">
        <v>4.7</v>
      </c>
      <c r="S46">
        <v>4.4000000000000004</v>
      </c>
      <c r="T46">
        <v>99.204068096396199</v>
      </c>
      <c r="U46">
        <v>22712.720000000001</v>
      </c>
      <c r="V46">
        <v>3.91</v>
      </c>
      <c r="W46">
        <v>32.65</v>
      </c>
      <c r="X46">
        <v>44.150869650185697</v>
      </c>
      <c r="Y46">
        <v>0.82</v>
      </c>
      <c r="Z46">
        <v>1.9564111594</v>
      </c>
      <c r="AA46">
        <v>8.0212857534000008</v>
      </c>
      <c r="AB46">
        <v>0</v>
      </c>
      <c r="AC46">
        <v>1</v>
      </c>
      <c r="AD46">
        <v>0.38194642638724668</v>
      </c>
      <c r="AE46">
        <v>0</v>
      </c>
      <c r="AF46">
        <v>0.51490000000000002</v>
      </c>
      <c r="AG46">
        <v>0.39500000000000002</v>
      </c>
      <c r="AH46">
        <v>0.23899999999999999</v>
      </c>
      <c r="AI46">
        <v>0.44</v>
      </c>
      <c r="AJ46">
        <v>0.50700000000000001</v>
      </c>
      <c r="AK46">
        <v>5.251007551747075E-2</v>
      </c>
      <c r="AL46">
        <v>0.2666</v>
      </c>
      <c r="AM46">
        <v>12.539184952978101</v>
      </c>
      <c r="AN46">
        <v>0.91695804195804198</v>
      </c>
      <c r="AO46">
        <v>0.17584223500410848</v>
      </c>
      <c r="AP46">
        <v>790.39010838517822</v>
      </c>
      <c r="AQ46">
        <v>1314.708299096138</v>
      </c>
      <c r="AR46">
        <v>168.25135970575576</v>
      </c>
      <c r="AS46">
        <v>3.9128223187385061</v>
      </c>
      <c r="AT46" s="93">
        <v>2303808</v>
      </c>
    </row>
    <row r="47" spans="1:46" x14ac:dyDescent="0.3">
      <c r="A47" t="s">
        <v>134</v>
      </c>
      <c r="B47">
        <v>716</v>
      </c>
      <c r="C47">
        <v>5478.6135128931064</v>
      </c>
      <c r="D47">
        <v>12</v>
      </c>
      <c r="E47">
        <v>91.820338204912389</v>
      </c>
      <c r="F47">
        <v>1.6759776536312849E-2</v>
      </c>
      <c r="G47">
        <v>13069</v>
      </c>
      <c r="H47">
        <v>4728303.9253194584</v>
      </c>
      <c r="I47">
        <v>106897237.73815899</v>
      </c>
      <c r="J47">
        <v>237.24799999999999</v>
      </c>
      <c r="K47">
        <v>55.085817372538443</v>
      </c>
      <c r="L47">
        <v>6202.22</v>
      </c>
      <c r="M47">
        <v>0.58599999999999997</v>
      </c>
      <c r="N47">
        <v>24.01</v>
      </c>
      <c r="O47" s="89">
        <v>56047493.304767013</v>
      </c>
      <c r="P47" s="89">
        <v>95317694.391307682</v>
      </c>
      <c r="Q47">
        <v>6.3</v>
      </c>
      <c r="R47">
        <v>5</v>
      </c>
      <c r="S47">
        <v>3.9</v>
      </c>
      <c r="T47">
        <v>94.558119286025303</v>
      </c>
      <c r="U47">
        <v>8648.36</v>
      </c>
      <c r="V47">
        <v>0</v>
      </c>
      <c r="W47">
        <v>38.89</v>
      </c>
      <c r="X47">
        <v>55.526697731265699</v>
      </c>
      <c r="Y47">
        <v>0.77</v>
      </c>
      <c r="Z47">
        <v>2.0659576095999999</v>
      </c>
      <c r="AA47">
        <v>10.406304996599999</v>
      </c>
      <c r="AB47">
        <v>0</v>
      </c>
      <c r="AC47">
        <v>0</v>
      </c>
      <c r="AD47">
        <v>0.27324613555291322</v>
      </c>
      <c r="AE47">
        <v>0</v>
      </c>
      <c r="AF47">
        <v>0.69359999999999999</v>
      </c>
      <c r="AG47">
        <v>0.505</v>
      </c>
      <c r="AH47">
        <v>0.38100000000000001</v>
      </c>
      <c r="AI47">
        <v>0.57899999999999996</v>
      </c>
      <c r="AJ47">
        <v>0.55600000000000005</v>
      </c>
      <c r="AK47">
        <v>0.14094421914454053</v>
      </c>
      <c r="AL47">
        <v>0.34020000000000006</v>
      </c>
      <c r="AM47">
        <v>5.6497175141242897</v>
      </c>
      <c r="AN47">
        <v>0.87623762376237624</v>
      </c>
      <c r="AO47">
        <v>0.12204453286402939</v>
      </c>
      <c r="AP47">
        <v>267.80931976432777</v>
      </c>
      <c r="AQ47">
        <v>497.36016527660877</v>
      </c>
      <c r="AR47">
        <v>61.213558803274921</v>
      </c>
      <c r="AS47">
        <v>7.6516948504093651</v>
      </c>
      <c r="AT47" s="93">
        <v>2303907</v>
      </c>
    </row>
    <row r="48" spans="1:46" x14ac:dyDescent="0.3">
      <c r="A48" t="s">
        <v>400</v>
      </c>
      <c r="B48">
        <v>283</v>
      </c>
      <c r="C48">
        <v>2093.0404555876048</v>
      </c>
      <c r="D48">
        <v>4</v>
      </c>
      <c r="E48">
        <v>29.583610679683456</v>
      </c>
      <c r="F48">
        <v>1.4134275618374558E-2</v>
      </c>
      <c r="G48">
        <v>13521</v>
      </c>
      <c r="H48">
        <v>9031086.4581022114</v>
      </c>
      <c r="I48">
        <v>169372087.86332372</v>
      </c>
      <c r="J48">
        <v>815.26800000000003</v>
      </c>
      <c r="K48">
        <v>16.584730419935529</v>
      </c>
      <c r="L48">
        <v>5914.35</v>
      </c>
      <c r="M48">
        <v>0.58499999999999996</v>
      </c>
      <c r="N48">
        <v>15.14</v>
      </c>
      <c r="O48" s="89">
        <v>58550219.140596107</v>
      </c>
      <c r="P48" s="89">
        <v>92262048.14732638</v>
      </c>
      <c r="Q48">
        <v>5.7</v>
      </c>
      <c r="R48">
        <v>4.9000000000000004</v>
      </c>
      <c r="S48">
        <v>4.5999999999999996</v>
      </c>
      <c r="T48">
        <v>98.465055519268503</v>
      </c>
      <c r="U48">
        <v>29933.200000000001</v>
      </c>
      <c r="V48">
        <v>22.19</v>
      </c>
      <c r="W48">
        <v>33.82</v>
      </c>
      <c r="X48">
        <v>47.497235532620699</v>
      </c>
      <c r="Y48">
        <v>1.04</v>
      </c>
      <c r="Z48">
        <v>1.1833444272</v>
      </c>
      <c r="AA48">
        <v>11.3896901117</v>
      </c>
      <c r="AB48">
        <v>0</v>
      </c>
      <c r="AC48">
        <v>1</v>
      </c>
      <c r="AD48">
        <v>0.70481599626546332</v>
      </c>
      <c r="AE48">
        <v>1</v>
      </c>
      <c r="AF48">
        <v>1</v>
      </c>
      <c r="AG48">
        <v>0.58099999999999996</v>
      </c>
      <c r="AH48">
        <v>0.57899999999999996</v>
      </c>
      <c r="AI48">
        <v>0.57699999999999996</v>
      </c>
      <c r="AJ48">
        <v>0.58799999999999997</v>
      </c>
      <c r="AK48">
        <v>4.9848383995266622E-2</v>
      </c>
      <c r="AL48">
        <v>0.45840000000000003</v>
      </c>
      <c r="AM48">
        <v>11.9047619047619</v>
      </c>
      <c r="AN48">
        <v>0.87784090909090906</v>
      </c>
      <c r="AO48">
        <v>0.13379187929886843</v>
      </c>
      <c r="AP48">
        <v>303.23200946675541</v>
      </c>
      <c r="AQ48">
        <v>406.77464684564745</v>
      </c>
      <c r="AR48">
        <v>44.375416019525183</v>
      </c>
      <c r="AS48">
        <v>0</v>
      </c>
      <c r="AT48" s="93">
        <v>2303931</v>
      </c>
    </row>
    <row r="49" spans="1:46" x14ac:dyDescent="0.3">
      <c r="A49" t="s">
        <v>136</v>
      </c>
      <c r="B49">
        <v>452</v>
      </c>
      <c r="C49">
        <v>2230.5566521910778</v>
      </c>
      <c r="D49">
        <v>16</v>
      </c>
      <c r="E49">
        <v>78.957757599684172</v>
      </c>
      <c r="F49">
        <v>3.5398230088495575E-2</v>
      </c>
      <c r="G49">
        <v>20264</v>
      </c>
      <c r="H49">
        <v>1633963.6300829055</v>
      </c>
      <c r="I49">
        <v>56760757.994472951</v>
      </c>
      <c r="J49">
        <v>296.43099999999998</v>
      </c>
      <c r="K49">
        <v>68.359921870519614</v>
      </c>
      <c r="L49">
        <v>18237.689999999999</v>
      </c>
      <c r="M49">
        <v>0.60399999999999998</v>
      </c>
      <c r="N49">
        <v>27.47</v>
      </c>
      <c r="O49" s="89">
        <v>53734012.090406634</v>
      </c>
      <c r="P49" s="89">
        <v>113254538.88669562</v>
      </c>
      <c r="Q49">
        <v>6.4</v>
      </c>
      <c r="R49">
        <v>5.4</v>
      </c>
      <c r="S49">
        <v>4</v>
      </c>
      <c r="T49">
        <v>98.672388359930295</v>
      </c>
      <c r="U49">
        <v>19736.21</v>
      </c>
      <c r="V49">
        <v>108.57</v>
      </c>
      <c r="W49">
        <v>31.52</v>
      </c>
      <c r="X49">
        <v>51.948308177961898</v>
      </c>
      <c r="Y49">
        <v>0.94</v>
      </c>
      <c r="Z49">
        <v>0.394788788</v>
      </c>
      <c r="AA49">
        <v>7.0075009870000002</v>
      </c>
      <c r="AB49">
        <v>1</v>
      </c>
      <c r="AC49">
        <v>1</v>
      </c>
      <c r="AD49">
        <v>0.395929156753899</v>
      </c>
      <c r="AE49">
        <v>1</v>
      </c>
      <c r="AF49">
        <v>0.54700000000000004</v>
      </c>
      <c r="AG49">
        <v>0.51</v>
      </c>
      <c r="AH49">
        <v>0.54300000000000004</v>
      </c>
      <c r="AI49">
        <v>0.52400000000000002</v>
      </c>
      <c r="AJ49">
        <v>0.46400000000000002</v>
      </c>
      <c r="AK49">
        <v>7.5256612712198967E-2</v>
      </c>
      <c r="AL49">
        <v>0.20199999999999999</v>
      </c>
      <c r="AM49">
        <v>9.6153846153846203</v>
      </c>
      <c r="AN49">
        <v>1</v>
      </c>
      <c r="AO49">
        <v>0.11113304382155546</v>
      </c>
      <c r="AP49">
        <v>330.63560994867748</v>
      </c>
      <c r="AQ49">
        <v>301.02645084879589</v>
      </c>
      <c r="AR49">
        <v>59.218318199763132</v>
      </c>
      <c r="AS49">
        <v>9.8697196999605215</v>
      </c>
      <c r="AT49" s="93">
        <v>2303956</v>
      </c>
    </row>
    <row r="50" spans="1:46" x14ac:dyDescent="0.3">
      <c r="A50" t="s">
        <v>403</v>
      </c>
      <c r="B50">
        <v>943</v>
      </c>
      <c r="C50">
        <v>4075.8990318118949</v>
      </c>
      <c r="D50">
        <v>11</v>
      </c>
      <c r="E50">
        <v>47.544951590594742</v>
      </c>
      <c r="F50">
        <v>1.166489925768823E-2</v>
      </c>
      <c r="G50">
        <v>23136</v>
      </c>
      <c r="H50">
        <v>13305523.124135546</v>
      </c>
      <c r="I50">
        <v>97676348.547717839</v>
      </c>
      <c r="J50">
        <v>750.33199999999999</v>
      </c>
      <c r="K50">
        <v>30.834350660774163</v>
      </c>
      <c r="L50">
        <v>6233.8</v>
      </c>
      <c r="M50">
        <v>0.61</v>
      </c>
      <c r="N50">
        <v>24.47</v>
      </c>
      <c r="O50" s="89">
        <v>56265921.118603043</v>
      </c>
      <c r="P50" s="89">
        <v>91458778.829529747</v>
      </c>
      <c r="Q50">
        <v>6.6</v>
      </c>
      <c r="R50">
        <v>5.7</v>
      </c>
      <c r="S50">
        <v>4.3</v>
      </c>
      <c r="T50">
        <v>98.803742745469606</v>
      </c>
      <c r="U50">
        <v>17818.71</v>
      </c>
      <c r="V50">
        <v>38.9</v>
      </c>
      <c r="W50">
        <v>36.36</v>
      </c>
      <c r="X50">
        <v>48.311028873875799</v>
      </c>
      <c r="Y50">
        <v>0.69</v>
      </c>
      <c r="Z50">
        <v>0.60511756569999997</v>
      </c>
      <c r="AA50">
        <v>8.6877593360999992</v>
      </c>
      <c r="AB50">
        <v>0</v>
      </c>
      <c r="AC50">
        <v>1</v>
      </c>
      <c r="AD50">
        <v>0.35214539491664387</v>
      </c>
      <c r="AE50">
        <v>1</v>
      </c>
      <c r="AF50">
        <v>0.51639999999999997</v>
      </c>
      <c r="AG50">
        <v>0.505</v>
      </c>
      <c r="AH50">
        <v>0.439</v>
      </c>
      <c r="AI50">
        <v>0.53500000000000003</v>
      </c>
      <c r="AJ50">
        <v>0.54</v>
      </c>
      <c r="AK50">
        <v>5.2169778699861689E-2</v>
      </c>
      <c r="AL50">
        <v>0.35310000000000002</v>
      </c>
      <c r="AM50">
        <v>9.9009900990098991</v>
      </c>
      <c r="AN50">
        <v>0.96082089552238803</v>
      </c>
      <c r="AO50">
        <v>0.12357365145228216</v>
      </c>
      <c r="AP50">
        <v>345.78146611341629</v>
      </c>
      <c r="AQ50">
        <v>380.35961272475794</v>
      </c>
      <c r="AR50">
        <v>38.900414937759336</v>
      </c>
      <c r="AS50">
        <v>8.6445366528354093</v>
      </c>
      <c r="AT50" s="93">
        <v>2304004</v>
      </c>
    </row>
    <row r="51" spans="1:46" x14ac:dyDescent="0.3">
      <c r="A51" t="s">
        <v>405</v>
      </c>
      <c r="B51">
        <v>1846</v>
      </c>
      <c r="C51">
        <v>2458.9072115512695</v>
      </c>
      <c r="D51">
        <v>31</v>
      </c>
      <c r="E51">
        <v>41.292591309907557</v>
      </c>
      <c r="F51">
        <v>1.6793066088840736E-2</v>
      </c>
      <c r="G51">
        <v>75074</v>
      </c>
      <c r="H51">
        <v>18434227.588779073</v>
      </c>
      <c r="I51">
        <v>91188427.418280631</v>
      </c>
      <c r="J51">
        <v>2981.4589999999998</v>
      </c>
      <c r="K51">
        <v>25.180289247646876</v>
      </c>
      <c r="L51">
        <v>9105.67</v>
      </c>
      <c r="M51">
        <v>0.64400000000000002</v>
      </c>
      <c r="N51">
        <v>28.77</v>
      </c>
      <c r="O51" s="89">
        <v>75539741.361856312</v>
      </c>
      <c r="P51" s="89">
        <v>73688721.52809228</v>
      </c>
      <c r="Q51">
        <v>6.7</v>
      </c>
      <c r="R51">
        <v>5.0999999999999996</v>
      </c>
      <c r="S51">
        <v>4.7</v>
      </c>
      <c r="T51">
        <v>99.961404035422504</v>
      </c>
      <c r="U51">
        <v>74733.7</v>
      </c>
      <c r="V51">
        <v>10.66</v>
      </c>
      <c r="W51">
        <v>31.03</v>
      </c>
      <c r="X51">
        <v>36.044918106946596</v>
      </c>
      <c r="Y51">
        <v>0.51</v>
      </c>
      <c r="Z51">
        <v>2.0646295655000002</v>
      </c>
      <c r="AA51">
        <v>10.7493939313</v>
      </c>
      <c r="AB51">
        <v>0</v>
      </c>
      <c r="AC51">
        <v>1</v>
      </c>
      <c r="AD51">
        <v>0.27698730978410152</v>
      </c>
      <c r="AE51">
        <v>0</v>
      </c>
      <c r="AF51">
        <v>0.50609999999999999</v>
      </c>
      <c r="AG51">
        <v>0.44</v>
      </c>
      <c r="AH51">
        <v>0.28799999999999998</v>
      </c>
      <c r="AI51">
        <v>0.49399999999999999</v>
      </c>
      <c r="AJ51">
        <v>0.53700000000000003</v>
      </c>
      <c r="AK51">
        <v>7.6631057356741347E-2</v>
      </c>
      <c r="AL51">
        <v>0.22550000000000001</v>
      </c>
      <c r="AM51">
        <v>19.0735694822888</v>
      </c>
      <c r="AN51">
        <v>0.87869660460021903</v>
      </c>
      <c r="AO51">
        <v>0.15869675253749635</v>
      </c>
      <c r="AP51">
        <v>483.52292404827239</v>
      </c>
      <c r="AQ51">
        <v>1542.4780882862242</v>
      </c>
      <c r="AR51">
        <v>86.581239843354552</v>
      </c>
      <c r="AS51">
        <v>95.905373364946584</v>
      </c>
      <c r="AT51" s="93">
        <v>2304103</v>
      </c>
    </row>
    <row r="52" spans="1:46" x14ac:dyDescent="0.3">
      <c r="A52" t="s">
        <v>139</v>
      </c>
      <c r="B52">
        <v>3093</v>
      </c>
      <c r="C52">
        <v>2341.0004314161802</v>
      </c>
      <c r="D52">
        <v>50</v>
      </c>
      <c r="E52">
        <v>37.843524594506633</v>
      </c>
      <c r="F52">
        <v>1.6165535079211122E-2</v>
      </c>
      <c r="G52">
        <v>132123</v>
      </c>
      <c r="H52">
        <v>9450615.5249275304</v>
      </c>
      <c r="I52">
        <v>89448468.472559661</v>
      </c>
      <c r="J52">
        <v>1138.1500000000001</v>
      </c>
      <c r="K52">
        <v>116.08575319597591</v>
      </c>
      <c r="L52">
        <v>10262.41</v>
      </c>
      <c r="M52">
        <v>0.71299999999999997</v>
      </c>
      <c r="N52">
        <v>32.479999999999997</v>
      </c>
      <c r="O52" s="89">
        <v>70076080.084466755</v>
      </c>
      <c r="P52" s="89">
        <v>59185614.60154552</v>
      </c>
      <c r="Q52">
        <v>5.5</v>
      </c>
      <c r="R52">
        <v>5</v>
      </c>
      <c r="S52">
        <v>4.4000000000000004</v>
      </c>
      <c r="T52">
        <v>95.446745562130204</v>
      </c>
      <c r="U52">
        <v>209744.82</v>
      </c>
      <c r="V52">
        <v>20.440000000000001</v>
      </c>
      <c r="W52">
        <v>31.11</v>
      </c>
      <c r="X52">
        <v>33.9364509024212</v>
      </c>
      <c r="Y52">
        <v>0.49</v>
      </c>
      <c r="Z52">
        <v>1.7786456558999999</v>
      </c>
      <c r="AA52">
        <v>8.5147930338000002</v>
      </c>
      <c r="AB52">
        <v>0</v>
      </c>
      <c r="AC52">
        <v>1</v>
      </c>
      <c r="AD52">
        <v>0.16892314787363705</v>
      </c>
      <c r="AE52">
        <v>1</v>
      </c>
      <c r="AF52">
        <v>0.58779999999999999</v>
      </c>
      <c r="AG52">
        <v>0.30599999999999999</v>
      </c>
      <c r="AH52">
        <v>0.16400000000000001</v>
      </c>
      <c r="AI52">
        <v>0.35599999999999998</v>
      </c>
      <c r="AJ52">
        <v>0.39800000000000002</v>
      </c>
      <c r="AK52">
        <v>0.13631994429433181</v>
      </c>
      <c r="AL52">
        <v>0.1105</v>
      </c>
      <c r="AM52">
        <v>18.091361374943499</v>
      </c>
      <c r="AN52">
        <v>0.8285781103835359</v>
      </c>
      <c r="AO52">
        <v>0.12471711965365606</v>
      </c>
      <c r="AP52">
        <v>522.99750989608162</v>
      </c>
      <c r="AQ52">
        <v>523.75438038797176</v>
      </c>
      <c r="AR52">
        <v>94.608811486266575</v>
      </c>
      <c r="AS52">
        <v>2.2706114756703979</v>
      </c>
      <c r="AT52" s="93">
        <v>2304202</v>
      </c>
    </row>
    <row r="53" spans="1:46" x14ac:dyDescent="0.3">
      <c r="A53" t="s">
        <v>408</v>
      </c>
      <c r="B53">
        <v>96</v>
      </c>
      <c r="C53">
        <v>531.47317721308752</v>
      </c>
      <c r="D53">
        <v>1</v>
      </c>
      <c r="E53">
        <v>5.536178929302995</v>
      </c>
      <c r="F53">
        <v>1.0416666666666666E-2</v>
      </c>
      <c r="G53">
        <v>18063</v>
      </c>
      <c r="H53">
        <v>1561341.0839838344</v>
      </c>
      <c r="I53">
        <v>103899684.43780103</v>
      </c>
      <c r="J53">
        <v>696.34799999999996</v>
      </c>
      <c r="K53">
        <v>25.939616398697204</v>
      </c>
      <c r="L53">
        <v>7696.46</v>
      </c>
      <c r="M53">
        <v>0.59</v>
      </c>
      <c r="N53">
        <v>21.69</v>
      </c>
      <c r="O53" s="89">
        <v>62532172.064441122</v>
      </c>
      <c r="P53" s="89">
        <v>101422830.26075402</v>
      </c>
      <c r="Q53">
        <v>6.2</v>
      </c>
      <c r="R53">
        <v>5.2</v>
      </c>
      <c r="S53">
        <v>3.9</v>
      </c>
      <c r="T53">
        <v>99.981877491844898</v>
      </c>
      <c r="U53">
        <v>13472.48</v>
      </c>
      <c r="V53">
        <v>5.54</v>
      </c>
      <c r="W53">
        <v>35.56</v>
      </c>
      <c r="X53">
        <v>55.842938289306801</v>
      </c>
      <c r="Y53">
        <v>0.83</v>
      </c>
      <c r="Z53">
        <v>2.0483862037999998</v>
      </c>
      <c r="AA53">
        <v>7.9167358689</v>
      </c>
      <c r="AB53">
        <v>0</v>
      </c>
      <c r="AC53">
        <v>1</v>
      </c>
      <c r="AD53">
        <v>0.47050207979377817</v>
      </c>
      <c r="AE53">
        <v>0</v>
      </c>
      <c r="AF53">
        <v>0.50060000000000004</v>
      </c>
      <c r="AG53">
        <v>0.45900000000000002</v>
      </c>
      <c r="AH53">
        <v>0.19800000000000001</v>
      </c>
      <c r="AI53">
        <v>0.59299999999999997</v>
      </c>
      <c r="AJ53">
        <v>0.58499999999999996</v>
      </c>
      <c r="AK53">
        <v>4.3846537120079722E-2</v>
      </c>
      <c r="AL53">
        <v>0.45669999999999999</v>
      </c>
      <c r="AM53">
        <v>18.867924528301899</v>
      </c>
      <c r="AN53">
        <v>0.90240641711229952</v>
      </c>
      <c r="AO53">
        <v>0.15744892874937719</v>
      </c>
      <c r="AP53">
        <v>232.51951503072578</v>
      </c>
      <c r="AQ53">
        <v>581.29878757681445</v>
      </c>
      <c r="AR53">
        <v>49.825610363726952</v>
      </c>
      <c r="AS53">
        <v>22.14471571721198</v>
      </c>
      <c r="AT53" s="93">
        <v>2304236</v>
      </c>
    </row>
    <row r="54" spans="1:46" x14ac:dyDescent="0.3">
      <c r="A54" t="s">
        <v>141</v>
      </c>
      <c r="B54">
        <v>778</v>
      </c>
      <c r="C54">
        <v>3133.6851008982153</v>
      </c>
      <c r="D54">
        <v>11</v>
      </c>
      <c r="E54">
        <v>44.306601683650861</v>
      </c>
      <c r="F54">
        <v>1.4138817480719794E-2</v>
      </c>
      <c r="G54">
        <v>24827</v>
      </c>
      <c r="H54">
        <v>2236946.3084545052</v>
      </c>
      <c r="I54">
        <v>114898296.20977162</v>
      </c>
      <c r="J54">
        <v>335.92099999999999</v>
      </c>
      <c r="K54">
        <v>73.907257956483818</v>
      </c>
      <c r="L54">
        <v>8946</v>
      </c>
      <c r="M54">
        <v>0.63200000000000001</v>
      </c>
      <c r="N54">
        <v>24.2</v>
      </c>
      <c r="O54" s="89">
        <v>66761679.945220932</v>
      </c>
      <c r="P54" s="89">
        <v>91328210.134128168</v>
      </c>
      <c r="Q54">
        <v>8.3000000000000007</v>
      </c>
      <c r="R54">
        <v>6.9</v>
      </c>
      <c r="S54">
        <v>4.5</v>
      </c>
      <c r="T54">
        <v>90.738161559888596</v>
      </c>
      <c r="U54">
        <v>26121.62</v>
      </c>
      <c r="V54">
        <v>20.14</v>
      </c>
      <c r="W54">
        <v>28.57</v>
      </c>
      <c r="X54">
        <v>50.162149177243101</v>
      </c>
      <c r="Y54">
        <v>0.77</v>
      </c>
      <c r="Z54">
        <v>2.2556088129999998</v>
      </c>
      <c r="AA54">
        <v>9.7474523703999996</v>
      </c>
      <c r="AB54">
        <v>0</v>
      </c>
      <c r="AC54">
        <v>0</v>
      </c>
      <c r="AD54">
        <v>0.57431380399483967</v>
      </c>
      <c r="AE54">
        <v>1</v>
      </c>
      <c r="AF54">
        <v>0.53780000000000006</v>
      </c>
      <c r="AG54">
        <v>0.40699999999999997</v>
      </c>
      <c r="AH54">
        <v>0.24299999999999999</v>
      </c>
      <c r="AI54">
        <v>0.45200000000000001</v>
      </c>
      <c r="AJ54">
        <v>0.52500000000000002</v>
      </c>
      <c r="AK54">
        <v>6.9843315744955087E-2</v>
      </c>
      <c r="AL54">
        <v>0.30159999999999998</v>
      </c>
      <c r="AM54">
        <v>4.01606425702811</v>
      </c>
      <c r="AN54">
        <v>0.98968446601941751</v>
      </c>
      <c r="AO54">
        <v>0.12095702259636686</v>
      </c>
      <c r="AP54">
        <v>366.53643211020261</v>
      </c>
      <c r="AQ54">
        <v>785.43521166471987</v>
      </c>
      <c r="AR54">
        <v>56.390220324646556</v>
      </c>
      <c r="AS54">
        <v>36.250855922987071</v>
      </c>
      <c r="AT54" s="93">
        <v>2304251</v>
      </c>
    </row>
    <row r="55" spans="1:46" x14ac:dyDescent="0.3">
      <c r="A55" t="s">
        <v>142</v>
      </c>
      <c r="B55">
        <v>34</v>
      </c>
      <c r="C55">
        <v>353.24675324675326</v>
      </c>
      <c r="D55">
        <v>1</v>
      </c>
      <c r="E55">
        <v>10.38961038961039</v>
      </c>
      <c r="F55">
        <v>2.9411764705882353E-2</v>
      </c>
      <c r="G55">
        <v>9625</v>
      </c>
      <c r="H55">
        <v>3134586.1818181816</v>
      </c>
      <c r="I55">
        <v>86493506.493506491</v>
      </c>
      <c r="J55">
        <v>471.13400000000001</v>
      </c>
      <c r="K55">
        <v>20.429431966277111</v>
      </c>
      <c r="L55">
        <v>6413.75</v>
      </c>
      <c r="M55">
        <v>0.60899999999999999</v>
      </c>
      <c r="N55">
        <v>15.2</v>
      </c>
      <c r="O55" s="89">
        <v>98281792.415584415</v>
      </c>
      <c r="P55" s="89">
        <v>90169787.532467529</v>
      </c>
      <c r="Q55">
        <v>8.3000000000000007</v>
      </c>
      <c r="R55">
        <v>5.4</v>
      </c>
      <c r="S55">
        <v>4.2</v>
      </c>
      <c r="T55">
        <v>100</v>
      </c>
      <c r="U55">
        <v>7528.75</v>
      </c>
      <c r="V55">
        <v>20.78</v>
      </c>
      <c r="W55">
        <v>32.43</v>
      </c>
      <c r="X55">
        <v>44.152349410059998</v>
      </c>
      <c r="Y55">
        <v>1.35</v>
      </c>
      <c r="Z55">
        <v>1.2467532468</v>
      </c>
      <c r="AA55">
        <v>11.1168831169</v>
      </c>
      <c r="AB55">
        <v>0</v>
      </c>
      <c r="AC55">
        <v>1</v>
      </c>
      <c r="AD55">
        <v>0.54557449147883452</v>
      </c>
      <c r="AE55">
        <v>1</v>
      </c>
      <c r="AF55">
        <v>0.72260000000000002</v>
      </c>
      <c r="AG55">
        <v>0.42399999999999999</v>
      </c>
      <c r="AH55">
        <v>0.248</v>
      </c>
      <c r="AI55">
        <v>0.44700000000000001</v>
      </c>
      <c r="AJ55">
        <v>0.57699999999999996</v>
      </c>
      <c r="AK55">
        <v>6.1090909090909092E-2</v>
      </c>
      <c r="AL55">
        <v>0.34630000000000005</v>
      </c>
      <c r="AM55">
        <v>11.4942528735632</v>
      </c>
      <c r="AN55">
        <v>1</v>
      </c>
      <c r="AO55">
        <v>0.17163636363636364</v>
      </c>
      <c r="AP55">
        <v>498.7012987012987</v>
      </c>
      <c r="AQ55">
        <v>519.48051948051943</v>
      </c>
      <c r="AR55">
        <v>93.506493506493513</v>
      </c>
      <c r="AS55">
        <v>0</v>
      </c>
      <c r="AT55" s="93">
        <v>2304269</v>
      </c>
    </row>
    <row r="56" spans="1:46" x14ac:dyDescent="0.3">
      <c r="A56" t="s">
        <v>412</v>
      </c>
      <c r="B56">
        <v>72</v>
      </c>
      <c r="C56">
        <v>1000.2778549597109</v>
      </c>
      <c r="D56">
        <v>4</v>
      </c>
      <c r="E56">
        <v>55.570991942206163</v>
      </c>
      <c r="F56">
        <v>5.5555555555555552E-2</v>
      </c>
      <c r="G56">
        <v>7198</v>
      </c>
      <c r="H56">
        <v>3334027.7854959709</v>
      </c>
      <c r="I56">
        <v>79005279.244234502</v>
      </c>
      <c r="J56">
        <v>362.90600000000001</v>
      </c>
      <c r="K56">
        <v>19.834337266399562</v>
      </c>
      <c r="L56">
        <v>6983.79</v>
      </c>
      <c r="M56">
        <v>0.61</v>
      </c>
      <c r="N56">
        <v>13.49</v>
      </c>
      <c r="O56" s="89">
        <v>98574439.9833287</v>
      </c>
      <c r="P56" s="89">
        <v>96227651.292025566</v>
      </c>
      <c r="Q56">
        <v>6.3</v>
      </c>
      <c r="R56">
        <v>4.8</v>
      </c>
      <c r="S56">
        <v>4.0999999999999996</v>
      </c>
      <c r="T56">
        <v>99.761173660866604</v>
      </c>
      <c r="U56">
        <v>5917.05</v>
      </c>
      <c r="V56">
        <v>13.89</v>
      </c>
      <c r="W56">
        <v>29.41</v>
      </c>
      <c r="X56">
        <v>37.730103806228399</v>
      </c>
      <c r="Y56">
        <v>0.69</v>
      </c>
      <c r="Z56">
        <v>1.2503473187</v>
      </c>
      <c r="AA56">
        <v>11.2531258683</v>
      </c>
      <c r="AB56">
        <v>0</v>
      </c>
      <c r="AC56">
        <v>1</v>
      </c>
      <c r="AD56">
        <v>0.49444444444444446</v>
      </c>
      <c r="AE56">
        <v>1</v>
      </c>
      <c r="AF56">
        <v>0.52639999999999998</v>
      </c>
      <c r="AG56">
        <v>0.40600000000000003</v>
      </c>
      <c r="AH56">
        <v>0.19</v>
      </c>
      <c r="AI56">
        <v>0.54500000000000004</v>
      </c>
      <c r="AJ56">
        <v>0.48299999999999998</v>
      </c>
      <c r="AK56">
        <v>6.3350930814115025E-2</v>
      </c>
      <c r="AL56">
        <v>0.25950000000000001</v>
      </c>
      <c r="AM56">
        <v>166.666666666667</v>
      </c>
      <c r="AN56">
        <v>1</v>
      </c>
      <c r="AO56">
        <v>0.16032231175326481</v>
      </c>
      <c r="AP56">
        <v>236.17671575437623</v>
      </c>
      <c r="AQ56">
        <v>180.60572381217005</v>
      </c>
      <c r="AR56">
        <v>13.892747985551541</v>
      </c>
      <c r="AS56">
        <v>0</v>
      </c>
      <c r="AT56" s="93">
        <v>2304277</v>
      </c>
    </row>
    <row r="57" spans="1:46" x14ac:dyDescent="0.3">
      <c r="A57" t="s">
        <v>414</v>
      </c>
      <c r="B57">
        <v>1610</v>
      </c>
      <c r="C57">
        <v>3002.7229661680781</v>
      </c>
      <c r="D57">
        <v>58</v>
      </c>
      <c r="E57">
        <v>108.17262859487485</v>
      </c>
      <c r="F57">
        <v>3.6024844720496892E-2</v>
      </c>
      <c r="G57">
        <v>53618</v>
      </c>
      <c r="H57">
        <v>10868373.344772277</v>
      </c>
      <c r="I57">
        <v>89120444.626804426</v>
      </c>
      <c r="J57">
        <v>78.817999999999998</v>
      </c>
      <c r="K57">
        <v>680.27607906823312</v>
      </c>
      <c r="L57">
        <v>46830.080000000002</v>
      </c>
      <c r="M57">
        <v>0.70099999999999996</v>
      </c>
      <c r="N57">
        <v>60.5</v>
      </c>
      <c r="O57" s="89">
        <v>172487494.72192174</v>
      </c>
      <c r="P57" s="89">
        <v>164407384.74019918</v>
      </c>
      <c r="Q57">
        <v>6.1</v>
      </c>
      <c r="R57">
        <v>5.3</v>
      </c>
      <c r="S57">
        <v>4.5</v>
      </c>
      <c r="T57">
        <v>94.261255548509794</v>
      </c>
      <c r="U57">
        <v>241843.62</v>
      </c>
      <c r="V57">
        <v>39.17</v>
      </c>
      <c r="W57">
        <v>29.51</v>
      </c>
      <c r="X57">
        <v>28.991295065977098</v>
      </c>
      <c r="Y57">
        <v>0.54</v>
      </c>
      <c r="Z57">
        <v>1.0444253795</v>
      </c>
      <c r="AA57">
        <v>13.5029281212</v>
      </c>
      <c r="AB57">
        <v>1</v>
      </c>
      <c r="AC57">
        <v>0</v>
      </c>
      <c r="AD57">
        <v>0</v>
      </c>
      <c r="AE57">
        <v>1</v>
      </c>
      <c r="AF57">
        <v>0.81200000000000006</v>
      </c>
      <c r="AG57">
        <v>0.35099999999999998</v>
      </c>
      <c r="AH57">
        <v>0.23300000000000001</v>
      </c>
      <c r="AI57">
        <v>0.44700000000000001</v>
      </c>
      <c r="AJ57">
        <v>0.374</v>
      </c>
      <c r="AK57">
        <v>0.73156402700585621</v>
      </c>
      <c r="AL57">
        <v>8.2400000000000001E-2</v>
      </c>
      <c r="AM57">
        <v>15.484922575387101</v>
      </c>
      <c r="AN57">
        <v>0.85212097407698395</v>
      </c>
      <c r="AO57">
        <v>8.9298369950389797E-2</v>
      </c>
      <c r="AP57">
        <v>399.11969860867617</v>
      </c>
      <c r="AQ57">
        <v>335.70815770823231</v>
      </c>
      <c r="AR57">
        <v>18.650453206012909</v>
      </c>
      <c r="AS57">
        <v>13.055317244209034</v>
      </c>
      <c r="AT57" s="93">
        <v>2304285</v>
      </c>
    </row>
    <row r="58" spans="1:46" x14ac:dyDescent="0.3">
      <c r="A58" t="s">
        <v>145</v>
      </c>
      <c r="B58">
        <v>606</v>
      </c>
      <c r="C58">
        <v>3115.6812339331623</v>
      </c>
      <c r="D58">
        <v>8</v>
      </c>
      <c r="E58">
        <v>41.131105398457585</v>
      </c>
      <c r="F58">
        <v>1.3201320132013201E-2</v>
      </c>
      <c r="G58">
        <v>19450</v>
      </c>
      <c r="H58">
        <v>1930886.4781491004</v>
      </c>
      <c r="I58">
        <v>96758868.894601539</v>
      </c>
      <c r="J58">
        <v>530.54</v>
      </c>
      <c r="K58">
        <v>36.660760734346141</v>
      </c>
      <c r="L58">
        <v>8195.1299999999992</v>
      </c>
      <c r="M58">
        <v>0.63300000000000001</v>
      </c>
      <c r="N58">
        <v>25.43</v>
      </c>
      <c r="O58" s="89">
        <v>75619187.197943449</v>
      </c>
      <c r="P58" s="89">
        <v>90289560.874035984</v>
      </c>
      <c r="Q58">
        <v>6.4</v>
      </c>
      <c r="R58">
        <v>5.0999999999999996</v>
      </c>
      <c r="S58">
        <v>4.5999999999999996</v>
      </c>
      <c r="T58">
        <v>98.721227621483393</v>
      </c>
      <c r="U58">
        <v>15662.81</v>
      </c>
      <c r="V58">
        <v>5.14</v>
      </c>
      <c r="W58">
        <v>31.71</v>
      </c>
      <c r="X58">
        <v>47.676517613079596</v>
      </c>
      <c r="Y58">
        <v>1.23</v>
      </c>
      <c r="Z58">
        <v>2.2107969152</v>
      </c>
      <c r="AA58">
        <v>10.591259640100001</v>
      </c>
      <c r="AB58">
        <v>0</v>
      </c>
      <c r="AC58">
        <v>1</v>
      </c>
      <c r="AD58">
        <v>0.53327721365812597</v>
      </c>
      <c r="AE58">
        <v>0</v>
      </c>
      <c r="AF58">
        <v>0.62869999999999993</v>
      </c>
      <c r="AG58">
        <v>0.39200000000000002</v>
      </c>
      <c r="AH58">
        <v>0.186</v>
      </c>
      <c r="AI58">
        <v>0.434</v>
      </c>
      <c r="AJ58">
        <v>0.55500000000000005</v>
      </c>
      <c r="AK58">
        <v>6.0308483290488435E-2</v>
      </c>
      <c r="AL58">
        <v>0.34399999999999997</v>
      </c>
      <c r="AM58">
        <v>11.235955056179799</v>
      </c>
      <c r="AN58">
        <v>0.89717741935483875</v>
      </c>
      <c r="AO58">
        <v>0.15789203084832906</v>
      </c>
      <c r="AP58">
        <v>529.56298200514141</v>
      </c>
      <c r="AQ58">
        <v>1033.4190231362468</v>
      </c>
      <c r="AR58">
        <v>71.979434447300761</v>
      </c>
      <c r="AS58">
        <v>5.1413881748071981</v>
      </c>
      <c r="AT58" s="93">
        <v>2304301</v>
      </c>
    </row>
    <row r="59" spans="1:46" x14ac:dyDescent="0.3">
      <c r="A59" t="s">
        <v>146</v>
      </c>
      <c r="B59">
        <v>591</v>
      </c>
      <c r="C59">
        <v>2440.3336361384095</v>
      </c>
      <c r="D59">
        <v>22</v>
      </c>
      <c r="E59">
        <v>90.841522834255514</v>
      </c>
      <c r="F59">
        <v>3.7225042301184431E-2</v>
      </c>
      <c r="G59">
        <v>24218</v>
      </c>
      <c r="H59">
        <v>3564747.0889421087</v>
      </c>
      <c r="I59">
        <v>95187876.78586176</v>
      </c>
      <c r="J59">
        <v>568.77800000000002</v>
      </c>
      <c r="K59">
        <v>42.579002704042701</v>
      </c>
      <c r="L59">
        <v>7698.67</v>
      </c>
      <c r="M59">
        <v>0.64400000000000002</v>
      </c>
      <c r="N59">
        <v>25.2</v>
      </c>
      <c r="O59" s="89">
        <v>53451067.965975724</v>
      </c>
      <c r="P59" s="89">
        <v>82606665.042530343</v>
      </c>
      <c r="Q59">
        <v>7</v>
      </c>
      <c r="R59">
        <v>5.7</v>
      </c>
      <c r="S59">
        <v>4.4000000000000004</v>
      </c>
      <c r="T59">
        <v>98.934737357658904</v>
      </c>
      <c r="U59">
        <v>38439.919999999998</v>
      </c>
      <c r="V59">
        <v>37.159999999999997</v>
      </c>
      <c r="W59">
        <v>27.5</v>
      </c>
      <c r="X59">
        <v>38.520366432193697</v>
      </c>
      <c r="Y59">
        <v>0.62</v>
      </c>
      <c r="Z59">
        <v>0.3303328103</v>
      </c>
      <c r="AA59">
        <v>8.1344454537999997</v>
      </c>
      <c r="AB59">
        <v>0</v>
      </c>
      <c r="AC59">
        <v>1</v>
      </c>
      <c r="AD59">
        <v>0.2897732488754246</v>
      </c>
      <c r="AE59">
        <v>0</v>
      </c>
      <c r="AF59">
        <v>0.54469999999999996</v>
      </c>
      <c r="AG59">
        <v>0.32100000000000001</v>
      </c>
      <c r="AH59">
        <v>5.6000000000000001E-2</v>
      </c>
      <c r="AI59">
        <v>0.5</v>
      </c>
      <c r="AJ59">
        <v>0.40799999999999997</v>
      </c>
      <c r="AK59">
        <v>8.9107275580147E-2</v>
      </c>
      <c r="AL59">
        <v>0.1265</v>
      </c>
      <c r="AM59">
        <v>12.2324159021407</v>
      </c>
      <c r="AN59">
        <v>0.99021352313167255</v>
      </c>
      <c r="AO59">
        <v>0.117515897266496</v>
      </c>
      <c r="AP59">
        <v>355.10777107936246</v>
      </c>
      <c r="AQ59">
        <v>330.33281030638369</v>
      </c>
      <c r="AR59">
        <v>41.291601288297962</v>
      </c>
      <c r="AS59">
        <v>8.2583202576595927</v>
      </c>
      <c r="AT59" s="93">
        <v>2304350</v>
      </c>
    </row>
    <row r="60" spans="1:46" x14ac:dyDescent="0.3">
      <c r="A60" t="s">
        <v>147</v>
      </c>
      <c r="B60">
        <v>42176</v>
      </c>
      <c r="C60">
        <v>1580.0148501016356</v>
      </c>
      <c r="D60">
        <v>3689</v>
      </c>
      <c r="E60">
        <v>138.19885200172928</v>
      </c>
      <c r="F60">
        <v>8.7466805766312591E-2</v>
      </c>
      <c r="G60">
        <v>2669342</v>
      </c>
      <c r="H60">
        <v>7307086.8682244541</v>
      </c>
      <c r="I60">
        <v>78748283.284794524</v>
      </c>
      <c r="J60">
        <v>312.35300000000001</v>
      </c>
      <c r="K60">
        <v>8545.9143981328816</v>
      </c>
      <c r="L60">
        <v>25356.73</v>
      </c>
      <c r="M60">
        <v>0.754</v>
      </c>
      <c r="N60">
        <v>65.5</v>
      </c>
      <c r="O60" s="89">
        <v>73458236.486744672</v>
      </c>
      <c r="P60" s="89">
        <v>49321615.150475278</v>
      </c>
      <c r="Q60">
        <v>6.2</v>
      </c>
      <c r="R60">
        <v>5.0999999999999996</v>
      </c>
      <c r="S60">
        <v>4.3</v>
      </c>
      <c r="T60">
        <v>98.638952970432399</v>
      </c>
      <c r="U60">
        <v>4978519.75</v>
      </c>
      <c r="V60">
        <v>28.13</v>
      </c>
      <c r="W60">
        <v>30.62</v>
      </c>
      <c r="X60">
        <v>22.561389586587101</v>
      </c>
      <c r="Y60">
        <v>0.12</v>
      </c>
      <c r="Z60">
        <v>2.2837088690999998</v>
      </c>
      <c r="AA60">
        <v>9.0505450406999994</v>
      </c>
      <c r="AB60">
        <v>1</v>
      </c>
      <c r="AC60">
        <v>0</v>
      </c>
      <c r="AD60">
        <v>0</v>
      </c>
      <c r="AE60">
        <v>0</v>
      </c>
      <c r="AF60">
        <v>0.53569999999999995</v>
      </c>
      <c r="AG60">
        <v>0.33</v>
      </c>
      <c r="AH60">
        <v>0.374</v>
      </c>
      <c r="AI60">
        <v>0.33400000000000002</v>
      </c>
      <c r="AJ60">
        <v>0.28299999999999997</v>
      </c>
      <c r="AK60">
        <v>0.29273731129244585</v>
      </c>
      <c r="AL60">
        <v>5.4600000000000003E-2</v>
      </c>
      <c r="AM60">
        <v>11.562017056837</v>
      </c>
      <c r="AN60">
        <v>0.81967972111770793</v>
      </c>
      <c r="AO60">
        <v>0.12379267999379623</v>
      </c>
      <c r="AP60">
        <v>484.50142394642575</v>
      </c>
      <c r="AQ60">
        <v>506.60424928690293</v>
      </c>
      <c r="AR60">
        <v>31.356042050812523</v>
      </c>
      <c r="AS60">
        <v>53.908416381265496</v>
      </c>
      <c r="AT60" s="93">
        <v>2304400</v>
      </c>
    </row>
    <row r="61" spans="1:46" x14ac:dyDescent="0.3">
      <c r="A61" t="s">
        <v>148</v>
      </c>
      <c r="B61">
        <v>132</v>
      </c>
      <c r="C61">
        <v>800.97087378640776</v>
      </c>
      <c r="D61">
        <v>0</v>
      </c>
      <c r="E61">
        <v>0</v>
      </c>
      <c r="F61">
        <v>0</v>
      </c>
      <c r="G61">
        <v>16480</v>
      </c>
      <c r="H61">
        <v>4413742.0509708729</v>
      </c>
      <c r="I61">
        <v>97121359.223300979</v>
      </c>
      <c r="J61">
        <v>285.024</v>
      </c>
      <c r="K61">
        <v>57.819692376782307</v>
      </c>
      <c r="L61">
        <v>9806.2900000000009</v>
      </c>
      <c r="M61">
        <v>0.624</v>
      </c>
      <c r="N61">
        <v>24.25</v>
      </c>
      <c r="O61" s="89">
        <v>64173881.614077665</v>
      </c>
      <c r="P61" s="89">
        <v>92008769.599514559</v>
      </c>
      <c r="Q61">
        <v>6.7</v>
      </c>
      <c r="R61">
        <v>5.7</v>
      </c>
      <c r="S61">
        <v>4</v>
      </c>
      <c r="T61">
        <v>96.218570580083195</v>
      </c>
      <c r="U61">
        <v>17086.87</v>
      </c>
      <c r="V61">
        <v>18.2</v>
      </c>
      <c r="W61">
        <v>35.71</v>
      </c>
      <c r="X61">
        <v>41.170104022608399</v>
      </c>
      <c r="Y61">
        <v>0.67</v>
      </c>
      <c r="Z61">
        <v>0.72815533980000002</v>
      </c>
      <c r="AA61">
        <v>7.7063106795999996</v>
      </c>
      <c r="AB61">
        <v>0</v>
      </c>
      <c r="AC61">
        <v>0</v>
      </c>
      <c r="AD61">
        <v>0.35155564554228252</v>
      </c>
      <c r="AE61">
        <v>1</v>
      </c>
      <c r="AF61">
        <v>0.62560000000000004</v>
      </c>
      <c r="AG61">
        <v>0.47</v>
      </c>
      <c r="AH61">
        <v>0.40500000000000003</v>
      </c>
      <c r="AI61">
        <v>0.49099999999999999</v>
      </c>
      <c r="AJ61">
        <v>0.51400000000000001</v>
      </c>
      <c r="AK61">
        <v>7.9550970873786403E-2</v>
      </c>
      <c r="AL61">
        <v>0.22640000000000002</v>
      </c>
      <c r="AM61">
        <v>10.1522842639594</v>
      </c>
      <c r="AN61">
        <v>0.80670103092783507</v>
      </c>
      <c r="AO61">
        <v>0.13046116504854369</v>
      </c>
      <c r="AP61">
        <v>382.28155339805829</v>
      </c>
      <c r="AQ61">
        <v>351.94174757281553</v>
      </c>
      <c r="AR61">
        <v>84.951456310679617</v>
      </c>
      <c r="AS61">
        <v>6.0679611650485432</v>
      </c>
      <c r="AT61" s="93">
        <v>2304459</v>
      </c>
    </row>
    <row r="62" spans="1:46" x14ac:dyDescent="0.3">
      <c r="A62" t="s">
        <v>149</v>
      </c>
      <c r="B62">
        <v>748</v>
      </c>
      <c r="C62">
        <v>5315.5201819215463</v>
      </c>
      <c r="D62">
        <v>7</v>
      </c>
      <c r="E62">
        <v>49.744172825469022</v>
      </c>
      <c r="F62">
        <v>9.3582887700534752E-3</v>
      </c>
      <c r="G62">
        <v>14072</v>
      </c>
      <c r="H62">
        <v>6865598.777714611</v>
      </c>
      <c r="I62">
        <v>100262933.48493463</v>
      </c>
      <c r="J62">
        <v>210.28399999999999</v>
      </c>
      <c r="K62">
        <v>66.919023796389652</v>
      </c>
      <c r="L62">
        <v>18393.96</v>
      </c>
      <c r="M62">
        <v>0.60399999999999998</v>
      </c>
      <c r="N62">
        <v>31.6</v>
      </c>
      <c r="O62" s="89">
        <v>60542210.417851046</v>
      </c>
      <c r="P62" s="89">
        <v>111993005.96930075</v>
      </c>
      <c r="Q62">
        <v>7.8</v>
      </c>
      <c r="R62">
        <v>5.9</v>
      </c>
      <c r="S62">
        <v>3.8</v>
      </c>
      <c r="T62">
        <v>98.754685044130099</v>
      </c>
      <c r="U62">
        <v>18903.52</v>
      </c>
      <c r="V62">
        <v>14.21</v>
      </c>
      <c r="W62">
        <v>27.27</v>
      </c>
      <c r="X62">
        <v>51.768784491297602</v>
      </c>
      <c r="Y62">
        <v>0.78</v>
      </c>
      <c r="Z62">
        <v>1.1370096646000001</v>
      </c>
      <c r="AA62">
        <v>11.3700966458</v>
      </c>
      <c r="AB62">
        <v>0</v>
      </c>
      <c r="AC62">
        <v>0</v>
      </c>
      <c r="AD62">
        <v>0.41220845200523437</v>
      </c>
      <c r="AE62">
        <v>1</v>
      </c>
      <c r="AF62">
        <v>0.50649999999999995</v>
      </c>
      <c r="AG62">
        <v>0.43</v>
      </c>
      <c r="AH62">
        <v>0.20200000000000001</v>
      </c>
      <c r="AI62">
        <v>0.57599999999999996</v>
      </c>
      <c r="AJ62">
        <v>0.51200000000000001</v>
      </c>
      <c r="AK62">
        <v>0.20160602615122228</v>
      </c>
      <c r="AL62">
        <v>0.27539999999999998</v>
      </c>
      <c r="AM62">
        <v>22.900763358778601</v>
      </c>
      <c r="AN62">
        <v>0.79958677685950408</v>
      </c>
      <c r="AO62">
        <v>0.12457362137578169</v>
      </c>
      <c r="AP62">
        <v>412.16600341102901</v>
      </c>
      <c r="AQ62">
        <v>696.41841955656628</v>
      </c>
      <c r="AR62">
        <v>42.637862421830583</v>
      </c>
      <c r="AS62">
        <v>14.212620807276862</v>
      </c>
      <c r="AT62" s="93">
        <v>2304509</v>
      </c>
    </row>
    <row r="63" spans="1:46" x14ac:dyDescent="0.3">
      <c r="A63" t="s">
        <v>150</v>
      </c>
      <c r="B63">
        <v>128</v>
      </c>
      <c r="C63">
        <v>1680.231031766868</v>
      </c>
      <c r="D63">
        <v>4</v>
      </c>
      <c r="E63">
        <v>52.507219742714625</v>
      </c>
      <c r="F63">
        <v>3.125E-2</v>
      </c>
      <c r="G63">
        <v>7618</v>
      </c>
      <c r="H63">
        <v>15141693.357836701</v>
      </c>
      <c r="I63">
        <v>105720661.59096876</v>
      </c>
      <c r="J63">
        <v>230.37100000000001</v>
      </c>
      <c r="K63">
        <v>33.06839836611379</v>
      </c>
      <c r="L63">
        <v>8336.85</v>
      </c>
      <c r="M63">
        <v>0.56799999999999995</v>
      </c>
      <c r="N63">
        <v>22.49</v>
      </c>
      <c r="O63" s="89">
        <v>85131687.975846678</v>
      </c>
      <c r="P63" s="89">
        <v>123527021.52796009</v>
      </c>
      <c r="Q63">
        <v>5.7</v>
      </c>
      <c r="R63">
        <v>5.0999999999999996</v>
      </c>
      <c r="S63">
        <v>4</v>
      </c>
      <c r="T63">
        <v>99.574848959498794</v>
      </c>
      <c r="U63">
        <v>6578.48</v>
      </c>
      <c r="V63">
        <v>39.380000000000003</v>
      </c>
      <c r="W63">
        <v>34.880000000000003</v>
      </c>
      <c r="X63">
        <v>58.734078502729403</v>
      </c>
      <c r="Y63">
        <v>1.44</v>
      </c>
      <c r="Z63">
        <v>1.7064846415999999</v>
      </c>
      <c r="AA63">
        <v>10.107639800499999</v>
      </c>
      <c r="AB63">
        <v>0</v>
      </c>
      <c r="AC63">
        <v>1</v>
      </c>
      <c r="AD63">
        <v>0.41331617883563848</v>
      </c>
      <c r="AE63">
        <v>0</v>
      </c>
      <c r="AF63">
        <v>0.58169999999999999</v>
      </c>
      <c r="AG63">
        <v>0.45300000000000001</v>
      </c>
      <c r="AH63">
        <v>0.26600000000000001</v>
      </c>
      <c r="AI63">
        <v>0.55300000000000005</v>
      </c>
      <c r="AJ63">
        <v>0.54100000000000004</v>
      </c>
      <c r="AK63">
        <v>7.8235757416644791E-2</v>
      </c>
      <c r="AL63">
        <v>0.25969999999999999</v>
      </c>
      <c r="AM63">
        <v>9.2592592592592595</v>
      </c>
      <c r="AN63">
        <v>0.78271028037383172</v>
      </c>
      <c r="AO63">
        <v>0.13034917301128907</v>
      </c>
      <c r="AP63">
        <v>367.55053819900235</v>
      </c>
      <c r="AQ63">
        <v>682.5938566552901</v>
      </c>
      <c r="AR63">
        <v>91.887634549750587</v>
      </c>
      <c r="AS63">
        <v>39.380414807035969</v>
      </c>
      <c r="AT63" s="93">
        <v>2304608</v>
      </c>
    </row>
    <row r="64" spans="1:46" x14ac:dyDescent="0.3">
      <c r="A64" t="s">
        <v>422</v>
      </c>
      <c r="B64">
        <v>416</v>
      </c>
      <c r="C64">
        <v>2889.0895201055632</v>
      </c>
      <c r="D64">
        <v>6</v>
      </c>
      <c r="E64">
        <v>41.669560386137924</v>
      </c>
      <c r="F64">
        <v>1.4423076923076924E-2</v>
      </c>
      <c r="G64">
        <v>14399</v>
      </c>
      <c r="H64">
        <v>32942335.578859642</v>
      </c>
      <c r="I64">
        <v>378297103.96555316</v>
      </c>
      <c r="J64">
        <v>258.94200000000001</v>
      </c>
      <c r="K64">
        <v>55.607047137969118</v>
      </c>
      <c r="L64">
        <v>6616.29</v>
      </c>
      <c r="M64">
        <v>0.56999999999999995</v>
      </c>
      <c r="N64">
        <v>19.18</v>
      </c>
      <c r="O64" s="89">
        <v>55589656.365025349</v>
      </c>
      <c r="P64" s="89">
        <v>163588016.52892563</v>
      </c>
      <c r="Q64">
        <v>6.9</v>
      </c>
      <c r="R64">
        <v>5.3</v>
      </c>
      <c r="S64">
        <v>4.2</v>
      </c>
      <c r="T64">
        <v>100</v>
      </c>
      <c r="U64">
        <v>11365.94</v>
      </c>
      <c r="V64">
        <v>6.94</v>
      </c>
      <c r="W64">
        <v>31.11</v>
      </c>
      <c r="X64">
        <v>52.106614840008298</v>
      </c>
      <c r="Y64">
        <v>0.83</v>
      </c>
      <c r="Z64">
        <v>0</v>
      </c>
      <c r="AA64">
        <v>8.1255642753000004</v>
      </c>
      <c r="AB64">
        <v>0</v>
      </c>
      <c r="AC64">
        <v>1</v>
      </c>
      <c r="AD64">
        <v>0.61359558774669409</v>
      </c>
      <c r="AE64">
        <v>0</v>
      </c>
      <c r="AF64">
        <v>0.51090000000000002</v>
      </c>
      <c r="AG64">
        <v>0.46</v>
      </c>
      <c r="AH64">
        <v>0.20399999999999999</v>
      </c>
      <c r="AI64">
        <v>0.57399999999999995</v>
      </c>
      <c r="AJ64">
        <v>0.60199999999999998</v>
      </c>
      <c r="AK64">
        <v>5.3545385096187233E-2</v>
      </c>
      <c r="AL64">
        <v>0.42579999999999996</v>
      </c>
      <c r="AM64">
        <v>5.8823529411764701</v>
      </c>
      <c r="AN64">
        <v>0.84591194968553451</v>
      </c>
      <c r="AO64">
        <v>0.15181609834016252</v>
      </c>
      <c r="AP64">
        <v>368.08111674421832</v>
      </c>
      <c r="AQ64">
        <v>562.53906521286206</v>
      </c>
      <c r="AR64">
        <v>41.669560386137924</v>
      </c>
      <c r="AS64">
        <v>0</v>
      </c>
      <c r="AT64" s="93">
        <v>2304657</v>
      </c>
    </row>
    <row r="65" spans="1:46" x14ac:dyDescent="0.3">
      <c r="A65" t="s">
        <v>152</v>
      </c>
      <c r="B65">
        <v>1019</v>
      </c>
      <c r="C65">
        <v>1861.2552056696136</v>
      </c>
      <c r="D65">
        <v>38</v>
      </c>
      <c r="E65">
        <v>69.408928180024844</v>
      </c>
      <c r="F65">
        <v>3.7291462217860651E-2</v>
      </c>
      <c r="G65">
        <v>54748</v>
      </c>
      <c r="H65">
        <v>225330.22210857013</v>
      </c>
      <c r="I65">
        <v>9023891.2836998608</v>
      </c>
      <c r="J65">
        <v>2663.174</v>
      </c>
      <c r="K65">
        <v>20.557425087508364</v>
      </c>
      <c r="L65">
        <v>6692.4</v>
      </c>
      <c r="M65">
        <v>0.55900000000000005</v>
      </c>
      <c r="N65">
        <v>23.02</v>
      </c>
      <c r="O65" s="89">
        <v>61155638.927449398</v>
      </c>
      <c r="P65" s="89">
        <v>110919602.06765543</v>
      </c>
      <c r="Q65">
        <v>7</v>
      </c>
      <c r="R65">
        <v>5</v>
      </c>
      <c r="S65">
        <v>4.5</v>
      </c>
      <c r="T65">
        <v>89.369737493808799</v>
      </c>
      <c r="U65">
        <v>37435.550000000003</v>
      </c>
      <c r="V65">
        <v>7.31</v>
      </c>
      <c r="W65">
        <v>33.869999999999997</v>
      </c>
      <c r="X65">
        <v>50.243804810596401</v>
      </c>
      <c r="Y65">
        <v>0.53</v>
      </c>
      <c r="Z65">
        <v>0.91327537079999999</v>
      </c>
      <c r="AA65">
        <v>6.8860962957999998</v>
      </c>
      <c r="AB65">
        <v>0</v>
      </c>
      <c r="AC65">
        <v>0</v>
      </c>
      <c r="AD65">
        <v>0.50817741475923639</v>
      </c>
      <c r="AE65">
        <v>0</v>
      </c>
      <c r="AF65">
        <v>0.65329999999999999</v>
      </c>
      <c r="AG65">
        <v>0.58199999999999996</v>
      </c>
      <c r="AH65">
        <v>0.45</v>
      </c>
      <c r="AI65">
        <v>0.61499999999999999</v>
      </c>
      <c r="AJ65">
        <v>0.68100000000000005</v>
      </c>
      <c r="AK65">
        <v>4.3270987068020753E-2</v>
      </c>
      <c r="AL65">
        <v>0.47490000000000004</v>
      </c>
      <c r="AM65">
        <v>10.062893081761001</v>
      </c>
      <c r="AN65">
        <v>0.93788819875776397</v>
      </c>
      <c r="AO65">
        <v>0.10813180390151238</v>
      </c>
      <c r="AP65">
        <v>288.59501716957698</v>
      </c>
      <c r="AQ65">
        <v>438.37217797910426</v>
      </c>
      <c r="AR65">
        <v>32.87791334843282</v>
      </c>
      <c r="AS65">
        <v>1.8265507415796012</v>
      </c>
      <c r="AT65" s="93">
        <v>2304707</v>
      </c>
    </row>
    <row r="66" spans="1:46" x14ac:dyDescent="0.3">
      <c r="A66" t="s">
        <v>153</v>
      </c>
      <c r="B66">
        <v>11</v>
      </c>
      <c r="C66">
        <v>227.08505367464906</v>
      </c>
      <c r="D66">
        <v>0</v>
      </c>
      <c r="E66">
        <v>0</v>
      </c>
      <c r="F66">
        <v>0</v>
      </c>
      <c r="G66">
        <v>4844</v>
      </c>
      <c r="H66">
        <v>5143082.3699421966</v>
      </c>
      <c r="I66">
        <v>297745664.73988438</v>
      </c>
      <c r="J66">
        <v>111.52800000000001</v>
      </c>
      <c r="K66">
        <v>43.433039236783586</v>
      </c>
      <c r="L66">
        <v>9503.61</v>
      </c>
      <c r="M66">
        <v>0.58499999999999996</v>
      </c>
      <c r="N66">
        <v>21.53</v>
      </c>
      <c r="O66" s="89">
        <v>85678678.984310493</v>
      </c>
      <c r="P66" s="89">
        <v>159229893.68290669</v>
      </c>
      <c r="Q66">
        <v>6</v>
      </c>
      <c r="R66">
        <v>5.5</v>
      </c>
      <c r="S66">
        <v>4.5999999999999996</v>
      </c>
      <c r="T66">
        <v>99.511854951185498</v>
      </c>
      <c r="U66">
        <v>3316.76</v>
      </c>
      <c r="V66">
        <v>20.64</v>
      </c>
      <c r="W66">
        <v>29.41</v>
      </c>
      <c r="X66">
        <v>54.881595346904902</v>
      </c>
      <c r="Y66">
        <v>1.45</v>
      </c>
      <c r="Z66">
        <v>5.1610239472000004</v>
      </c>
      <c r="AA66">
        <v>15.483071841499999</v>
      </c>
      <c r="AB66">
        <v>0</v>
      </c>
      <c r="AC66">
        <v>1</v>
      </c>
      <c r="AD66">
        <v>0.70403974940591918</v>
      </c>
      <c r="AE66">
        <v>1</v>
      </c>
      <c r="AF66">
        <v>0.52390000000000003</v>
      </c>
      <c r="AG66">
        <v>0.45200000000000001</v>
      </c>
      <c r="AH66">
        <v>0.35599999999999998</v>
      </c>
      <c r="AI66">
        <v>0.47899999999999998</v>
      </c>
      <c r="AJ66">
        <v>0.52200000000000002</v>
      </c>
      <c r="AK66">
        <v>0.12840627580511974</v>
      </c>
      <c r="AL66">
        <v>0.31690000000000002</v>
      </c>
      <c r="AN66">
        <v>0.50347222222222199</v>
      </c>
      <c r="AO66">
        <v>0.15483071841453344</v>
      </c>
      <c r="AP66">
        <v>536.7464905037159</v>
      </c>
      <c r="AQ66">
        <v>1032.2047894302229</v>
      </c>
      <c r="AR66">
        <v>61.932287365813373</v>
      </c>
      <c r="AS66">
        <v>0</v>
      </c>
      <c r="AT66" s="93">
        <v>2304806</v>
      </c>
    </row>
    <row r="67" spans="1:46" x14ac:dyDescent="0.3">
      <c r="A67" t="s">
        <v>426</v>
      </c>
      <c r="B67">
        <v>609</v>
      </c>
      <c r="C67">
        <v>5502.3491145645103</v>
      </c>
      <c r="D67">
        <v>11</v>
      </c>
      <c r="E67">
        <v>99.385616190820386</v>
      </c>
      <c r="F67">
        <v>1.8062397372742199E-2</v>
      </c>
      <c r="G67">
        <v>11068</v>
      </c>
      <c r="H67">
        <v>5755392.7538850745</v>
      </c>
      <c r="I67">
        <v>92368991.687748462</v>
      </c>
      <c r="J67">
        <v>155.68100000000001</v>
      </c>
      <c r="K67">
        <v>71.094096260943843</v>
      </c>
      <c r="L67">
        <v>7025.19</v>
      </c>
      <c r="M67">
        <v>0.63300000000000001</v>
      </c>
      <c r="N67">
        <v>21.61</v>
      </c>
      <c r="O67" s="89">
        <v>66796208.619443439</v>
      </c>
      <c r="P67" s="89">
        <v>102983194.1633538</v>
      </c>
      <c r="Q67">
        <v>7.6</v>
      </c>
      <c r="R67">
        <v>6.1</v>
      </c>
      <c r="S67">
        <v>4.3</v>
      </c>
      <c r="T67">
        <v>99.943804439449295</v>
      </c>
      <c r="U67">
        <v>14432.49</v>
      </c>
      <c r="V67">
        <v>9.0399999999999991</v>
      </c>
      <c r="W67">
        <v>34.69</v>
      </c>
      <c r="X67">
        <v>37.024407753051001</v>
      </c>
      <c r="Y67">
        <v>0.9</v>
      </c>
      <c r="Z67">
        <v>1.7166606433</v>
      </c>
      <c r="AA67">
        <v>9.5771593783999993</v>
      </c>
      <c r="AB67">
        <v>0</v>
      </c>
      <c r="AC67">
        <v>1</v>
      </c>
      <c r="AD67">
        <v>0.30817364098552991</v>
      </c>
      <c r="AE67">
        <v>1</v>
      </c>
      <c r="AF67">
        <v>0.54899999999999993</v>
      </c>
      <c r="AG67">
        <v>0.371</v>
      </c>
      <c r="AH67">
        <v>0.17399999999999999</v>
      </c>
      <c r="AI67">
        <v>0.47699999999999998</v>
      </c>
      <c r="AJ67">
        <v>0.46200000000000002</v>
      </c>
      <c r="AK67">
        <v>5.8185760751716657E-2</v>
      </c>
      <c r="AL67">
        <v>0.18579999999999999</v>
      </c>
      <c r="AM67">
        <v>6.0975609756097597</v>
      </c>
      <c r="AN67">
        <v>0.81722689075630284</v>
      </c>
      <c r="AO67">
        <v>0.15242139501264909</v>
      </c>
      <c r="AP67">
        <v>361.40224069389228</v>
      </c>
      <c r="AQ67">
        <v>451.75280086736535</v>
      </c>
      <c r="AR67">
        <v>45.175280086736535</v>
      </c>
      <c r="AS67">
        <v>0</v>
      </c>
      <c r="AT67" s="93">
        <v>2304905</v>
      </c>
    </row>
    <row r="68" spans="1:46" x14ac:dyDescent="0.3">
      <c r="A68" t="s">
        <v>428</v>
      </c>
      <c r="B68">
        <v>247</v>
      </c>
      <c r="C68">
        <v>947.66728054020871</v>
      </c>
      <c r="D68">
        <v>25</v>
      </c>
      <c r="E68">
        <v>95.917740945365253</v>
      </c>
      <c r="F68">
        <v>0.10121457489878542</v>
      </c>
      <c r="G68">
        <v>26064</v>
      </c>
      <c r="H68">
        <v>1660976.8646408841</v>
      </c>
      <c r="I68">
        <v>91335174.95395948</v>
      </c>
      <c r="J68">
        <v>256.053</v>
      </c>
      <c r="K68">
        <v>101.79142599383721</v>
      </c>
      <c r="L68">
        <v>7684.11</v>
      </c>
      <c r="M68">
        <v>0.61699999999999999</v>
      </c>
      <c r="N68">
        <v>23.66</v>
      </c>
      <c r="O68" s="89">
        <v>48521099.716083482</v>
      </c>
      <c r="P68" s="89">
        <v>98336842.541436464</v>
      </c>
      <c r="Q68">
        <v>5.6</v>
      </c>
      <c r="R68">
        <v>4.5999999999999996</v>
      </c>
      <c r="S68">
        <v>4.0999999999999996</v>
      </c>
      <c r="T68">
        <v>99.812909260991603</v>
      </c>
      <c r="U68">
        <v>19422.849999999999</v>
      </c>
      <c r="V68">
        <v>122.77</v>
      </c>
      <c r="W68">
        <v>32.56</v>
      </c>
      <c r="X68">
        <v>43.548877900342298</v>
      </c>
      <c r="Y68">
        <v>0.61</v>
      </c>
      <c r="Z68">
        <v>0.49877225289999999</v>
      </c>
      <c r="AA68">
        <v>7.0979128300000003</v>
      </c>
      <c r="AB68">
        <v>1</v>
      </c>
      <c r="AC68">
        <v>0</v>
      </c>
      <c r="AD68">
        <v>0.2164293719646341</v>
      </c>
      <c r="AE68">
        <v>1</v>
      </c>
      <c r="AF68">
        <v>0.54920000000000002</v>
      </c>
      <c r="AG68">
        <v>0.46800000000000003</v>
      </c>
      <c r="AH68">
        <v>0.38500000000000001</v>
      </c>
      <c r="AI68">
        <v>0.55000000000000004</v>
      </c>
      <c r="AJ68">
        <v>0.46899999999999997</v>
      </c>
      <c r="AK68">
        <v>7.2130141190914668E-2</v>
      </c>
      <c r="AL68">
        <v>0.21489999999999998</v>
      </c>
      <c r="AM68">
        <v>11.560693641618499</v>
      </c>
      <c r="AN68">
        <v>0.87244897959183676</v>
      </c>
      <c r="AO68">
        <v>0.10501074278698588</v>
      </c>
      <c r="AP68">
        <v>264.7329650092081</v>
      </c>
      <c r="AQ68">
        <v>387.50767341927565</v>
      </c>
      <c r="AR68">
        <v>115.10128913443832</v>
      </c>
      <c r="AS68">
        <v>30.69367710251688</v>
      </c>
      <c r="AT68" s="93">
        <v>2304954</v>
      </c>
    </row>
    <row r="69" spans="1:46" x14ac:dyDescent="0.3">
      <c r="A69" t="s">
        <v>156</v>
      </c>
      <c r="B69">
        <v>332</v>
      </c>
      <c r="C69">
        <v>816.88893263126818</v>
      </c>
      <c r="D69">
        <v>6</v>
      </c>
      <c r="E69">
        <v>14.763052999360267</v>
      </c>
      <c r="F69">
        <v>1.8072289156626505E-2</v>
      </c>
      <c r="G69">
        <v>40642</v>
      </c>
      <c r="H69">
        <v>7116646.2280399585</v>
      </c>
      <c r="I69">
        <v>107061660.35136066</v>
      </c>
      <c r="J69">
        <v>624.60599999999999</v>
      </c>
      <c r="K69">
        <v>65.068219005260914</v>
      </c>
      <c r="L69">
        <v>11978.47</v>
      </c>
      <c r="M69">
        <v>0.60899999999999999</v>
      </c>
      <c r="N69">
        <v>38.96</v>
      </c>
      <c r="O69" s="89">
        <v>56779608.779095523</v>
      </c>
      <c r="P69" s="89">
        <v>93728022.41523546</v>
      </c>
      <c r="Q69">
        <v>6.6</v>
      </c>
      <c r="R69">
        <v>5.2</v>
      </c>
      <c r="S69">
        <v>4.9000000000000004</v>
      </c>
      <c r="T69">
        <v>99.334713187462995</v>
      </c>
      <c r="U69">
        <v>32184.05</v>
      </c>
      <c r="V69">
        <v>12.3</v>
      </c>
      <c r="W69">
        <v>28.57</v>
      </c>
      <c r="X69">
        <v>57.186641820321697</v>
      </c>
      <c r="Y69">
        <v>0.64</v>
      </c>
      <c r="Z69">
        <v>0.98420353329999999</v>
      </c>
      <c r="AA69">
        <v>7.1354756163999999</v>
      </c>
      <c r="AB69">
        <v>0</v>
      </c>
      <c r="AC69">
        <v>1</v>
      </c>
      <c r="AD69">
        <v>0.53929847782925211</v>
      </c>
      <c r="AE69">
        <v>1</v>
      </c>
      <c r="AF69">
        <v>0.6774</v>
      </c>
      <c r="AG69">
        <v>0.436</v>
      </c>
      <c r="AH69">
        <v>0.25800000000000001</v>
      </c>
      <c r="AI69">
        <v>0.47599999999999998</v>
      </c>
      <c r="AJ69">
        <v>0.57399999999999995</v>
      </c>
      <c r="AK69">
        <v>6.9435559273657799E-2</v>
      </c>
      <c r="AL69">
        <v>0.26500000000000001</v>
      </c>
      <c r="AM69">
        <v>18.759018759018801</v>
      </c>
      <c r="AN69">
        <v>0.99007352941176474</v>
      </c>
      <c r="AO69">
        <v>0.13798533536735397</v>
      </c>
      <c r="AP69">
        <v>339.55021898528616</v>
      </c>
      <c r="AQ69">
        <v>841.49402096353538</v>
      </c>
      <c r="AR69">
        <v>27.065597165493823</v>
      </c>
      <c r="AS69">
        <v>24.605088332267112</v>
      </c>
      <c r="AT69" s="93">
        <v>2305001</v>
      </c>
    </row>
    <row r="70" spans="1:46" x14ac:dyDescent="0.3">
      <c r="A70" t="s">
        <v>157</v>
      </c>
      <c r="B70">
        <v>98</v>
      </c>
      <c r="C70">
        <v>1887.1557866358557</v>
      </c>
      <c r="D70">
        <v>1</v>
      </c>
      <c r="E70">
        <v>19.256691700365877</v>
      </c>
      <c r="F70">
        <v>1.020408163265306E-2</v>
      </c>
      <c r="G70">
        <v>5193</v>
      </c>
      <c r="H70">
        <v>20858136.722511075</v>
      </c>
      <c r="I70">
        <v>115436164.06701328</v>
      </c>
      <c r="J70">
        <v>90.816999999999993</v>
      </c>
      <c r="K70">
        <v>57.18092427629189</v>
      </c>
      <c r="L70">
        <v>16087.25</v>
      </c>
      <c r="M70">
        <v>0.63700000000000001</v>
      </c>
      <c r="N70">
        <v>36.729999999999997</v>
      </c>
      <c r="O70" s="89">
        <v>106751963.98998652</v>
      </c>
      <c r="P70" s="89">
        <v>137179576.93048334</v>
      </c>
      <c r="Q70">
        <v>6</v>
      </c>
      <c r="R70">
        <v>5.0999999999999996</v>
      </c>
      <c r="S70">
        <v>4.7</v>
      </c>
      <c r="T70">
        <v>87.712344280860705</v>
      </c>
      <c r="U70">
        <v>9810.92</v>
      </c>
      <c r="V70">
        <v>115.54</v>
      </c>
      <c r="W70">
        <v>31.58</v>
      </c>
      <c r="X70">
        <v>45.011691348402202</v>
      </c>
      <c r="Y70">
        <v>0.96</v>
      </c>
      <c r="Z70">
        <v>2.1182360870000001</v>
      </c>
      <c r="AA70">
        <v>14.635085692300001</v>
      </c>
      <c r="AB70">
        <v>0</v>
      </c>
      <c r="AC70">
        <v>0</v>
      </c>
      <c r="AD70">
        <v>0.40081652257444766</v>
      </c>
      <c r="AE70">
        <v>0</v>
      </c>
      <c r="AF70">
        <v>0.47159999999999996</v>
      </c>
      <c r="AG70">
        <v>0.38400000000000001</v>
      </c>
      <c r="AH70">
        <v>0.13700000000000001</v>
      </c>
      <c r="AI70">
        <v>0.51500000000000001</v>
      </c>
      <c r="AJ70">
        <v>0.501</v>
      </c>
      <c r="AK70">
        <v>0.16002310803004044</v>
      </c>
      <c r="AL70">
        <v>0.1246</v>
      </c>
      <c r="AM70">
        <v>14.9253731343284</v>
      </c>
      <c r="AN70">
        <v>0.93181818181818177</v>
      </c>
      <c r="AO70">
        <v>0.11361448103215868</v>
      </c>
      <c r="AP70">
        <v>616.21413441170807</v>
      </c>
      <c r="AQ70">
        <v>808.78105141536685</v>
      </c>
      <c r="AR70">
        <v>154.05353360292702</v>
      </c>
      <c r="AS70">
        <v>38.513383400731755</v>
      </c>
      <c r="AT70" s="93">
        <v>2305100</v>
      </c>
    </row>
    <row r="71" spans="1:46" x14ac:dyDescent="0.3">
      <c r="A71" t="s">
        <v>432</v>
      </c>
      <c r="B71">
        <v>164</v>
      </c>
      <c r="C71">
        <v>820.90299329262189</v>
      </c>
      <c r="D71">
        <v>7</v>
      </c>
      <c r="E71">
        <v>35.038542396636295</v>
      </c>
      <c r="F71">
        <v>4.2682926829268296E-2</v>
      </c>
      <c r="G71">
        <v>19978</v>
      </c>
      <c r="H71">
        <v>5808120.2823105417</v>
      </c>
      <c r="I71">
        <v>92748022.825107619</v>
      </c>
      <c r="J71">
        <v>926.58699999999999</v>
      </c>
      <c r="K71">
        <v>21.560846418091341</v>
      </c>
      <c r="L71">
        <v>7036.69</v>
      </c>
      <c r="M71">
        <v>0.59699999999999998</v>
      </c>
      <c r="N71">
        <v>20.8</v>
      </c>
      <c r="O71" s="89">
        <v>44773027.280008011</v>
      </c>
      <c r="P71" s="89">
        <v>94855404.895384908</v>
      </c>
      <c r="Q71">
        <v>6.6</v>
      </c>
      <c r="R71">
        <v>5.0999999999999996</v>
      </c>
      <c r="S71">
        <v>4.8</v>
      </c>
      <c r="T71">
        <v>100</v>
      </c>
      <c r="U71">
        <v>15097.67</v>
      </c>
      <c r="V71">
        <v>10.01</v>
      </c>
      <c r="W71">
        <v>33.33</v>
      </c>
      <c r="X71">
        <v>43.734104622749697</v>
      </c>
      <c r="Y71">
        <v>0.55000000000000004</v>
      </c>
      <c r="Z71">
        <v>1.151266393</v>
      </c>
      <c r="AA71">
        <v>7.9086995695000004</v>
      </c>
      <c r="AB71">
        <v>0</v>
      </c>
      <c r="AC71">
        <v>1</v>
      </c>
      <c r="AD71">
        <v>0.42799482535575678</v>
      </c>
      <c r="AE71">
        <v>0</v>
      </c>
      <c r="AF71">
        <v>0.5444</v>
      </c>
      <c r="AG71">
        <v>0.4</v>
      </c>
      <c r="AH71">
        <v>0.16400000000000001</v>
      </c>
      <c r="AI71">
        <v>0.53600000000000003</v>
      </c>
      <c r="AJ71">
        <v>0.5</v>
      </c>
      <c r="AK71">
        <v>5.6161777955751328E-2</v>
      </c>
      <c r="AL71">
        <v>0.28749999999999998</v>
      </c>
      <c r="AM71">
        <v>3.9215686274509798</v>
      </c>
      <c r="AN71">
        <v>0.923170731707317</v>
      </c>
      <c r="AO71">
        <v>0.16668335168685555</v>
      </c>
      <c r="AP71">
        <v>290.31935128641504</v>
      </c>
      <c r="AQ71">
        <v>795.87546300931024</v>
      </c>
      <c r="AR71">
        <v>85.093602963259585</v>
      </c>
      <c r="AS71">
        <v>25.027530283311645</v>
      </c>
      <c r="AT71" s="93">
        <v>2305209</v>
      </c>
    </row>
    <row r="72" spans="1:46" x14ac:dyDescent="0.3">
      <c r="A72" t="s">
        <v>159</v>
      </c>
      <c r="B72">
        <v>1359</v>
      </c>
      <c r="C72">
        <v>2018.2069293256309</v>
      </c>
      <c r="D72">
        <v>68</v>
      </c>
      <c r="E72">
        <v>100.9845998485231</v>
      </c>
      <c r="F72">
        <v>5.0036791758646067E-2</v>
      </c>
      <c r="G72">
        <v>67337</v>
      </c>
      <c r="H72">
        <v>2120106.7763636634</v>
      </c>
      <c r="I72">
        <v>91224735.286692306</v>
      </c>
      <c r="J72">
        <v>160.55699999999999</v>
      </c>
      <c r="K72">
        <v>419.39622688515607</v>
      </c>
      <c r="L72">
        <v>25783.29</v>
      </c>
      <c r="M72">
        <v>0.65800000000000003</v>
      </c>
      <c r="N72">
        <v>46.98</v>
      </c>
      <c r="O72" s="89">
        <v>79011642.915484801</v>
      </c>
      <c r="P72" s="89">
        <v>88297774.878595725</v>
      </c>
      <c r="Q72">
        <v>6.9</v>
      </c>
      <c r="R72">
        <v>5.7</v>
      </c>
      <c r="S72">
        <v>4.5</v>
      </c>
      <c r="T72">
        <v>96.959161606920105</v>
      </c>
      <c r="U72">
        <v>121371.3</v>
      </c>
      <c r="V72">
        <v>29.7</v>
      </c>
      <c r="W72">
        <v>31.21</v>
      </c>
      <c r="X72">
        <v>27.000248070160101</v>
      </c>
      <c r="Y72">
        <v>0.45</v>
      </c>
      <c r="Z72">
        <v>0.71283246950000001</v>
      </c>
      <c r="AA72">
        <v>10.1578626906</v>
      </c>
      <c r="AB72">
        <v>1</v>
      </c>
      <c r="AC72">
        <v>1</v>
      </c>
      <c r="AD72">
        <v>7.4981426785293639E-2</v>
      </c>
      <c r="AE72">
        <v>1</v>
      </c>
      <c r="AF72">
        <v>0.70879999999999999</v>
      </c>
      <c r="AG72">
        <v>0.36499999999999999</v>
      </c>
      <c r="AH72">
        <v>0.20899999999999999</v>
      </c>
      <c r="AI72">
        <v>0.504</v>
      </c>
      <c r="AJ72">
        <v>0.38300000000000001</v>
      </c>
      <c r="AK72">
        <v>0.26602016721861682</v>
      </c>
      <c r="AL72">
        <v>9.0999999999999998E-2</v>
      </c>
      <c r="AM72">
        <v>4.0983606557377099</v>
      </c>
      <c r="AN72">
        <v>0.75242326332794818</v>
      </c>
      <c r="AO72">
        <v>7.7431427001499922E-2</v>
      </c>
      <c r="AP72">
        <v>360.87143769398699</v>
      </c>
      <c r="AQ72">
        <v>372.75197885263674</v>
      </c>
      <c r="AR72">
        <v>25.246149962130776</v>
      </c>
      <c r="AS72">
        <v>5.9402705793248884</v>
      </c>
      <c r="AT72" s="93">
        <v>2305233</v>
      </c>
    </row>
    <row r="73" spans="1:46" x14ac:dyDescent="0.3">
      <c r="A73" t="s">
        <v>160</v>
      </c>
      <c r="B73">
        <v>45</v>
      </c>
      <c r="C73">
        <v>337.00292069197934</v>
      </c>
      <c r="D73">
        <v>6</v>
      </c>
      <c r="E73">
        <v>44.933722758930578</v>
      </c>
      <c r="F73">
        <v>0.13333333333333333</v>
      </c>
      <c r="G73">
        <v>13353</v>
      </c>
      <c r="H73">
        <v>1613956.4142889238</v>
      </c>
      <c r="I73">
        <v>104205796.4502359</v>
      </c>
      <c r="J73">
        <v>879.255</v>
      </c>
      <c r="K73">
        <v>15.186720575942132</v>
      </c>
      <c r="L73">
        <v>7090.65</v>
      </c>
      <c r="M73">
        <v>0.57699999999999996</v>
      </c>
      <c r="N73">
        <v>20.51</v>
      </c>
      <c r="O73" s="89">
        <v>55059079.832247436</v>
      </c>
      <c r="P73" s="89">
        <v>106090791.50752641</v>
      </c>
      <c r="Q73">
        <v>5.0999999999999996</v>
      </c>
      <c r="R73">
        <v>4.3</v>
      </c>
      <c r="S73">
        <v>3.9</v>
      </c>
      <c r="T73">
        <v>96.316680779000905</v>
      </c>
      <c r="U73">
        <v>9947.99</v>
      </c>
      <c r="V73">
        <v>7.49</v>
      </c>
      <c r="W73">
        <v>34.549999999999997</v>
      </c>
      <c r="X73">
        <v>54.229934924078101</v>
      </c>
      <c r="Y73">
        <v>0.97</v>
      </c>
      <c r="Z73">
        <v>1.5726802966</v>
      </c>
      <c r="AA73">
        <v>9.0616340897000001</v>
      </c>
      <c r="AB73">
        <v>0</v>
      </c>
      <c r="AC73">
        <v>1</v>
      </c>
      <c r="AD73">
        <v>0.65585822628076151</v>
      </c>
      <c r="AE73">
        <v>1</v>
      </c>
      <c r="AF73">
        <v>0.60960000000000003</v>
      </c>
      <c r="AG73">
        <v>0.52300000000000002</v>
      </c>
      <c r="AH73">
        <v>0.46800000000000003</v>
      </c>
      <c r="AI73">
        <v>0.56399999999999995</v>
      </c>
      <c r="AJ73">
        <v>0.53800000000000003</v>
      </c>
      <c r="AK73">
        <v>6.3356549090092112E-2</v>
      </c>
      <c r="AL73">
        <v>0.34889999999999999</v>
      </c>
      <c r="AM73">
        <v>9.8522167487684698</v>
      </c>
      <c r="AN73">
        <v>0.62953367875647648</v>
      </c>
      <c r="AO73">
        <v>0.13480116827679173</v>
      </c>
      <c r="AP73">
        <v>351.98082827828955</v>
      </c>
      <c r="AQ73">
        <v>471.80408896877105</v>
      </c>
      <c r="AR73">
        <v>127.31221448363664</v>
      </c>
      <c r="AS73">
        <v>0</v>
      </c>
      <c r="AT73" s="93">
        <v>2305266</v>
      </c>
    </row>
    <row r="74" spans="1:46" x14ac:dyDescent="0.3">
      <c r="A74" t="s">
        <v>161</v>
      </c>
      <c r="B74">
        <v>416</v>
      </c>
      <c r="C74">
        <v>1664.1997039644759</v>
      </c>
      <c r="D74">
        <v>9</v>
      </c>
      <c r="E74">
        <v>36.004320518462215</v>
      </c>
      <c r="F74">
        <v>2.1634615384615384E-2</v>
      </c>
      <c r="G74">
        <v>24997</v>
      </c>
      <c r="H74">
        <v>8556072.3286794405</v>
      </c>
      <c r="I74">
        <v>91162939.552746326</v>
      </c>
      <c r="J74">
        <v>414.09199999999998</v>
      </c>
      <c r="K74">
        <v>60.365812428156062</v>
      </c>
      <c r="L74">
        <v>11277.09</v>
      </c>
      <c r="M74">
        <v>0.60799999999999998</v>
      </c>
      <c r="N74">
        <v>40.020000000000003</v>
      </c>
      <c r="O74" s="89">
        <v>77263218.386206344</v>
      </c>
      <c r="P74" s="89">
        <v>87227954.834580153</v>
      </c>
      <c r="Q74">
        <v>6.3</v>
      </c>
      <c r="R74">
        <v>5.2</v>
      </c>
      <c r="S74">
        <v>4.4000000000000004</v>
      </c>
      <c r="T74">
        <v>99.968979423017302</v>
      </c>
      <c r="U74">
        <v>16272.93</v>
      </c>
      <c r="V74">
        <v>4</v>
      </c>
      <c r="W74">
        <v>30.95</v>
      </c>
      <c r="X74">
        <v>46.826409377242598</v>
      </c>
      <c r="Y74">
        <v>0.88</v>
      </c>
      <c r="Z74">
        <v>1.5201824219</v>
      </c>
      <c r="AA74">
        <v>9.7611713406000007</v>
      </c>
      <c r="AB74">
        <v>0</v>
      </c>
      <c r="AC74">
        <v>1</v>
      </c>
      <c r="AD74">
        <v>0.54876512096774188</v>
      </c>
      <c r="AE74">
        <v>1</v>
      </c>
      <c r="AF74">
        <v>0.59960000000000002</v>
      </c>
      <c r="AG74">
        <v>0.38300000000000001</v>
      </c>
      <c r="AH74">
        <v>0.21099999999999999</v>
      </c>
      <c r="AI74">
        <v>0.45</v>
      </c>
      <c r="AJ74">
        <v>0.48899999999999999</v>
      </c>
      <c r="AK74">
        <v>6.4567748129775573E-2</v>
      </c>
      <c r="AL74">
        <v>0.2248</v>
      </c>
      <c r="AM74">
        <v>8</v>
      </c>
      <c r="AN74">
        <v>0.86127167630057799</v>
      </c>
      <c r="AO74">
        <v>0.14581749809977199</v>
      </c>
      <c r="AP74">
        <v>488.05856702804334</v>
      </c>
      <c r="AQ74">
        <v>884.10609273112777</v>
      </c>
      <c r="AR74">
        <v>80.009601152138245</v>
      </c>
      <c r="AS74">
        <v>40.004800576069123</v>
      </c>
      <c r="AT74" s="93">
        <v>2305308</v>
      </c>
    </row>
    <row r="75" spans="1:46" x14ac:dyDescent="0.3">
      <c r="A75" t="s">
        <v>162</v>
      </c>
      <c r="B75">
        <v>420</v>
      </c>
      <c r="C75">
        <v>3353.2934131736524</v>
      </c>
      <c r="D75">
        <v>6</v>
      </c>
      <c r="E75">
        <v>47.904191616766468</v>
      </c>
      <c r="F75">
        <v>1.4285714285714285E-2</v>
      </c>
      <c r="G75">
        <v>12525</v>
      </c>
      <c r="H75">
        <v>5931803.0339321354</v>
      </c>
      <c r="I75">
        <v>110385628.74251497</v>
      </c>
      <c r="J75">
        <v>423.85599999999999</v>
      </c>
      <c r="K75">
        <v>29.550130232909289</v>
      </c>
      <c r="L75">
        <v>7109.47</v>
      </c>
      <c r="M75">
        <v>0.60599999999999998</v>
      </c>
      <c r="N75">
        <v>18.43</v>
      </c>
      <c r="O75" s="89">
        <v>54817707.145708583</v>
      </c>
      <c r="P75" s="89">
        <v>114077260.5988024</v>
      </c>
      <c r="Q75">
        <v>6</v>
      </c>
      <c r="R75">
        <v>5.3</v>
      </c>
      <c r="S75">
        <v>3.9</v>
      </c>
      <c r="T75">
        <v>96.507614213197996</v>
      </c>
      <c r="U75">
        <v>8868.99</v>
      </c>
      <c r="V75">
        <v>31.94</v>
      </c>
      <c r="W75">
        <v>30.77</v>
      </c>
      <c r="X75">
        <v>57.748040224879198</v>
      </c>
      <c r="Y75">
        <v>0.8</v>
      </c>
      <c r="Z75">
        <v>0.63872255489999996</v>
      </c>
      <c r="AA75">
        <v>8.7824351296999996</v>
      </c>
      <c r="AB75">
        <v>0</v>
      </c>
      <c r="AC75">
        <v>1</v>
      </c>
      <c r="AD75">
        <v>0.49342743714159681</v>
      </c>
      <c r="AE75">
        <v>0</v>
      </c>
      <c r="AF75">
        <v>0.50719999999999998</v>
      </c>
      <c r="AG75">
        <v>0.45200000000000001</v>
      </c>
      <c r="AH75">
        <v>0.28100000000000003</v>
      </c>
      <c r="AI75">
        <v>0.52800000000000002</v>
      </c>
      <c r="AJ75">
        <v>0.54800000000000004</v>
      </c>
      <c r="AK75">
        <v>7.6167664670658677E-2</v>
      </c>
      <c r="AL75">
        <v>0.35200000000000004</v>
      </c>
      <c r="AN75">
        <v>0.98717948717948734</v>
      </c>
      <c r="AO75">
        <v>0.13764471057884231</v>
      </c>
      <c r="AP75">
        <v>399.20159680638722</v>
      </c>
      <c r="AQ75">
        <v>399.20159680638722</v>
      </c>
      <c r="AR75">
        <v>55.88822355289421</v>
      </c>
      <c r="AS75">
        <v>23.952095808383234</v>
      </c>
      <c r="AT75" s="93">
        <v>2305332</v>
      </c>
    </row>
    <row r="76" spans="1:46" x14ac:dyDescent="0.3">
      <c r="A76" t="s">
        <v>438</v>
      </c>
      <c r="B76">
        <v>315</v>
      </c>
      <c r="C76">
        <v>1580.214708538176</v>
      </c>
      <c r="D76">
        <v>7</v>
      </c>
      <c r="E76">
        <v>35.115882411959468</v>
      </c>
      <c r="F76">
        <v>2.2222222222222223E-2</v>
      </c>
      <c r="G76">
        <v>19934</v>
      </c>
      <c r="H76">
        <v>9376095.5653657056</v>
      </c>
      <c r="I76">
        <v>108002407.94622253</v>
      </c>
      <c r="J76">
        <v>421.44</v>
      </c>
      <c r="K76">
        <v>47.299734244495063</v>
      </c>
      <c r="L76">
        <v>17060.8</v>
      </c>
      <c r="M76">
        <v>0.61599999999999999</v>
      </c>
      <c r="N76">
        <v>24.97</v>
      </c>
      <c r="O76" s="89">
        <v>97372978.328483999</v>
      </c>
      <c r="P76" s="89">
        <v>99447389.886625871</v>
      </c>
      <c r="Q76">
        <v>6</v>
      </c>
      <c r="R76">
        <v>4.9000000000000004</v>
      </c>
      <c r="S76">
        <v>4.4000000000000004</v>
      </c>
      <c r="T76">
        <v>91.389290882778596</v>
      </c>
      <c r="U76">
        <v>38901.97</v>
      </c>
      <c r="V76">
        <v>25.08</v>
      </c>
      <c r="W76">
        <v>32.14</v>
      </c>
      <c r="X76">
        <v>48.584247258225297</v>
      </c>
      <c r="Y76">
        <v>0.65</v>
      </c>
      <c r="Z76">
        <v>0.80264874080000004</v>
      </c>
      <c r="AA76">
        <v>9.6317848901000005</v>
      </c>
      <c r="AB76">
        <v>0</v>
      </c>
      <c r="AC76">
        <v>0</v>
      </c>
      <c r="AD76">
        <v>0.68535232709873861</v>
      </c>
      <c r="AE76">
        <v>1</v>
      </c>
      <c r="AF76">
        <v>0.54579999999999995</v>
      </c>
      <c r="AG76">
        <v>0.45800000000000002</v>
      </c>
      <c r="AH76">
        <v>0.41199999999999998</v>
      </c>
      <c r="AI76">
        <v>0.497</v>
      </c>
      <c r="AJ76">
        <v>0.46500000000000002</v>
      </c>
      <c r="AK76">
        <v>0.15496137252934686</v>
      </c>
      <c r="AL76">
        <v>0.19820000000000002</v>
      </c>
      <c r="AM76">
        <v>6.2111801242236</v>
      </c>
      <c r="AN76">
        <v>0.8968401486988844</v>
      </c>
      <c r="AO76">
        <v>0.12260459516404133</v>
      </c>
      <c r="AP76">
        <v>295.97672318651547</v>
      </c>
      <c r="AQ76">
        <v>260.86084077455604</v>
      </c>
      <c r="AR76">
        <v>50.165546302799243</v>
      </c>
      <c r="AS76">
        <v>0</v>
      </c>
      <c r="AT76" s="93">
        <v>2305357</v>
      </c>
    </row>
    <row r="77" spans="1:46" x14ac:dyDescent="0.3">
      <c r="A77" t="s">
        <v>440</v>
      </c>
      <c r="B77">
        <v>414</v>
      </c>
      <c r="C77">
        <v>608.66241289070535</v>
      </c>
      <c r="D77">
        <v>8</v>
      </c>
      <c r="E77">
        <v>11.761592519627158</v>
      </c>
      <c r="F77">
        <v>1.932367149758454E-2</v>
      </c>
      <c r="G77">
        <v>68018</v>
      </c>
      <c r="H77">
        <v>6499726.5282719284</v>
      </c>
      <c r="I77">
        <v>99834749.625099242</v>
      </c>
      <c r="J77">
        <v>1865.8620000000001</v>
      </c>
      <c r="K77">
        <v>36.453928532763946</v>
      </c>
      <c r="L77">
        <v>8126.78</v>
      </c>
      <c r="M77">
        <v>0.60599999999999998</v>
      </c>
      <c r="N77">
        <v>14.69</v>
      </c>
      <c r="O77" s="89">
        <v>62873708.929989129</v>
      </c>
      <c r="P77" s="89">
        <v>80387178.746802315</v>
      </c>
      <c r="Q77">
        <v>5</v>
      </c>
      <c r="R77">
        <v>4.2</v>
      </c>
      <c r="S77">
        <v>4.2</v>
      </c>
      <c r="T77">
        <v>90.2992509501494</v>
      </c>
      <c r="U77">
        <v>63067.65</v>
      </c>
      <c r="V77">
        <v>19.11</v>
      </c>
      <c r="W77">
        <v>31.07</v>
      </c>
      <c r="X77">
        <v>48.571051318916702</v>
      </c>
      <c r="Y77">
        <v>0.56999999999999995</v>
      </c>
      <c r="Z77">
        <v>0.79390749510000003</v>
      </c>
      <c r="AA77">
        <v>8.1302008291999996</v>
      </c>
      <c r="AB77">
        <v>0</v>
      </c>
      <c r="AC77">
        <v>1</v>
      </c>
      <c r="AD77">
        <v>0.53460339770227328</v>
      </c>
      <c r="AE77">
        <v>0</v>
      </c>
      <c r="AF77">
        <v>0.5232</v>
      </c>
      <c r="AG77">
        <v>0.40300000000000002</v>
      </c>
      <c r="AH77">
        <v>0.16400000000000001</v>
      </c>
      <c r="AI77">
        <v>0.54200000000000004</v>
      </c>
      <c r="AJ77">
        <v>0.503</v>
      </c>
      <c r="AK77">
        <v>6.4232997147813817E-2</v>
      </c>
      <c r="AL77">
        <v>0.27089999999999997</v>
      </c>
      <c r="AM77">
        <v>6.7950169875424704</v>
      </c>
      <c r="AN77">
        <v>0.7502765486725661</v>
      </c>
      <c r="AO77">
        <v>0.14632891293481137</v>
      </c>
      <c r="AP77">
        <v>296.98021112058569</v>
      </c>
      <c r="AQ77">
        <v>514.56967273368821</v>
      </c>
      <c r="AR77">
        <v>52.927166338322202</v>
      </c>
      <c r="AS77">
        <v>1.4701990649533947</v>
      </c>
      <c r="AT77" s="93">
        <v>2305407</v>
      </c>
    </row>
    <row r="78" spans="1:46" x14ac:dyDescent="0.3">
      <c r="A78" t="s">
        <v>165</v>
      </c>
      <c r="B78">
        <v>1945</v>
      </c>
      <c r="C78">
        <v>1897.5980019122326</v>
      </c>
      <c r="D78">
        <v>46</v>
      </c>
      <c r="E78">
        <v>44.878924466818866</v>
      </c>
      <c r="F78">
        <v>2.365038560411311E-2</v>
      </c>
      <c r="G78">
        <v>102498</v>
      </c>
      <c r="H78">
        <v>15490684.745068196</v>
      </c>
      <c r="I78">
        <v>84335304.103494704</v>
      </c>
      <c r="J78">
        <v>992.20799999999997</v>
      </c>
      <c r="K78">
        <v>103.30293648106043</v>
      </c>
      <c r="L78">
        <v>15624.21</v>
      </c>
      <c r="M78">
        <v>0.67700000000000005</v>
      </c>
      <c r="N78">
        <v>37.020000000000003</v>
      </c>
      <c r="O78" s="89">
        <v>88268757.097699478</v>
      </c>
      <c r="P78" s="89">
        <v>67904527.337118775</v>
      </c>
      <c r="Q78">
        <v>5.7</v>
      </c>
      <c r="R78">
        <v>5.0999999999999996</v>
      </c>
      <c r="S78">
        <v>4.8</v>
      </c>
      <c r="T78">
        <v>99.729413077438096</v>
      </c>
      <c r="U78">
        <v>188943.8</v>
      </c>
      <c r="V78">
        <v>16.59</v>
      </c>
      <c r="W78">
        <v>31.25</v>
      </c>
      <c r="X78">
        <v>31.555969497642501</v>
      </c>
      <c r="Y78">
        <v>0.54</v>
      </c>
      <c r="Z78">
        <v>1.9317450097</v>
      </c>
      <c r="AA78">
        <v>10.2538586119</v>
      </c>
      <c r="AB78">
        <v>0</v>
      </c>
      <c r="AC78">
        <v>1</v>
      </c>
      <c r="AD78">
        <v>0.22662314109539355</v>
      </c>
      <c r="AE78">
        <v>0</v>
      </c>
      <c r="AF78">
        <v>0.60089999999999999</v>
      </c>
      <c r="AG78">
        <v>0.33100000000000002</v>
      </c>
      <c r="AH78">
        <v>0.104</v>
      </c>
      <c r="AI78">
        <v>0.44600000000000001</v>
      </c>
      <c r="AJ78">
        <v>0.442</v>
      </c>
      <c r="AK78">
        <v>0.13619777946886769</v>
      </c>
      <c r="AL78">
        <v>0.13140000000000002</v>
      </c>
      <c r="AM78">
        <v>8.7719298245614006</v>
      </c>
      <c r="AN78">
        <v>0.85403726708074534</v>
      </c>
      <c r="AO78">
        <v>0.14544674042420339</v>
      </c>
      <c r="AP78">
        <v>451.71613104645945</v>
      </c>
      <c r="AQ78">
        <v>870.26088313918331</v>
      </c>
      <c r="AR78">
        <v>68.294015492985224</v>
      </c>
      <c r="AS78">
        <v>4.8781439637846598</v>
      </c>
      <c r="AT78" s="93">
        <v>2305506</v>
      </c>
    </row>
    <row r="79" spans="1:46" x14ac:dyDescent="0.3">
      <c r="A79" t="s">
        <v>443</v>
      </c>
      <c r="B79">
        <v>164</v>
      </c>
      <c r="C79">
        <v>626.48025059210022</v>
      </c>
      <c r="D79">
        <v>9</v>
      </c>
      <c r="E79">
        <v>34.380013752005503</v>
      </c>
      <c r="F79">
        <v>5.4878048780487805E-2</v>
      </c>
      <c r="G79">
        <v>26178</v>
      </c>
      <c r="H79">
        <v>1502954.1981816792</v>
      </c>
      <c r="I79">
        <v>105186798.07471924</v>
      </c>
      <c r="J79">
        <v>3222.3809999999999</v>
      </c>
      <c r="K79">
        <v>8.1238065889787716</v>
      </c>
      <c r="L79">
        <v>8950.81</v>
      </c>
      <c r="M79">
        <v>0.63200000000000001</v>
      </c>
      <c r="N79">
        <v>16.02</v>
      </c>
      <c r="O79" s="89">
        <v>51187240.927496366</v>
      </c>
      <c r="P79" s="89">
        <v>82310572.350828931</v>
      </c>
      <c r="Q79">
        <v>9.1</v>
      </c>
      <c r="R79">
        <v>5.9</v>
      </c>
      <c r="S79">
        <v>4.5</v>
      </c>
      <c r="T79">
        <v>99.830842965886703</v>
      </c>
      <c r="U79">
        <v>18014.14</v>
      </c>
      <c r="V79">
        <v>19.100000000000001</v>
      </c>
      <c r="W79">
        <v>28.85</v>
      </c>
      <c r="X79">
        <v>54.110818344980302</v>
      </c>
      <c r="Y79">
        <v>1.03</v>
      </c>
      <c r="Z79">
        <v>0.72580029030000004</v>
      </c>
      <c r="AA79">
        <v>8.7860035144000008</v>
      </c>
      <c r="AB79">
        <v>0</v>
      </c>
      <c r="AC79">
        <v>1</v>
      </c>
      <c r="AD79">
        <v>0.55136276541665041</v>
      </c>
      <c r="AE79">
        <v>1</v>
      </c>
      <c r="AF79">
        <v>0.80379999999999996</v>
      </c>
      <c r="AG79">
        <v>0.46600000000000003</v>
      </c>
      <c r="AH79">
        <v>0.27400000000000002</v>
      </c>
      <c r="AI79">
        <v>0.504</v>
      </c>
      <c r="AJ79">
        <v>0.621</v>
      </c>
      <c r="AK79">
        <v>6.0508824203529682E-2</v>
      </c>
      <c r="AL79">
        <v>0.27899999999999997</v>
      </c>
      <c r="AM79">
        <v>22.556390977443598</v>
      </c>
      <c r="AN79">
        <v>0.70016891891891897</v>
      </c>
      <c r="AO79">
        <v>0.16525326610130645</v>
      </c>
      <c r="AP79">
        <v>362.90014516005806</v>
      </c>
      <c r="AQ79">
        <v>790.74031629612648</v>
      </c>
      <c r="AR79">
        <v>114.60004584001834</v>
      </c>
      <c r="AS79">
        <v>57.30002292000917</v>
      </c>
      <c r="AT79" s="93">
        <v>2305605</v>
      </c>
    </row>
    <row r="80" spans="1:46" x14ac:dyDescent="0.3">
      <c r="A80" t="s">
        <v>167</v>
      </c>
      <c r="B80">
        <v>123</v>
      </c>
      <c r="C80">
        <v>1060.9850772017596</v>
      </c>
      <c r="D80">
        <v>0</v>
      </c>
      <c r="E80">
        <v>0</v>
      </c>
      <c r="F80">
        <v>0</v>
      </c>
      <c r="G80">
        <v>11593</v>
      </c>
      <c r="H80">
        <v>5266249.3746226178</v>
      </c>
      <c r="I80">
        <v>98578452.514448375</v>
      </c>
      <c r="J80">
        <v>704.77300000000002</v>
      </c>
      <c r="K80">
        <v>16.449268062198751</v>
      </c>
      <c r="L80">
        <v>6478.06</v>
      </c>
      <c r="M80">
        <v>0.57899999999999996</v>
      </c>
      <c r="N80">
        <v>18.32</v>
      </c>
      <c r="O80" s="89">
        <v>78944487.794358671</v>
      </c>
      <c r="P80" s="89">
        <v>106607916.07004228</v>
      </c>
      <c r="Q80">
        <v>7.4</v>
      </c>
      <c r="R80">
        <v>5.2</v>
      </c>
      <c r="S80">
        <v>4.4000000000000004</v>
      </c>
      <c r="T80">
        <v>99.168975069252099</v>
      </c>
      <c r="U80">
        <v>7719.47</v>
      </c>
      <c r="V80">
        <v>17.25</v>
      </c>
      <c r="W80">
        <v>33.33</v>
      </c>
      <c r="X80">
        <v>50.293204553294203</v>
      </c>
      <c r="Y80">
        <v>1.04</v>
      </c>
      <c r="Z80">
        <v>1.5526610886000001</v>
      </c>
      <c r="AA80">
        <v>10.3510739239</v>
      </c>
      <c r="AB80">
        <v>0</v>
      </c>
      <c r="AC80">
        <v>1</v>
      </c>
      <c r="AD80">
        <v>0.63536983161421146</v>
      </c>
      <c r="AE80">
        <v>0</v>
      </c>
      <c r="AF80">
        <v>0.61780000000000002</v>
      </c>
      <c r="AG80">
        <v>0.45200000000000001</v>
      </c>
      <c r="AH80">
        <v>0.23699999999999999</v>
      </c>
      <c r="AI80">
        <v>0.55400000000000005</v>
      </c>
      <c r="AJ80">
        <v>0.56499999999999995</v>
      </c>
      <c r="AK80">
        <v>6.6246873113085483E-2</v>
      </c>
      <c r="AL80">
        <v>0.41409999999999997</v>
      </c>
      <c r="AN80">
        <v>0.91556291390728473</v>
      </c>
      <c r="AO80">
        <v>0.17967739152937118</v>
      </c>
      <c r="AP80">
        <v>483.05011644958165</v>
      </c>
      <c r="AQ80">
        <v>1587.1646683343395</v>
      </c>
      <c r="AR80">
        <v>284.65453290778919</v>
      </c>
      <c r="AS80">
        <v>43.129474682998364</v>
      </c>
      <c r="AT80" s="93">
        <v>2305654</v>
      </c>
    </row>
    <row r="81" spans="1:46" x14ac:dyDescent="0.3">
      <c r="A81" t="s">
        <v>168</v>
      </c>
      <c r="B81">
        <v>50</v>
      </c>
      <c r="C81">
        <v>401.18751504453184</v>
      </c>
      <c r="D81">
        <v>2</v>
      </c>
      <c r="E81">
        <v>16.047500601781273</v>
      </c>
      <c r="F81">
        <v>0.04</v>
      </c>
      <c r="G81">
        <v>12463</v>
      </c>
      <c r="H81">
        <v>5807625.2908609482</v>
      </c>
      <c r="I81">
        <v>98345502.687956348</v>
      </c>
      <c r="J81">
        <v>276.50799999999998</v>
      </c>
      <c r="K81">
        <v>45.072836952276248</v>
      </c>
      <c r="L81">
        <v>9122.59</v>
      </c>
      <c r="M81">
        <v>0.60599999999999998</v>
      </c>
      <c r="N81">
        <v>22.04</v>
      </c>
      <c r="O81" s="89">
        <v>63110218.486720689</v>
      </c>
      <c r="P81" s="89">
        <v>78737060.49907726</v>
      </c>
      <c r="Q81">
        <v>5.2</v>
      </c>
      <c r="R81">
        <v>3.9</v>
      </c>
      <c r="S81">
        <v>3.7</v>
      </c>
      <c r="T81">
        <v>99.061116031886598</v>
      </c>
      <c r="U81">
        <v>11691.2</v>
      </c>
      <c r="V81">
        <v>0</v>
      </c>
      <c r="W81">
        <v>33.33</v>
      </c>
      <c r="X81">
        <v>52.855426511814201</v>
      </c>
      <c r="Y81">
        <v>0.4</v>
      </c>
      <c r="Z81">
        <v>2.0861750782000001</v>
      </c>
      <c r="AA81">
        <v>8.4249378158999999</v>
      </c>
      <c r="AB81">
        <v>0</v>
      </c>
      <c r="AC81">
        <v>1</v>
      </c>
      <c r="AD81">
        <v>0.40602881172453992</v>
      </c>
      <c r="AE81">
        <v>1</v>
      </c>
      <c r="AF81">
        <v>0.53180000000000005</v>
      </c>
      <c r="AG81">
        <v>0.39</v>
      </c>
      <c r="AH81">
        <v>0.114</v>
      </c>
      <c r="AI81">
        <v>0.52600000000000002</v>
      </c>
      <c r="AJ81">
        <v>0.53100000000000003</v>
      </c>
      <c r="AK81">
        <v>7.6305865361469952E-2</v>
      </c>
      <c r="AL81">
        <v>0.2414</v>
      </c>
      <c r="AM81">
        <v>7.19424460431655</v>
      </c>
      <c r="AN81">
        <v>0.94778481012658222</v>
      </c>
      <c r="AO81">
        <v>0.16512878119232929</v>
      </c>
      <c r="AP81">
        <v>176.522506619594</v>
      </c>
      <c r="AQ81">
        <v>304.90251143384421</v>
      </c>
      <c r="AR81">
        <v>32.095001203562546</v>
      </c>
      <c r="AS81">
        <v>16.047500601781273</v>
      </c>
      <c r="AT81" s="93">
        <v>2305704</v>
      </c>
    </row>
    <row r="82" spans="1:46" x14ac:dyDescent="0.3">
      <c r="A82" t="s">
        <v>169</v>
      </c>
      <c r="B82">
        <v>554</v>
      </c>
      <c r="C82">
        <v>1320.1792012200933</v>
      </c>
      <c r="D82">
        <v>13</v>
      </c>
      <c r="E82">
        <v>30.978934324659232</v>
      </c>
      <c r="F82">
        <v>2.3465703971119134E-2</v>
      </c>
      <c r="G82">
        <v>41964</v>
      </c>
      <c r="H82">
        <v>2600506.4579163091</v>
      </c>
      <c r="I82">
        <v>104017729.4824135</v>
      </c>
      <c r="J82">
        <v>626.04899999999998</v>
      </c>
      <c r="K82">
        <v>67.029897020840224</v>
      </c>
      <c r="L82">
        <v>9341.6</v>
      </c>
      <c r="M82">
        <v>0.61799999999999999</v>
      </c>
      <c r="N82">
        <v>29.06</v>
      </c>
      <c r="O82" s="89">
        <v>66025076.446477927</v>
      </c>
      <c r="P82" s="89">
        <v>93915241.564197883</v>
      </c>
      <c r="Q82">
        <v>5.9</v>
      </c>
      <c r="R82">
        <v>4.9000000000000004</v>
      </c>
      <c r="S82">
        <v>4.5999999999999996</v>
      </c>
      <c r="T82">
        <v>98.633785873861498</v>
      </c>
      <c r="U82">
        <v>42612.18</v>
      </c>
      <c r="V82">
        <v>4.7699999999999996</v>
      </c>
      <c r="W82">
        <v>33</v>
      </c>
      <c r="X82">
        <v>49.9001379047981</v>
      </c>
      <c r="Y82">
        <v>0.6</v>
      </c>
      <c r="Z82">
        <v>1.0723477266000001</v>
      </c>
      <c r="AA82">
        <v>8.1498427223000007</v>
      </c>
      <c r="AB82">
        <v>0</v>
      </c>
      <c r="AC82">
        <v>1</v>
      </c>
      <c r="AD82">
        <v>0.36517272185824895</v>
      </c>
      <c r="AE82">
        <v>0</v>
      </c>
      <c r="AF82">
        <v>0.53310000000000002</v>
      </c>
      <c r="AG82">
        <v>0.43099999999999999</v>
      </c>
      <c r="AH82">
        <v>0.252</v>
      </c>
      <c r="AI82">
        <v>0.51300000000000001</v>
      </c>
      <c r="AJ82">
        <v>0.52700000000000002</v>
      </c>
      <c r="AK82">
        <v>7.6756267276713377E-2</v>
      </c>
      <c r="AL82">
        <v>0.2429</v>
      </c>
      <c r="AM82">
        <v>8.9418777943368095</v>
      </c>
      <c r="AN82">
        <v>0.73034188034188019</v>
      </c>
      <c r="AO82">
        <v>0.15484701172433515</v>
      </c>
      <c r="AP82">
        <v>331.2362977790487</v>
      </c>
      <c r="AQ82">
        <v>1627.5855495186349</v>
      </c>
      <c r="AR82">
        <v>59.574873701267755</v>
      </c>
      <c r="AS82">
        <v>52.425888857115623</v>
      </c>
      <c r="AT82" s="93">
        <v>2305803</v>
      </c>
    </row>
    <row r="83" spans="1:46" x14ac:dyDescent="0.3">
      <c r="A83" t="s">
        <v>170</v>
      </c>
      <c r="B83">
        <v>278</v>
      </c>
      <c r="C83">
        <v>728.39700256773051</v>
      </c>
      <c r="D83">
        <v>10</v>
      </c>
      <c r="E83">
        <v>26.201331027616202</v>
      </c>
      <c r="F83">
        <v>3.5971223021582732E-2</v>
      </c>
      <c r="G83">
        <v>38166</v>
      </c>
      <c r="H83">
        <v>2948481.9210815909</v>
      </c>
      <c r="I83">
        <v>94989781.48089923</v>
      </c>
      <c r="J83">
        <v>1483.258</v>
      </c>
      <c r="K83">
        <v>25.731194438189444</v>
      </c>
      <c r="L83">
        <v>6430.39</v>
      </c>
      <c r="M83">
        <v>0.57299999999999995</v>
      </c>
      <c r="N83">
        <v>18.989999999999998</v>
      </c>
      <c r="O83" s="89">
        <v>53432742.702929303</v>
      </c>
      <c r="P83" s="89">
        <v>89862184.535974428</v>
      </c>
      <c r="Q83">
        <v>6.3</v>
      </c>
      <c r="R83">
        <v>5.0999999999999996</v>
      </c>
      <c r="S83">
        <v>4.5999999999999996</v>
      </c>
      <c r="T83">
        <v>94.665281025374597</v>
      </c>
      <c r="U83">
        <v>29187.22</v>
      </c>
      <c r="V83">
        <v>15.72</v>
      </c>
      <c r="W83">
        <v>32.31</v>
      </c>
      <c r="X83">
        <v>44.587290759300998</v>
      </c>
      <c r="Y83">
        <v>0.45</v>
      </c>
      <c r="Z83">
        <v>1.0480532411000001</v>
      </c>
      <c r="AA83">
        <v>7.2577686946000002</v>
      </c>
      <c r="AB83">
        <v>0</v>
      </c>
      <c r="AC83">
        <v>1</v>
      </c>
      <c r="AD83">
        <v>0.51513390734773656</v>
      </c>
      <c r="AE83">
        <v>0</v>
      </c>
      <c r="AF83">
        <v>0.50419999999999998</v>
      </c>
      <c r="AG83">
        <v>0.45100000000000001</v>
      </c>
      <c r="AH83">
        <v>0.18099999999999999</v>
      </c>
      <c r="AI83">
        <v>0.56000000000000005</v>
      </c>
      <c r="AJ83">
        <v>0.61299999999999999</v>
      </c>
      <c r="AK83">
        <v>4.9887334276581249E-2</v>
      </c>
      <c r="AL83">
        <v>0.39700000000000002</v>
      </c>
      <c r="AM83">
        <v>10.373443983402501</v>
      </c>
      <c r="AN83">
        <v>0.79329896907216513</v>
      </c>
      <c r="AO83">
        <v>0.16032594455798355</v>
      </c>
      <c r="AP83">
        <v>589.52994812136455</v>
      </c>
      <c r="AQ83">
        <v>510.92595503851601</v>
      </c>
      <c r="AR83">
        <v>115.28585652151129</v>
      </c>
      <c r="AS83">
        <v>5.2402662055232403</v>
      </c>
      <c r="AT83" s="93">
        <v>2305902</v>
      </c>
    </row>
    <row r="84" spans="1:46" x14ac:dyDescent="0.3">
      <c r="A84" t="s">
        <v>171</v>
      </c>
      <c r="B84">
        <v>169</v>
      </c>
      <c r="C84">
        <v>1182.0661677274952</v>
      </c>
      <c r="D84">
        <v>1</v>
      </c>
      <c r="E84">
        <v>6.9944743652514516</v>
      </c>
      <c r="F84">
        <v>5.9171597633136093E-3</v>
      </c>
      <c r="G84">
        <v>14297</v>
      </c>
      <c r="H84">
        <v>4601562.7754074289</v>
      </c>
      <c r="I84">
        <v>94748548.646569207</v>
      </c>
      <c r="J84">
        <v>839.17399999999998</v>
      </c>
      <c r="K84">
        <v>17.036991136522342</v>
      </c>
      <c r="L84">
        <v>9756.9599999999991</v>
      </c>
      <c r="M84">
        <v>0.65200000000000002</v>
      </c>
      <c r="N84">
        <v>26.31</v>
      </c>
      <c r="O84" s="89">
        <v>95422050.360215425</v>
      </c>
      <c r="P84" s="89">
        <v>88587384.346366361</v>
      </c>
      <c r="Q84">
        <v>6.5</v>
      </c>
      <c r="R84">
        <v>4.8</v>
      </c>
      <c r="S84">
        <v>4.4000000000000004</v>
      </c>
      <c r="T84">
        <v>99.205160695772406</v>
      </c>
      <c r="U84">
        <v>12812.4</v>
      </c>
      <c r="V84">
        <v>0</v>
      </c>
      <c r="W84">
        <v>34.880000000000003</v>
      </c>
      <c r="X84">
        <v>40.039089766857501</v>
      </c>
      <c r="Y84">
        <v>0.77</v>
      </c>
      <c r="Z84">
        <v>2.3081765404999999</v>
      </c>
      <c r="AA84">
        <v>11.890606420899999</v>
      </c>
      <c r="AB84">
        <v>0</v>
      </c>
      <c r="AC84">
        <v>1</v>
      </c>
      <c r="AD84">
        <v>0.28443375601224313</v>
      </c>
      <c r="AE84">
        <v>0</v>
      </c>
      <c r="AF84">
        <v>0.6169</v>
      </c>
      <c r="AG84">
        <v>0.36399999999999999</v>
      </c>
      <c r="AH84">
        <v>0.159</v>
      </c>
      <c r="AI84">
        <v>0.42899999999999999</v>
      </c>
      <c r="AJ84">
        <v>0.503</v>
      </c>
      <c r="AK84">
        <v>6.3999440442050776E-2</v>
      </c>
      <c r="AL84">
        <v>0.23449999999999999</v>
      </c>
      <c r="AM84">
        <v>6.6225165562913899</v>
      </c>
      <c r="AN84">
        <v>1</v>
      </c>
      <c r="AO84">
        <v>0.17066517451213542</v>
      </c>
      <c r="AP84">
        <v>587.53584668112182</v>
      </c>
      <c r="AQ84">
        <v>846.33139819542555</v>
      </c>
      <c r="AR84">
        <v>69.944743652514504</v>
      </c>
      <c r="AS84">
        <v>20.983423095754354</v>
      </c>
      <c r="AT84" s="93">
        <v>2306009</v>
      </c>
    </row>
    <row r="85" spans="1:46" x14ac:dyDescent="0.3">
      <c r="A85" t="s">
        <v>450</v>
      </c>
      <c r="B85">
        <v>339</v>
      </c>
      <c r="C85">
        <v>1403.3780427223051</v>
      </c>
      <c r="D85">
        <v>23</v>
      </c>
      <c r="E85">
        <v>95.214439476734555</v>
      </c>
      <c r="F85">
        <v>6.7846607669616518E-2</v>
      </c>
      <c r="G85">
        <v>24156</v>
      </c>
      <c r="H85">
        <v>2697127.8771319753</v>
      </c>
      <c r="I85">
        <v>108897168.40536512</v>
      </c>
      <c r="J85">
        <v>1466.412</v>
      </c>
      <c r="K85">
        <v>16.472860287559023</v>
      </c>
      <c r="L85">
        <v>6665.39</v>
      </c>
      <c r="M85">
        <v>0.60499999999999998</v>
      </c>
      <c r="N85">
        <v>18.7</v>
      </c>
      <c r="O85" s="89">
        <v>51717696.721311472</v>
      </c>
      <c r="P85" s="89">
        <v>95229256.085444614</v>
      </c>
      <c r="Q85">
        <v>6.4</v>
      </c>
      <c r="R85">
        <v>5.7</v>
      </c>
      <c r="S85">
        <v>4.3</v>
      </c>
      <c r="T85">
        <v>99.5</v>
      </c>
      <c r="U85">
        <v>17706.27</v>
      </c>
      <c r="V85">
        <v>8.2799999999999994</v>
      </c>
      <c r="W85">
        <v>34.880000000000003</v>
      </c>
      <c r="X85">
        <v>55.572927381197303</v>
      </c>
      <c r="Y85">
        <v>0.75</v>
      </c>
      <c r="Z85">
        <v>0.86934922999999997</v>
      </c>
      <c r="AA85">
        <v>7.6999503229000004</v>
      </c>
      <c r="AB85">
        <v>0</v>
      </c>
      <c r="AC85">
        <v>1</v>
      </c>
      <c r="AD85">
        <v>0.35750761512273788</v>
      </c>
      <c r="AE85">
        <v>1</v>
      </c>
      <c r="AF85">
        <v>0.56020000000000003</v>
      </c>
      <c r="AG85">
        <v>0.502</v>
      </c>
      <c r="AH85">
        <v>0.29399999999999998</v>
      </c>
      <c r="AI85">
        <v>0.59899999999999998</v>
      </c>
      <c r="AJ85">
        <v>0.61399999999999999</v>
      </c>
      <c r="AK85">
        <v>7.3356515979466796E-2</v>
      </c>
      <c r="AL85">
        <v>0.35869999999999996</v>
      </c>
      <c r="AM85">
        <v>11.1111111111111</v>
      </c>
      <c r="AN85">
        <v>0.48090277777777773</v>
      </c>
      <c r="AO85">
        <v>0.11363636363636363</v>
      </c>
      <c r="AP85">
        <v>314.62162609703591</v>
      </c>
      <c r="AQ85">
        <v>467.792680907435</v>
      </c>
      <c r="AR85">
        <v>33.118065904951152</v>
      </c>
      <c r="AS85">
        <v>16.559032952475576</v>
      </c>
      <c r="AT85" s="93">
        <v>2306108</v>
      </c>
    </row>
    <row r="86" spans="1:46" x14ac:dyDescent="0.3">
      <c r="A86" t="s">
        <v>452</v>
      </c>
      <c r="B86">
        <v>205</v>
      </c>
      <c r="C86">
        <v>2619.1388782419831</v>
      </c>
      <c r="D86">
        <v>5</v>
      </c>
      <c r="E86">
        <v>63.881436054682503</v>
      </c>
      <c r="F86">
        <v>2.4390243902439025E-2</v>
      </c>
      <c r="G86">
        <v>7827</v>
      </c>
      <c r="H86">
        <v>30948487.543119971</v>
      </c>
      <c r="I86">
        <v>496351092.37255657</v>
      </c>
      <c r="J86">
        <v>213.60400000000001</v>
      </c>
      <c r="K86">
        <v>36.642572236474969</v>
      </c>
      <c r="L86">
        <v>8245.31</v>
      </c>
      <c r="M86">
        <v>0.65600000000000003</v>
      </c>
      <c r="N86">
        <v>22.37</v>
      </c>
      <c r="O86" s="89">
        <v>82896827.392359778</v>
      </c>
      <c r="P86" s="89">
        <v>87995112.175801709</v>
      </c>
      <c r="Q86">
        <v>6.9</v>
      </c>
      <c r="R86">
        <v>5.9</v>
      </c>
      <c r="S86">
        <v>5.0999999999999996</v>
      </c>
      <c r="T86">
        <v>93.665356050677204</v>
      </c>
      <c r="U86">
        <v>21090.6</v>
      </c>
      <c r="V86">
        <v>0</v>
      </c>
      <c r="W86">
        <v>31.58</v>
      </c>
      <c r="X86">
        <v>37.541317060767902</v>
      </c>
      <c r="Y86">
        <v>0.77</v>
      </c>
      <c r="Z86">
        <v>2.1719688259000001</v>
      </c>
      <c r="AA86">
        <v>12.6485243388</v>
      </c>
      <c r="AB86">
        <v>0</v>
      </c>
      <c r="AC86">
        <v>1</v>
      </c>
      <c r="AD86">
        <v>0.41511755057408423</v>
      </c>
      <c r="AE86">
        <v>1</v>
      </c>
      <c r="AF86">
        <v>0.51529999999999998</v>
      </c>
      <c r="AG86">
        <v>0.41699999999999998</v>
      </c>
      <c r="AH86">
        <v>0.34100000000000003</v>
      </c>
      <c r="AI86">
        <v>0.38600000000000001</v>
      </c>
      <c r="AJ86">
        <v>0.52500000000000002</v>
      </c>
      <c r="AK86">
        <v>8.0746135173118697E-2</v>
      </c>
      <c r="AL86">
        <v>0.15759999999999999</v>
      </c>
      <c r="AM86">
        <v>21.978021978021999</v>
      </c>
      <c r="AN86">
        <v>0.97701149425287359</v>
      </c>
      <c r="AO86">
        <v>0.17235211447553342</v>
      </c>
      <c r="AP86">
        <v>344.95975469528554</v>
      </c>
      <c r="AQ86">
        <v>498.27520122652356</v>
      </c>
      <c r="AR86">
        <v>51.105148843746008</v>
      </c>
      <c r="AS86">
        <v>0</v>
      </c>
      <c r="AT86" s="93">
        <v>2306207</v>
      </c>
    </row>
    <row r="87" spans="1:46" x14ac:dyDescent="0.3">
      <c r="A87" t="s">
        <v>174</v>
      </c>
      <c r="B87">
        <v>597</v>
      </c>
      <c r="C87">
        <v>1571.8799368088469</v>
      </c>
      <c r="D87">
        <v>31</v>
      </c>
      <c r="E87">
        <v>81.621906266456023</v>
      </c>
      <c r="F87">
        <v>5.1926298157453935E-2</v>
      </c>
      <c r="G87">
        <v>37980</v>
      </c>
      <c r="H87">
        <v>814137.96735123731</v>
      </c>
      <c r="I87">
        <v>19132701.421800949</v>
      </c>
      <c r="J87">
        <v>153.68600000000001</v>
      </c>
      <c r="K87">
        <v>247.12725947711567</v>
      </c>
      <c r="L87">
        <v>17804.8</v>
      </c>
      <c r="M87">
        <v>0.626</v>
      </c>
      <c r="N87">
        <v>35.700000000000003</v>
      </c>
      <c r="O87" s="89">
        <v>52511941.311216421</v>
      </c>
      <c r="P87" s="89">
        <v>88660056.319115326</v>
      </c>
      <c r="Q87">
        <v>5.6</v>
      </c>
      <c r="R87">
        <v>4.8</v>
      </c>
      <c r="S87">
        <v>4.5</v>
      </c>
      <c r="T87">
        <v>97.952960517593397</v>
      </c>
      <c r="U87">
        <v>63259.26</v>
      </c>
      <c r="V87">
        <v>31.6</v>
      </c>
      <c r="W87">
        <v>33.11</v>
      </c>
      <c r="X87">
        <v>29.698630136986299</v>
      </c>
      <c r="Y87">
        <v>0.71</v>
      </c>
      <c r="Z87">
        <v>0.68457082680000003</v>
      </c>
      <c r="AA87">
        <v>11.953659821</v>
      </c>
      <c r="AB87">
        <v>1</v>
      </c>
      <c r="AC87">
        <v>0</v>
      </c>
      <c r="AD87">
        <v>7.035765139458916E-3</v>
      </c>
      <c r="AE87">
        <v>1</v>
      </c>
      <c r="AF87">
        <v>0.49530000000000002</v>
      </c>
      <c r="AG87">
        <v>0.47799999999999998</v>
      </c>
      <c r="AH87">
        <v>0.40799999999999997</v>
      </c>
      <c r="AI87">
        <v>0.57599999999999996</v>
      </c>
      <c r="AJ87">
        <v>0.44900000000000001</v>
      </c>
      <c r="AK87">
        <v>0.14826224328593998</v>
      </c>
      <c r="AL87">
        <v>0.1263</v>
      </c>
      <c r="AM87">
        <v>7.4294205052005902</v>
      </c>
      <c r="AN87">
        <v>0.56996726677577725</v>
      </c>
      <c r="AO87">
        <v>9.0468667719852555E-2</v>
      </c>
      <c r="AP87">
        <v>468.667719852554</v>
      </c>
      <c r="AQ87">
        <v>547.65666140073722</v>
      </c>
      <c r="AR87">
        <v>63.191153238546597</v>
      </c>
      <c r="AS87">
        <v>28.962611901000528</v>
      </c>
      <c r="AT87" s="93">
        <v>2306256</v>
      </c>
    </row>
    <row r="88" spans="1:46" x14ac:dyDescent="0.3">
      <c r="A88" t="s">
        <v>455</v>
      </c>
      <c r="B88">
        <v>968</v>
      </c>
      <c r="C88">
        <v>1837.6839107736118</v>
      </c>
      <c r="D88">
        <v>55</v>
      </c>
      <c r="E88">
        <v>104.41385856668249</v>
      </c>
      <c r="F88">
        <v>5.6818181818181816E-2</v>
      </c>
      <c r="G88">
        <v>52675</v>
      </c>
      <c r="H88">
        <v>1762822.0977693403</v>
      </c>
      <c r="I88">
        <v>92547508.305647835</v>
      </c>
      <c r="J88">
        <v>432.18799999999999</v>
      </c>
      <c r="K88">
        <v>121.87983007394931</v>
      </c>
      <c r="L88">
        <v>10664.27</v>
      </c>
      <c r="M88">
        <v>0.623</v>
      </c>
      <c r="N88">
        <v>23.77</v>
      </c>
      <c r="O88" s="89">
        <v>55923961.328903645</v>
      </c>
      <c r="P88" s="89">
        <v>65907587.755102046</v>
      </c>
      <c r="Q88">
        <v>6.2</v>
      </c>
      <c r="R88">
        <v>5.3</v>
      </c>
      <c r="S88">
        <v>4.7</v>
      </c>
      <c r="T88">
        <v>87.330757390129705</v>
      </c>
      <c r="U88">
        <v>41470.39</v>
      </c>
      <c r="V88">
        <v>11.39</v>
      </c>
      <c r="W88">
        <v>30.37</v>
      </c>
      <c r="X88">
        <v>37.612829065144098</v>
      </c>
      <c r="Y88">
        <v>0.49</v>
      </c>
      <c r="Z88">
        <v>0.64546748929999997</v>
      </c>
      <c r="AA88">
        <v>7.4228761272000003</v>
      </c>
      <c r="AB88">
        <v>0</v>
      </c>
      <c r="AC88">
        <v>1</v>
      </c>
      <c r="AD88">
        <v>0.29700103412616341</v>
      </c>
      <c r="AE88">
        <v>1</v>
      </c>
      <c r="AF88">
        <v>0.40500000000000003</v>
      </c>
      <c r="AG88">
        <v>0.38600000000000001</v>
      </c>
      <c r="AH88">
        <v>0.189</v>
      </c>
      <c r="AI88">
        <v>0.44700000000000001</v>
      </c>
      <c r="AJ88">
        <v>0.52200000000000002</v>
      </c>
      <c r="AK88">
        <v>8.7916468913146653E-2</v>
      </c>
      <c r="AL88">
        <v>0.25629999999999997</v>
      </c>
      <c r="AM88">
        <v>5.1347881899871597</v>
      </c>
      <c r="AN88">
        <v>0.89542936288088626</v>
      </c>
      <c r="AO88">
        <v>0.10752728998576175</v>
      </c>
      <c r="AP88">
        <v>298.05410536307545</v>
      </c>
      <c r="AQ88">
        <v>267.67916468913148</v>
      </c>
      <c r="AR88">
        <v>68.343616516373999</v>
      </c>
      <c r="AS88">
        <v>1.8984337921214998</v>
      </c>
      <c r="AT88">
        <v>2306306</v>
      </c>
    </row>
    <row r="89" spans="1:46" x14ac:dyDescent="0.3">
      <c r="A89" t="s">
        <v>176</v>
      </c>
      <c r="B89">
        <v>2193</v>
      </c>
      <c r="C89">
        <v>1695.2952271989361</v>
      </c>
      <c r="D89">
        <v>102</v>
      </c>
      <c r="E89">
        <v>78.850940799950521</v>
      </c>
      <c r="F89">
        <v>4.6511627906976744E-2</v>
      </c>
      <c r="G89">
        <v>129358</v>
      </c>
      <c r="H89">
        <v>16191100.944665192</v>
      </c>
      <c r="I89">
        <v>99100790.055504873</v>
      </c>
      <c r="J89">
        <v>1600.3579999999999</v>
      </c>
      <c r="K89">
        <v>80.830664138898925</v>
      </c>
      <c r="L89">
        <v>12863.49</v>
      </c>
      <c r="M89">
        <v>0.64</v>
      </c>
      <c r="N89">
        <v>35.549999999999997</v>
      </c>
      <c r="O89" s="89">
        <v>51850119.010807224</v>
      </c>
      <c r="P89" s="89">
        <v>78951440.946829736</v>
      </c>
      <c r="Q89">
        <v>6.2</v>
      </c>
      <c r="R89">
        <v>5.3</v>
      </c>
      <c r="S89">
        <v>4.7</v>
      </c>
      <c r="T89">
        <v>98.545160317938794</v>
      </c>
      <c r="U89">
        <v>103808.84</v>
      </c>
      <c r="V89">
        <v>19.329999999999998</v>
      </c>
      <c r="W89">
        <v>29.15</v>
      </c>
      <c r="X89">
        <v>50.041749975103201</v>
      </c>
      <c r="Y89">
        <v>0.46</v>
      </c>
      <c r="Z89">
        <v>1.0822678149</v>
      </c>
      <c r="AA89">
        <v>8.4184975030999993</v>
      </c>
      <c r="AB89">
        <v>0</v>
      </c>
      <c r="AC89">
        <v>0</v>
      </c>
      <c r="AD89">
        <v>0.4235213027183044</v>
      </c>
      <c r="AE89">
        <v>1</v>
      </c>
      <c r="AF89">
        <v>0.46520000000000006</v>
      </c>
      <c r="AG89">
        <v>0.44900000000000001</v>
      </c>
      <c r="AH89">
        <v>0.30099999999999999</v>
      </c>
      <c r="AI89">
        <v>0.48199999999999998</v>
      </c>
      <c r="AJ89">
        <v>0.56399999999999995</v>
      </c>
      <c r="AK89">
        <v>9.2379288486216543E-2</v>
      </c>
      <c r="AL89">
        <v>0.28859999999999997</v>
      </c>
      <c r="AM89">
        <v>10.1694915254237</v>
      </c>
      <c r="AN89">
        <v>0.99417740336967297</v>
      </c>
      <c r="AO89">
        <v>0.10567572164071801</v>
      </c>
      <c r="AP89">
        <v>341.68741013311893</v>
      </c>
      <c r="AQ89">
        <v>462.28296665069035</v>
      </c>
      <c r="AR89">
        <v>35.560228203899257</v>
      </c>
      <c r="AS89">
        <v>6.9574359529368106</v>
      </c>
      <c r="AT89" s="93">
        <v>2306405</v>
      </c>
    </row>
    <row r="90" spans="1:46" x14ac:dyDescent="0.3">
      <c r="A90" t="s">
        <v>457</v>
      </c>
      <c r="B90">
        <v>251</v>
      </c>
      <c r="C90">
        <v>1231.4787557648906</v>
      </c>
      <c r="D90">
        <v>8</v>
      </c>
      <c r="E90">
        <v>39.25031890884113</v>
      </c>
      <c r="F90">
        <v>3.1872509960159362E-2</v>
      </c>
      <c r="G90">
        <v>20382</v>
      </c>
      <c r="H90">
        <v>2640219.1149053085</v>
      </c>
      <c r="I90">
        <v>98286723.579629079</v>
      </c>
      <c r="J90">
        <v>593.23099999999999</v>
      </c>
      <c r="K90">
        <v>34.357611116074516</v>
      </c>
      <c r="L90">
        <v>6523.57</v>
      </c>
      <c r="M90">
        <v>0.60399999999999998</v>
      </c>
      <c r="N90">
        <v>19.46</v>
      </c>
      <c r="O90" s="89">
        <v>54311778.382886857</v>
      </c>
      <c r="P90" s="89">
        <v>85193870.228633106</v>
      </c>
      <c r="Q90">
        <v>6.1</v>
      </c>
      <c r="R90">
        <v>4.7</v>
      </c>
      <c r="S90">
        <v>4</v>
      </c>
      <c r="T90">
        <v>98.471539002108202</v>
      </c>
      <c r="U90">
        <v>10590.4</v>
      </c>
      <c r="V90">
        <v>29.44</v>
      </c>
      <c r="W90">
        <v>32.39</v>
      </c>
      <c r="X90">
        <v>50.672514619883003</v>
      </c>
      <c r="Y90">
        <v>0.54</v>
      </c>
      <c r="Z90">
        <v>1.3737611618000001</v>
      </c>
      <c r="AA90">
        <v>8.4388185654000001</v>
      </c>
      <c r="AB90">
        <v>0</v>
      </c>
      <c r="AC90">
        <v>1</v>
      </c>
      <c r="AD90">
        <v>0.52652206592934603</v>
      </c>
      <c r="AE90">
        <v>1</v>
      </c>
      <c r="AF90">
        <v>0.4879</v>
      </c>
      <c r="AG90">
        <v>0.47499999999999998</v>
      </c>
      <c r="AH90">
        <v>0.377</v>
      </c>
      <c r="AI90">
        <v>0.55400000000000005</v>
      </c>
      <c r="AJ90">
        <v>0.495</v>
      </c>
      <c r="AK90">
        <v>4.0084388185654012E-2</v>
      </c>
      <c r="AL90">
        <v>0.3674</v>
      </c>
      <c r="AM90">
        <v>22.5225225225225</v>
      </c>
      <c r="AN90">
        <v>0.86283185840707977</v>
      </c>
      <c r="AO90">
        <v>0.12761259935236974</v>
      </c>
      <c r="AP90">
        <v>392.50318908841137</v>
      </c>
      <c r="AQ90">
        <v>471.00382690609365</v>
      </c>
      <c r="AR90">
        <v>107.93837699931312</v>
      </c>
      <c r="AS90">
        <v>14.718869590815427</v>
      </c>
      <c r="AT90" s="93">
        <v>2306504</v>
      </c>
    </row>
    <row r="91" spans="1:46" x14ac:dyDescent="0.3">
      <c r="A91" t="s">
        <v>178</v>
      </c>
      <c r="B91">
        <v>1593</v>
      </c>
      <c r="C91">
        <v>3808.635776789557</v>
      </c>
      <c r="D91">
        <v>24</v>
      </c>
      <c r="E91">
        <v>57.380576674795584</v>
      </c>
      <c r="F91">
        <v>1.5065913370998116E-2</v>
      </c>
      <c r="G91">
        <v>41826</v>
      </c>
      <c r="H91">
        <v>8857195.3091378566</v>
      </c>
      <c r="I91">
        <v>109390331.37283029</v>
      </c>
      <c r="J91">
        <v>714.83299999999997</v>
      </c>
      <c r="K91">
        <v>58.511568436264135</v>
      </c>
      <c r="L91">
        <v>17804.2</v>
      </c>
      <c r="M91">
        <v>0.60599999999999998</v>
      </c>
      <c r="N91">
        <v>33.909999999999997</v>
      </c>
      <c r="O91" s="89">
        <v>53232912.422894843</v>
      </c>
      <c r="P91" s="89">
        <v>103006524.60192226</v>
      </c>
      <c r="Q91">
        <v>6.5</v>
      </c>
      <c r="R91">
        <v>4.8</v>
      </c>
      <c r="S91">
        <v>4</v>
      </c>
      <c r="T91">
        <v>95.710594315245501</v>
      </c>
      <c r="U91">
        <v>66286.31</v>
      </c>
      <c r="V91">
        <v>21.52</v>
      </c>
      <c r="W91">
        <v>32.35</v>
      </c>
      <c r="X91">
        <v>60.419282245647302</v>
      </c>
      <c r="Y91">
        <v>0.55000000000000004</v>
      </c>
      <c r="Z91">
        <v>0.74116578200000005</v>
      </c>
      <c r="AA91">
        <v>6.6944006120999999</v>
      </c>
      <c r="AB91">
        <v>0</v>
      </c>
      <c r="AC91">
        <v>0</v>
      </c>
      <c r="AD91">
        <v>0.5746577353153105</v>
      </c>
      <c r="AE91">
        <v>0</v>
      </c>
      <c r="AF91">
        <v>0.54409999999999992</v>
      </c>
      <c r="AG91">
        <v>0.51900000000000002</v>
      </c>
      <c r="AH91">
        <v>0.48799999999999999</v>
      </c>
      <c r="AI91">
        <v>0.54900000000000004</v>
      </c>
      <c r="AJ91">
        <v>0.52</v>
      </c>
      <c r="AK91">
        <v>6.2234017118538709E-2</v>
      </c>
      <c r="AL91">
        <v>0.36329999999999996</v>
      </c>
      <c r="AM91">
        <v>14.064697609001399</v>
      </c>
      <c r="AN91">
        <v>0.86602209944751363</v>
      </c>
      <c r="AO91">
        <v>9.0613493998948025E-2</v>
      </c>
      <c r="AP91">
        <v>212.78630516903362</v>
      </c>
      <c r="AQ91">
        <v>571.414909386506</v>
      </c>
      <c r="AR91">
        <v>47.817147228996319</v>
      </c>
      <c r="AS91">
        <v>9.5634294457992635</v>
      </c>
      <c r="AT91" s="93">
        <v>2306553</v>
      </c>
    </row>
    <row r="92" spans="1:46" x14ac:dyDescent="0.3">
      <c r="A92" t="s">
        <v>179</v>
      </c>
      <c r="B92">
        <v>818</v>
      </c>
      <c r="C92">
        <v>3778.8146163440661</v>
      </c>
      <c r="D92">
        <v>18</v>
      </c>
      <c r="E92">
        <v>83.15239987065182</v>
      </c>
      <c r="F92">
        <v>2.2004889975550123E-2</v>
      </c>
      <c r="G92">
        <v>21647</v>
      </c>
      <c r="H92">
        <v>11742381.854298515</v>
      </c>
      <c r="I92">
        <v>106249364.80805655</v>
      </c>
      <c r="J92">
        <v>829.62599999999998</v>
      </c>
      <c r="K92">
        <v>26.092480226029561</v>
      </c>
      <c r="L92">
        <v>5888.14</v>
      </c>
      <c r="M92">
        <v>0.56200000000000006</v>
      </c>
      <c r="N92">
        <v>21.19</v>
      </c>
      <c r="O92" s="89">
        <v>56490904.328544378</v>
      </c>
      <c r="P92" s="89">
        <v>178948843.90446714</v>
      </c>
      <c r="Q92">
        <v>7.8</v>
      </c>
      <c r="R92">
        <v>5.9</v>
      </c>
      <c r="S92">
        <v>3.9</v>
      </c>
      <c r="T92">
        <v>99.370805369127496</v>
      </c>
      <c r="U92">
        <v>12907.41</v>
      </c>
      <c r="V92">
        <v>18.48</v>
      </c>
      <c r="W92">
        <v>33.93</v>
      </c>
      <c r="X92">
        <v>58.508884411064301</v>
      </c>
      <c r="Y92">
        <v>0.74</v>
      </c>
      <c r="Z92">
        <v>0</v>
      </c>
      <c r="AA92">
        <v>9.1467639857999998</v>
      </c>
      <c r="AB92">
        <v>0</v>
      </c>
      <c r="AC92">
        <v>1</v>
      </c>
      <c r="AD92">
        <v>0.49603048586852971</v>
      </c>
      <c r="AE92">
        <v>0</v>
      </c>
      <c r="AF92">
        <v>0.53869999999999996</v>
      </c>
      <c r="AG92">
        <v>0.56399999999999995</v>
      </c>
      <c r="AH92">
        <v>0.48899999999999999</v>
      </c>
      <c r="AI92">
        <v>0.57799999999999996</v>
      </c>
      <c r="AJ92">
        <v>0.624</v>
      </c>
      <c r="AK92">
        <v>5.8483854575691781E-2</v>
      </c>
      <c r="AL92">
        <v>0.39979999999999999</v>
      </c>
      <c r="AM92">
        <v>15.243902439024399</v>
      </c>
      <c r="AN92">
        <v>0.97779605263157909</v>
      </c>
      <c r="AO92">
        <v>0.12094054603409249</v>
      </c>
      <c r="AP92">
        <v>351.08791056497432</v>
      </c>
      <c r="AQ92">
        <v>452.71862151799326</v>
      </c>
      <c r="AR92">
        <v>36.956622164734142</v>
      </c>
      <c r="AS92">
        <v>23.097888852958839</v>
      </c>
      <c r="AT92" s="93">
        <v>2306603</v>
      </c>
    </row>
    <row r="93" spans="1:46" x14ac:dyDescent="0.3">
      <c r="A93" t="s">
        <v>180</v>
      </c>
      <c r="B93">
        <v>328</v>
      </c>
      <c r="C93">
        <v>1805.9685056711814</v>
      </c>
      <c r="D93">
        <v>6</v>
      </c>
      <c r="E93">
        <v>33.036009250082586</v>
      </c>
      <c r="F93">
        <v>1.8292682926829267E-2</v>
      </c>
      <c r="G93">
        <v>18162</v>
      </c>
      <c r="H93">
        <v>19793131.263076752</v>
      </c>
      <c r="I93">
        <v>104905847.37363726</v>
      </c>
      <c r="J93">
        <v>1826.826</v>
      </c>
      <c r="K93">
        <v>9.9418335407969884</v>
      </c>
      <c r="L93">
        <v>8548.15</v>
      </c>
      <c r="M93">
        <v>0.61199999999999999</v>
      </c>
      <c r="N93">
        <v>18.239999999999998</v>
      </c>
      <c r="O93" s="89">
        <v>72337303.160444885</v>
      </c>
      <c r="P93" s="89">
        <v>85399125.371655107</v>
      </c>
      <c r="Q93">
        <v>6.1</v>
      </c>
      <c r="R93">
        <v>5.3</v>
      </c>
      <c r="S93">
        <v>4.0999999999999996</v>
      </c>
      <c r="T93">
        <v>98.199976773893894</v>
      </c>
      <c r="U93">
        <v>14759.7</v>
      </c>
      <c r="V93">
        <v>22.02</v>
      </c>
      <c r="W93">
        <v>32</v>
      </c>
      <c r="X93">
        <v>53.033559265994398</v>
      </c>
      <c r="Y93">
        <v>0.77</v>
      </c>
      <c r="Z93">
        <v>1.1012003082999999</v>
      </c>
      <c r="AA93">
        <v>10.6265829754</v>
      </c>
      <c r="AB93">
        <v>0</v>
      </c>
      <c r="AC93">
        <v>1</v>
      </c>
      <c r="AD93">
        <v>0.52589150758551195</v>
      </c>
      <c r="AE93">
        <v>1</v>
      </c>
      <c r="AF93">
        <v>0.62950000000000006</v>
      </c>
      <c r="AG93">
        <v>0.42399999999999999</v>
      </c>
      <c r="AH93">
        <v>0.26700000000000002</v>
      </c>
      <c r="AI93">
        <v>0.499</v>
      </c>
      <c r="AJ93">
        <v>0.50700000000000001</v>
      </c>
      <c r="AK93">
        <v>6.2107697390155273E-2</v>
      </c>
      <c r="AL93">
        <v>0.32600000000000001</v>
      </c>
      <c r="AM93">
        <v>18.691588785046701</v>
      </c>
      <c r="AN93">
        <v>1</v>
      </c>
      <c r="AO93">
        <v>0.16341812575707521</v>
      </c>
      <c r="AP93">
        <v>363.39610175090849</v>
      </c>
      <c r="AQ93">
        <v>545.09415262636276</v>
      </c>
      <c r="AR93">
        <v>11.012003083360863</v>
      </c>
      <c r="AS93">
        <v>11.012003083360863</v>
      </c>
      <c r="AT93" s="93">
        <v>2306702</v>
      </c>
    </row>
    <row r="94" spans="1:46" x14ac:dyDescent="0.3">
      <c r="A94" t="s">
        <v>181</v>
      </c>
      <c r="B94">
        <v>211</v>
      </c>
      <c r="C94">
        <v>1850.7148495745987</v>
      </c>
      <c r="D94">
        <v>8</v>
      </c>
      <c r="E94">
        <v>70.169283396193308</v>
      </c>
      <c r="F94">
        <v>3.7914691943127965E-2</v>
      </c>
      <c r="G94">
        <v>11401</v>
      </c>
      <c r="H94">
        <v>4939337.0756951142</v>
      </c>
      <c r="I94">
        <v>91228839.575475827</v>
      </c>
      <c r="J94">
        <v>622.96299999999997</v>
      </c>
      <c r="K94">
        <v>18.301247425609549</v>
      </c>
      <c r="L94">
        <v>11343.44</v>
      </c>
      <c r="M94">
        <v>0.61799999999999999</v>
      </c>
      <c r="N94">
        <v>28.61</v>
      </c>
      <c r="O94" s="89">
        <v>87385052.890097365</v>
      </c>
      <c r="P94" s="89">
        <v>104191720.37540565</v>
      </c>
      <c r="Q94">
        <v>6.2</v>
      </c>
      <c r="R94">
        <v>5.0999999999999996</v>
      </c>
      <c r="S94">
        <v>4</v>
      </c>
      <c r="T94">
        <v>99.810294675603899</v>
      </c>
      <c r="U94">
        <v>13612.3</v>
      </c>
      <c r="V94">
        <v>43.86</v>
      </c>
      <c r="W94">
        <v>29.17</v>
      </c>
      <c r="X94">
        <v>42.507831534980902</v>
      </c>
      <c r="Y94">
        <v>0.7</v>
      </c>
      <c r="Z94">
        <v>3.5961757741000002</v>
      </c>
      <c r="AA94">
        <v>9.8236996755000003</v>
      </c>
      <c r="AB94">
        <v>0</v>
      </c>
      <c r="AC94">
        <v>1</v>
      </c>
      <c r="AD94">
        <v>0.30647177613232041</v>
      </c>
      <c r="AE94">
        <v>1</v>
      </c>
      <c r="AF94">
        <v>0.87370000000000003</v>
      </c>
      <c r="AG94">
        <v>0.39700000000000002</v>
      </c>
      <c r="AH94">
        <v>0.17899999999999999</v>
      </c>
      <c r="AI94">
        <v>0.51500000000000001</v>
      </c>
      <c r="AJ94">
        <v>0.497</v>
      </c>
      <c r="AK94">
        <v>7.1484957459871948E-2</v>
      </c>
      <c r="AL94">
        <v>0.18170000000000003</v>
      </c>
      <c r="AM94">
        <v>13.8888888888889</v>
      </c>
      <c r="AN94">
        <v>0.93978102189781021</v>
      </c>
      <c r="AO94">
        <v>0.14375931935795105</v>
      </c>
      <c r="AP94">
        <v>421.01570037715993</v>
      </c>
      <c r="AQ94">
        <v>596.43890886764325</v>
      </c>
      <c r="AR94">
        <v>26.313481273572496</v>
      </c>
      <c r="AS94">
        <v>26.313481273572496</v>
      </c>
      <c r="AT94" s="93">
        <v>2306801</v>
      </c>
    </row>
    <row r="95" spans="1:46" x14ac:dyDescent="0.3">
      <c r="A95" t="s">
        <v>182</v>
      </c>
      <c r="B95">
        <v>724</v>
      </c>
      <c r="C95">
        <v>2087.5382042558099</v>
      </c>
      <c r="D95">
        <v>19</v>
      </c>
      <c r="E95">
        <v>54.783461161409377</v>
      </c>
      <c r="F95">
        <v>2.6243093922651933E-2</v>
      </c>
      <c r="G95">
        <v>34682</v>
      </c>
      <c r="H95">
        <v>7375387.4632374132</v>
      </c>
      <c r="I95">
        <v>93202237.471887425</v>
      </c>
      <c r="J95">
        <v>1877.0619999999999</v>
      </c>
      <c r="K95">
        <v>18.476747171910144</v>
      </c>
      <c r="L95">
        <v>16763.71</v>
      </c>
      <c r="M95">
        <v>0.621</v>
      </c>
      <c r="N95">
        <v>27.71</v>
      </c>
      <c r="O95" s="89">
        <v>75160700.334467441</v>
      </c>
      <c r="P95" s="89">
        <v>88910397.122426614</v>
      </c>
      <c r="Q95">
        <v>6.3</v>
      </c>
      <c r="R95">
        <v>5.3</v>
      </c>
      <c r="S95">
        <v>4.7</v>
      </c>
      <c r="T95">
        <v>99.483298538622094</v>
      </c>
      <c r="U95">
        <v>54713.86</v>
      </c>
      <c r="V95">
        <v>8.65</v>
      </c>
      <c r="W95">
        <v>33</v>
      </c>
      <c r="X95">
        <v>37.282018708857798</v>
      </c>
      <c r="Y95">
        <v>0.69</v>
      </c>
      <c r="Z95">
        <v>0.86500201830000001</v>
      </c>
      <c r="AA95">
        <v>9.7456894066000004</v>
      </c>
      <c r="AB95">
        <v>0</v>
      </c>
      <c r="AC95">
        <v>1</v>
      </c>
      <c r="AD95">
        <v>0.32378156877561104</v>
      </c>
      <c r="AE95">
        <v>0</v>
      </c>
      <c r="AF95">
        <v>1</v>
      </c>
      <c r="AG95">
        <v>0.42499999999999999</v>
      </c>
      <c r="AH95">
        <v>0.26300000000000001</v>
      </c>
      <c r="AI95">
        <v>0.503</v>
      </c>
      <c r="AJ95">
        <v>0.50800000000000001</v>
      </c>
      <c r="AK95">
        <v>8.2550025950060543E-2</v>
      </c>
      <c r="AL95">
        <v>0.2034</v>
      </c>
      <c r="AM95">
        <v>15.317286652078799</v>
      </c>
      <c r="AN95">
        <v>0.93685831622176607</v>
      </c>
      <c r="AO95">
        <v>0.16654172193068451</v>
      </c>
      <c r="AP95">
        <v>461.33440978028955</v>
      </c>
      <c r="AQ95">
        <v>729.48503546508277</v>
      </c>
      <c r="AR95">
        <v>17.300040366760857</v>
      </c>
      <c r="AS95">
        <v>5.7666801222536188</v>
      </c>
      <c r="AT95" s="93">
        <v>2306900</v>
      </c>
    </row>
    <row r="96" spans="1:46" x14ac:dyDescent="0.3">
      <c r="A96" t="s">
        <v>183</v>
      </c>
      <c r="B96">
        <v>606</v>
      </c>
      <c r="C96">
        <v>1797.952825990209</v>
      </c>
      <c r="D96">
        <v>17</v>
      </c>
      <c r="E96">
        <v>50.437620531078473</v>
      </c>
      <c r="F96">
        <v>2.8052805280528052E-2</v>
      </c>
      <c r="G96">
        <v>33705</v>
      </c>
      <c r="H96">
        <v>4964910.8440884138</v>
      </c>
      <c r="I96">
        <v>107282599.02091677</v>
      </c>
      <c r="J96">
        <v>854.36199999999997</v>
      </c>
      <c r="K96">
        <v>39.450490541480079</v>
      </c>
      <c r="L96">
        <v>11683.11</v>
      </c>
      <c r="M96">
        <v>0.624</v>
      </c>
      <c r="N96">
        <v>27.05</v>
      </c>
      <c r="O96" s="89">
        <v>52876825.604509711</v>
      </c>
      <c r="P96" s="89">
        <v>68261564.278296992</v>
      </c>
      <c r="Q96">
        <v>6.4</v>
      </c>
      <c r="R96">
        <v>5.3</v>
      </c>
      <c r="S96">
        <v>4.5</v>
      </c>
      <c r="T96">
        <v>98.892111368909497</v>
      </c>
      <c r="U96">
        <v>105585.23</v>
      </c>
      <c r="V96">
        <v>20.77</v>
      </c>
      <c r="W96">
        <v>30.36</v>
      </c>
      <c r="X96">
        <v>48.752733936277103</v>
      </c>
      <c r="Y96">
        <v>1.1000000000000001</v>
      </c>
      <c r="Z96">
        <v>0.71206052509999995</v>
      </c>
      <c r="AA96">
        <v>8.4557187360999997</v>
      </c>
      <c r="AB96">
        <v>0</v>
      </c>
      <c r="AC96">
        <v>1</v>
      </c>
      <c r="AD96">
        <v>0.40640898374488149</v>
      </c>
      <c r="AE96">
        <v>1</v>
      </c>
      <c r="AF96">
        <v>0.51829999999999998</v>
      </c>
      <c r="AG96">
        <v>0.42699999999999999</v>
      </c>
      <c r="AH96">
        <v>0.23400000000000001</v>
      </c>
      <c r="AI96">
        <v>0.504</v>
      </c>
      <c r="AJ96">
        <v>0.54400000000000004</v>
      </c>
      <c r="AK96">
        <v>0.10449488206497552</v>
      </c>
      <c r="AL96">
        <v>0.18899999999999997</v>
      </c>
      <c r="AM96">
        <v>10.958904109589</v>
      </c>
      <c r="AN96">
        <v>0.89100985221674878</v>
      </c>
      <c r="AO96">
        <v>0.13273994956237947</v>
      </c>
      <c r="AP96">
        <v>424.26939623201304</v>
      </c>
      <c r="AQ96">
        <v>827.77036048064087</v>
      </c>
      <c r="AR96">
        <v>56.371458240617123</v>
      </c>
      <c r="AS96">
        <v>53.404539385847798</v>
      </c>
      <c r="AT96" s="93">
        <v>2307007</v>
      </c>
    </row>
    <row r="97" spans="1:46" x14ac:dyDescent="0.3">
      <c r="A97" t="s">
        <v>184</v>
      </c>
      <c r="B97">
        <v>105</v>
      </c>
      <c r="C97">
        <v>386.39876352395675</v>
      </c>
      <c r="D97">
        <v>3</v>
      </c>
      <c r="E97">
        <v>11.039964672113049</v>
      </c>
      <c r="F97">
        <v>2.8571428571428571E-2</v>
      </c>
      <c r="G97">
        <v>27174</v>
      </c>
      <c r="H97">
        <v>3430069.5517774345</v>
      </c>
      <c r="I97">
        <v>103258997.57120778</v>
      </c>
      <c r="J97">
        <v>544.98</v>
      </c>
      <c r="K97">
        <v>49.862380270835622</v>
      </c>
      <c r="L97">
        <v>7529.39</v>
      </c>
      <c r="M97">
        <v>0.61399999999999999</v>
      </c>
      <c r="N97">
        <v>19.38</v>
      </c>
      <c r="O97" s="89">
        <v>61094716.493707225</v>
      </c>
      <c r="P97" s="89">
        <v>95136182.122617215</v>
      </c>
      <c r="Q97">
        <v>5.7</v>
      </c>
      <c r="R97">
        <v>4.9000000000000004</v>
      </c>
      <c r="S97">
        <v>4.4000000000000004</v>
      </c>
      <c r="T97">
        <v>99.358586469805203</v>
      </c>
      <c r="U97">
        <v>18774.46</v>
      </c>
      <c r="V97">
        <v>7.36</v>
      </c>
      <c r="W97">
        <v>32.26</v>
      </c>
      <c r="X97">
        <v>53.555792649277102</v>
      </c>
      <c r="Y97">
        <v>0.66</v>
      </c>
      <c r="Z97">
        <v>2.3551924633999999</v>
      </c>
      <c r="AA97">
        <v>8.5375726798000002</v>
      </c>
      <c r="AB97">
        <v>0</v>
      </c>
      <c r="AC97">
        <v>1</v>
      </c>
      <c r="AD97">
        <v>0.66299460431654678</v>
      </c>
      <c r="AE97">
        <v>0</v>
      </c>
      <c r="AF97">
        <v>0.63880000000000003</v>
      </c>
      <c r="AG97">
        <v>0.38600000000000001</v>
      </c>
      <c r="AH97">
        <v>0.189</v>
      </c>
      <c r="AI97">
        <v>0.44700000000000001</v>
      </c>
      <c r="AJ97">
        <v>0.52200000000000002</v>
      </c>
      <c r="AK97">
        <v>5.7849414881872376E-2</v>
      </c>
      <c r="AL97">
        <v>0.29960000000000003</v>
      </c>
      <c r="AM97">
        <v>4.8426150121065401</v>
      </c>
      <c r="AN97">
        <v>0.61590909090909074</v>
      </c>
      <c r="AO97">
        <v>0.13774195922573049</v>
      </c>
      <c r="AP97">
        <v>563.03819827776556</v>
      </c>
      <c r="AQ97">
        <v>853.75726797674247</v>
      </c>
      <c r="AR97">
        <v>147.19952896150733</v>
      </c>
      <c r="AS97">
        <v>33.119894016339146</v>
      </c>
      <c r="AT97" s="93">
        <v>2307106</v>
      </c>
    </row>
    <row r="98" spans="1:46" x14ac:dyDescent="0.3">
      <c r="A98" t="s">
        <v>185</v>
      </c>
      <c r="B98">
        <v>28</v>
      </c>
      <c r="C98">
        <v>345.21020835901862</v>
      </c>
      <c r="D98">
        <v>1</v>
      </c>
      <c r="E98">
        <v>12.328936012822092</v>
      </c>
      <c r="F98">
        <v>3.5714285714285712E-2</v>
      </c>
      <c r="G98">
        <v>8111</v>
      </c>
      <c r="H98">
        <v>5532366.4159783004</v>
      </c>
      <c r="I98">
        <v>89848354.087042287</v>
      </c>
      <c r="J98">
        <v>368.35899999999998</v>
      </c>
      <c r="K98">
        <v>22.019280104463309</v>
      </c>
      <c r="L98">
        <v>12184.14</v>
      </c>
      <c r="M98">
        <v>0.65100000000000002</v>
      </c>
      <c r="N98">
        <v>21.87</v>
      </c>
      <c r="O98" s="89">
        <v>91293253.606213778</v>
      </c>
      <c r="P98" s="89">
        <v>129544305.01787697</v>
      </c>
      <c r="Q98">
        <v>5.6</v>
      </c>
      <c r="R98">
        <v>4.9000000000000004</v>
      </c>
      <c r="S98">
        <v>3.8</v>
      </c>
      <c r="T98">
        <v>98.9350372736954</v>
      </c>
      <c r="U98">
        <v>8368.2900000000009</v>
      </c>
      <c r="V98">
        <v>0</v>
      </c>
      <c r="W98">
        <v>38.89</v>
      </c>
      <c r="X98">
        <v>41.549815498154999</v>
      </c>
      <c r="Y98">
        <v>1.48</v>
      </c>
      <c r="Z98">
        <v>4.0685488842000002</v>
      </c>
      <c r="AA98">
        <v>15.411170016</v>
      </c>
      <c r="AB98">
        <v>0</v>
      </c>
      <c r="AC98">
        <v>1</v>
      </c>
      <c r="AD98">
        <v>0.41396866840731072</v>
      </c>
      <c r="AE98">
        <v>1</v>
      </c>
      <c r="AF98">
        <v>1</v>
      </c>
      <c r="AG98">
        <v>0.38100000000000001</v>
      </c>
      <c r="AH98">
        <v>0.19600000000000001</v>
      </c>
      <c r="AI98">
        <v>0.42</v>
      </c>
      <c r="AJ98">
        <v>0.52700000000000002</v>
      </c>
      <c r="AK98">
        <v>8.235729256565158E-2</v>
      </c>
      <c r="AL98">
        <v>0.2457</v>
      </c>
      <c r="AM98">
        <v>16</v>
      </c>
      <c r="AN98">
        <v>0.91603053435114501</v>
      </c>
      <c r="AO98">
        <v>0.14942670447540377</v>
      </c>
      <c r="AP98">
        <v>530.14424855134996</v>
      </c>
      <c r="AQ98">
        <v>1109.6042411539884</v>
      </c>
      <c r="AR98">
        <v>110.96042411539884</v>
      </c>
      <c r="AS98">
        <v>12.328936012822092</v>
      </c>
      <c r="AT98" s="93">
        <v>2307205</v>
      </c>
    </row>
    <row r="99" spans="1:46" x14ac:dyDescent="0.3">
      <c r="A99" t="s">
        <v>186</v>
      </c>
      <c r="B99">
        <v>582</v>
      </c>
      <c r="C99">
        <v>2937.0205894226888</v>
      </c>
      <c r="D99">
        <v>8</v>
      </c>
      <c r="E99">
        <v>40.371417036737988</v>
      </c>
      <c r="F99">
        <v>1.3745704467353952E-2</v>
      </c>
      <c r="G99">
        <v>19816</v>
      </c>
      <c r="H99">
        <v>3104639.0290674204</v>
      </c>
      <c r="I99">
        <v>110537949.13201453</v>
      </c>
      <c r="J99">
        <v>209.029</v>
      </c>
      <c r="K99">
        <v>94.800243028479301</v>
      </c>
      <c r="L99">
        <v>17740.75</v>
      </c>
      <c r="M99">
        <v>0.65200000000000002</v>
      </c>
      <c r="N99">
        <v>23.69</v>
      </c>
      <c r="O99" s="89">
        <v>96352594.519580141</v>
      </c>
      <c r="P99" s="89">
        <v>129626409.66895437</v>
      </c>
      <c r="Q99">
        <v>8.3000000000000007</v>
      </c>
      <c r="R99">
        <v>7</v>
      </c>
      <c r="S99">
        <v>4.5999999999999996</v>
      </c>
      <c r="T99">
        <v>98.702903026559596</v>
      </c>
      <c r="U99">
        <v>43226.79</v>
      </c>
      <c r="V99">
        <v>35.32</v>
      </c>
      <c r="W99">
        <v>31.25</v>
      </c>
      <c r="X99">
        <v>36.212475730572002</v>
      </c>
      <c r="Y99">
        <v>0.91</v>
      </c>
      <c r="Z99">
        <v>1.2111425111</v>
      </c>
      <c r="AA99">
        <v>10.5974969721</v>
      </c>
      <c r="AB99">
        <v>0</v>
      </c>
      <c r="AC99">
        <v>0</v>
      </c>
      <c r="AD99">
        <v>0.67321491589224802</v>
      </c>
      <c r="AE99">
        <v>0</v>
      </c>
      <c r="AF99">
        <v>0.36380000000000001</v>
      </c>
      <c r="AG99">
        <v>0.40100000000000002</v>
      </c>
      <c r="AH99">
        <v>0.32400000000000001</v>
      </c>
      <c r="AI99">
        <v>0.45400000000000001</v>
      </c>
      <c r="AJ99">
        <v>0.42499999999999999</v>
      </c>
      <c r="AK99">
        <v>0.22522204279370206</v>
      </c>
      <c r="AL99">
        <v>0.21780000000000002</v>
      </c>
      <c r="AM99">
        <v>14.3884892086331</v>
      </c>
      <c r="AN99">
        <v>1</v>
      </c>
      <c r="AO99">
        <v>8.3266047638272098E-2</v>
      </c>
      <c r="AP99">
        <v>252.32135647961243</v>
      </c>
      <c r="AQ99">
        <v>201.85708518368995</v>
      </c>
      <c r="AR99">
        <v>30.278562777553493</v>
      </c>
      <c r="AS99">
        <v>0</v>
      </c>
      <c r="AT99" s="93">
        <v>2307254</v>
      </c>
    </row>
    <row r="100" spans="1:46" x14ac:dyDescent="0.3">
      <c r="A100" t="s">
        <v>187</v>
      </c>
      <c r="B100">
        <v>8995</v>
      </c>
      <c r="C100">
        <v>3280.3684807462978</v>
      </c>
      <c r="D100">
        <v>219</v>
      </c>
      <c r="E100">
        <v>79.86667007042125</v>
      </c>
      <c r="F100">
        <v>2.4346859366314619E-2</v>
      </c>
      <c r="G100">
        <v>274207</v>
      </c>
      <c r="H100">
        <v>4951070.6364170136</v>
      </c>
      <c r="I100">
        <v>85393006.01370497</v>
      </c>
      <c r="J100">
        <v>258.78800000000001</v>
      </c>
      <c r="K100">
        <v>1059.5815880179914</v>
      </c>
      <c r="L100">
        <v>17725.62</v>
      </c>
      <c r="M100">
        <v>0.69399999999999995</v>
      </c>
      <c r="N100">
        <v>32.49</v>
      </c>
      <c r="O100" s="89">
        <v>50112637.82470908</v>
      </c>
      <c r="P100" s="89">
        <v>60637884.058393843</v>
      </c>
      <c r="Q100">
        <v>5.5</v>
      </c>
      <c r="R100">
        <v>5</v>
      </c>
      <c r="S100">
        <v>4.4000000000000004</v>
      </c>
      <c r="T100">
        <v>98.720139773707004</v>
      </c>
      <c r="U100">
        <v>414221.97</v>
      </c>
      <c r="V100">
        <v>27.72</v>
      </c>
      <c r="W100">
        <v>32.479999999999997</v>
      </c>
      <c r="X100">
        <v>26.742174152260201</v>
      </c>
      <c r="Y100">
        <v>0.54</v>
      </c>
      <c r="Z100">
        <v>1.739561718</v>
      </c>
      <c r="AA100">
        <v>9.5037690504000008</v>
      </c>
      <c r="AB100">
        <v>0</v>
      </c>
      <c r="AC100">
        <v>1</v>
      </c>
      <c r="AD100">
        <v>3.925357787300101E-2</v>
      </c>
      <c r="AE100">
        <v>1</v>
      </c>
      <c r="AF100">
        <v>0.42719999999999997</v>
      </c>
      <c r="AG100">
        <v>0.312</v>
      </c>
      <c r="AH100">
        <v>0.129</v>
      </c>
      <c r="AI100">
        <v>0.38300000000000001</v>
      </c>
      <c r="AJ100">
        <v>0.42299999999999999</v>
      </c>
      <c r="AK100">
        <v>0.1845321235417039</v>
      </c>
      <c r="AL100">
        <v>9.64E-2</v>
      </c>
      <c r="AM100">
        <v>12.5210691066699</v>
      </c>
      <c r="AN100">
        <v>0.88524987869966043</v>
      </c>
      <c r="AO100">
        <v>0.11197015393480109</v>
      </c>
      <c r="AP100">
        <v>483.21158832560798</v>
      </c>
      <c r="AQ100">
        <v>488.68190819344511</v>
      </c>
      <c r="AR100">
        <v>50.326942784101064</v>
      </c>
      <c r="AS100">
        <v>34.64535916296812</v>
      </c>
      <c r="AT100" s="93">
        <v>2307304</v>
      </c>
    </row>
    <row r="101" spans="1:46" x14ac:dyDescent="0.3">
      <c r="A101" t="s">
        <v>469</v>
      </c>
      <c r="B101">
        <v>260</v>
      </c>
      <c r="C101">
        <v>1046.9939193814682</v>
      </c>
      <c r="D101">
        <v>6</v>
      </c>
      <c r="E101">
        <v>24.161398139572341</v>
      </c>
      <c r="F101">
        <v>2.3076923076923078E-2</v>
      </c>
      <c r="G101">
        <v>24833</v>
      </c>
      <c r="H101">
        <v>3608912.4149317443</v>
      </c>
      <c r="I101">
        <v>95795111.343776435</v>
      </c>
      <c r="J101">
        <v>940.33600000000001</v>
      </c>
      <c r="K101">
        <v>26.408645420360383</v>
      </c>
      <c r="L101">
        <v>9024.1299999999992</v>
      </c>
      <c r="M101">
        <v>0.59799999999999998</v>
      </c>
      <c r="N101">
        <v>22.89</v>
      </c>
      <c r="O101" s="89">
        <v>60038970.160673298</v>
      </c>
      <c r="P101" s="89">
        <v>89738939.395159677</v>
      </c>
      <c r="Q101">
        <v>6.4</v>
      </c>
      <c r="R101">
        <v>5.5</v>
      </c>
      <c r="S101">
        <v>4.5</v>
      </c>
      <c r="T101">
        <v>93.313165032338802</v>
      </c>
      <c r="U101">
        <v>46441.440000000002</v>
      </c>
      <c r="V101">
        <v>20.13</v>
      </c>
      <c r="W101">
        <v>32.5</v>
      </c>
      <c r="X101">
        <v>49.236702555037802</v>
      </c>
      <c r="Y101">
        <v>0.64</v>
      </c>
      <c r="Z101">
        <v>1.0067249224999999</v>
      </c>
      <c r="AA101">
        <v>7.8121853984999996</v>
      </c>
      <c r="AB101">
        <v>0</v>
      </c>
      <c r="AC101">
        <v>1</v>
      </c>
      <c r="AD101">
        <v>0.40563699752173732</v>
      </c>
      <c r="AE101">
        <v>0</v>
      </c>
      <c r="AF101">
        <v>0.55110000000000003</v>
      </c>
      <c r="AG101">
        <v>0.45700000000000002</v>
      </c>
      <c r="AH101">
        <v>0.192</v>
      </c>
      <c r="AI101">
        <v>0.56299999999999994</v>
      </c>
      <c r="AJ101">
        <v>0.61699999999999999</v>
      </c>
      <c r="AK101">
        <v>6.1289413280715174E-2</v>
      </c>
      <c r="AL101">
        <v>0.27739999999999998</v>
      </c>
      <c r="AM101">
        <v>19.7368421052632</v>
      </c>
      <c r="AN101">
        <v>0.74413489736070371</v>
      </c>
      <c r="AO101">
        <v>0.16083437361575323</v>
      </c>
      <c r="AP101">
        <v>366.44787178351385</v>
      </c>
      <c r="AQ101">
        <v>897.99863085410539</v>
      </c>
      <c r="AR101">
        <v>40.268996899287238</v>
      </c>
      <c r="AS101">
        <v>4.0268996899287233</v>
      </c>
      <c r="AT101" s="93">
        <v>2307403</v>
      </c>
    </row>
    <row r="102" spans="1:46" x14ac:dyDescent="0.3">
      <c r="A102" t="s">
        <v>189</v>
      </c>
      <c r="B102">
        <v>207</v>
      </c>
      <c r="C102">
        <v>656.97600609369044</v>
      </c>
      <c r="D102">
        <v>7</v>
      </c>
      <c r="E102">
        <v>22.216579916211757</v>
      </c>
      <c r="F102">
        <v>3.3816425120772944E-2</v>
      </c>
      <c r="G102">
        <v>31508</v>
      </c>
      <c r="H102">
        <v>6373796.9404595662</v>
      </c>
      <c r="I102">
        <v>93018281.071473911</v>
      </c>
      <c r="J102">
        <v>945.26300000000003</v>
      </c>
      <c r="K102">
        <v>33.332522271579442</v>
      </c>
      <c r="L102">
        <v>8139.37</v>
      </c>
      <c r="M102">
        <v>0.61299999999999999</v>
      </c>
      <c r="N102">
        <v>24.45</v>
      </c>
      <c r="O102" s="89">
        <v>89301294.528373733</v>
      </c>
      <c r="P102" s="89">
        <v>76654478.894249082</v>
      </c>
      <c r="Q102">
        <v>5.3</v>
      </c>
      <c r="R102">
        <v>4.4000000000000004</v>
      </c>
      <c r="S102">
        <v>4.5</v>
      </c>
      <c r="T102">
        <v>99.826086956521706</v>
      </c>
      <c r="U102">
        <v>26264.55</v>
      </c>
      <c r="V102">
        <v>9.52</v>
      </c>
      <c r="W102">
        <v>30.77</v>
      </c>
      <c r="X102">
        <v>48.713959100723997</v>
      </c>
      <c r="Y102">
        <v>0.48</v>
      </c>
      <c r="Z102">
        <v>1.4282087089</v>
      </c>
      <c r="AA102">
        <v>7.7440649993999999</v>
      </c>
      <c r="AB102">
        <v>0</v>
      </c>
      <c r="AC102">
        <v>1</v>
      </c>
      <c r="AD102">
        <v>0.41678996461884849</v>
      </c>
      <c r="AE102">
        <v>1</v>
      </c>
      <c r="AF102">
        <v>0.5363</v>
      </c>
      <c r="AG102">
        <v>0.42099999999999999</v>
      </c>
      <c r="AH102">
        <v>0.20699999999999999</v>
      </c>
      <c r="AI102">
        <v>0.51300000000000001</v>
      </c>
      <c r="AJ102">
        <v>0.54300000000000004</v>
      </c>
      <c r="AK102">
        <v>4.8114764504252887E-2</v>
      </c>
      <c r="AL102">
        <v>0.314</v>
      </c>
      <c r="AM102">
        <v>17.1428571428571</v>
      </c>
      <c r="AN102">
        <v>0.94328358208955221</v>
      </c>
      <c r="AO102">
        <v>0.16757648851085438</v>
      </c>
      <c r="AP102">
        <v>396.72464136092424</v>
      </c>
      <c r="AQ102">
        <v>2754.8559096102576</v>
      </c>
      <c r="AR102">
        <v>107.90910245017139</v>
      </c>
      <c r="AS102">
        <v>82.518725403072239</v>
      </c>
      <c r="AT102" s="93">
        <v>2307502</v>
      </c>
    </row>
    <row r="103" spans="1:46" x14ac:dyDescent="0.3">
      <c r="A103" t="s">
        <v>190</v>
      </c>
      <c r="B103">
        <v>1052</v>
      </c>
      <c r="C103">
        <v>1766.879408800806</v>
      </c>
      <c r="D103">
        <v>33</v>
      </c>
      <c r="E103">
        <v>55.424924420557602</v>
      </c>
      <c r="F103">
        <v>3.1368821292775663E-2</v>
      </c>
      <c r="G103">
        <v>59540</v>
      </c>
      <c r="H103">
        <v>12257148.757138059</v>
      </c>
      <c r="I103">
        <v>90956331.877729252</v>
      </c>
      <c r="J103">
        <v>744.52499999999998</v>
      </c>
      <c r="K103">
        <v>79.970450958664927</v>
      </c>
      <c r="L103">
        <v>15961.09</v>
      </c>
      <c r="M103">
        <v>0.68200000000000005</v>
      </c>
      <c r="N103">
        <v>40.07</v>
      </c>
      <c r="O103" s="89">
        <v>75274869.247564659</v>
      </c>
      <c r="P103" s="89">
        <v>65392630.836412489</v>
      </c>
      <c r="Q103">
        <v>6.4</v>
      </c>
      <c r="R103">
        <v>5.6</v>
      </c>
      <c r="S103">
        <v>5.0999999999999996</v>
      </c>
      <c r="T103">
        <v>94.387302713246996</v>
      </c>
      <c r="U103">
        <v>193266.86</v>
      </c>
      <c r="V103">
        <v>26.87</v>
      </c>
      <c r="W103">
        <v>31</v>
      </c>
      <c r="X103">
        <v>33.673401235598597</v>
      </c>
      <c r="Y103">
        <v>0.59</v>
      </c>
      <c r="Z103">
        <v>4.6691299965999997</v>
      </c>
      <c r="AA103">
        <v>9.6573731944999999</v>
      </c>
      <c r="AB103">
        <v>0</v>
      </c>
      <c r="AC103">
        <v>1</v>
      </c>
      <c r="AD103">
        <v>0.42266813593061281</v>
      </c>
      <c r="AE103">
        <v>1</v>
      </c>
      <c r="AF103">
        <v>0.71930000000000005</v>
      </c>
      <c r="AG103">
        <v>0.30199999999999999</v>
      </c>
      <c r="AH103">
        <v>0.126</v>
      </c>
      <c r="AI103">
        <v>0.38200000000000001</v>
      </c>
      <c r="AJ103">
        <v>0.39800000000000002</v>
      </c>
      <c r="AK103">
        <v>0.11854215653342291</v>
      </c>
      <c r="AL103">
        <v>0.1048</v>
      </c>
      <c r="AM103">
        <v>16.528925619834698</v>
      </c>
      <c r="AN103">
        <v>0.75598991172761643</v>
      </c>
      <c r="AO103">
        <v>0.13212966073228083</v>
      </c>
      <c r="AP103">
        <v>822.97615048706757</v>
      </c>
      <c r="AQ103">
        <v>923.74874034262689</v>
      </c>
      <c r="AR103">
        <v>65.502183406113531</v>
      </c>
      <c r="AS103">
        <v>21.834061135371179</v>
      </c>
      <c r="AT103" s="93">
        <v>2307601</v>
      </c>
    </row>
    <row r="104" spans="1:46" x14ac:dyDescent="0.3">
      <c r="A104" t="s">
        <v>191</v>
      </c>
      <c r="B104">
        <v>358</v>
      </c>
      <c r="C104">
        <v>1818.0894825046976</v>
      </c>
      <c r="D104">
        <v>16</v>
      </c>
      <c r="E104">
        <v>81.255395866131735</v>
      </c>
      <c r="F104">
        <v>4.4692737430167599E-2</v>
      </c>
      <c r="G104">
        <v>19691</v>
      </c>
      <c r="H104">
        <v>6704248.2352343714</v>
      </c>
      <c r="I104">
        <v>88331725.153623477</v>
      </c>
      <c r="J104">
        <v>997.78099999999995</v>
      </c>
      <c r="K104">
        <v>19.7347915023437</v>
      </c>
      <c r="L104">
        <v>6435.63</v>
      </c>
      <c r="M104">
        <v>0.61</v>
      </c>
      <c r="N104">
        <v>15.59</v>
      </c>
      <c r="O104" s="89">
        <v>58036853.791072063</v>
      </c>
      <c r="P104" s="89">
        <v>86585633.741303131</v>
      </c>
      <c r="Q104">
        <v>5.3</v>
      </c>
      <c r="R104">
        <v>4.2</v>
      </c>
      <c r="S104">
        <v>4.0999999999999996</v>
      </c>
      <c r="T104">
        <v>96.354709120666598</v>
      </c>
      <c r="U104">
        <v>13723.01</v>
      </c>
      <c r="V104">
        <v>20.309999999999999</v>
      </c>
      <c r="W104">
        <v>32.729999999999997</v>
      </c>
      <c r="X104">
        <v>47.296616995569899</v>
      </c>
      <c r="Y104">
        <v>0.56000000000000005</v>
      </c>
      <c r="Z104">
        <v>1.218830938</v>
      </c>
      <c r="AA104">
        <v>8.2271088314000007</v>
      </c>
      <c r="AB104">
        <v>0</v>
      </c>
      <c r="AC104">
        <v>1</v>
      </c>
      <c r="AD104">
        <v>0.50713180008845649</v>
      </c>
      <c r="AE104">
        <v>1</v>
      </c>
      <c r="AF104">
        <v>0.69579999999999997</v>
      </c>
      <c r="AG104">
        <v>0.44600000000000001</v>
      </c>
      <c r="AH104">
        <v>0.317</v>
      </c>
      <c r="AI104">
        <v>0.5</v>
      </c>
      <c r="AJ104">
        <v>0.52100000000000002</v>
      </c>
      <c r="AK104">
        <v>6.1043116144431468E-2</v>
      </c>
      <c r="AL104">
        <v>0.32119999999999999</v>
      </c>
      <c r="AM104">
        <v>5.0505050505050502</v>
      </c>
      <c r="AN104">
        <v>0.88445378151260512</v>
      </c>
      <c r="AO104">
        <v>0.12244172464577725</v>
      </c>
      <c r="AP104">
        <v>269.15849880656134</v>
      </c>
      <c r="AQ104">
        <v>248.84464984002841</v>
      </c>
      <c r="AR104">
        <v>25.39231120816617</v>
      </c>
      <c r="AS104">
        <v>15.235386724899699</v>
      </c>
      <c r="AT104" s="93">
        <v>2307635</v>
      </c>
    </row>
    <row r="105" spans="1:46" x14ac:dyDescent="0.3">
      <c r="A105" t="s">
        <v>474</v>
      </c>
      <c r="B105">
        <v>5236</v>
      </c>
      <c r="C105">
        <v>2297.6400480942225</v>
      </c>
      <c r="D105">
        <v>231</v>
      </c>
      <c r="E105">
        <v>101.36647271003923</v>
      </c>
      <c r="F105">
        <v>4.4117647058823532E-2</v>
      </c>
      <c r="G105">
        <v>227886</v>
      </c>
      <c r="H105">
        <v>10572645.199792877</v>
      </c>
      <c r="I105">
        <v>88808878.123272166</v>
      </c>
      <c r="J105">
        <v>105.071</v>
      </c>
      <c r="K105">
        <v>2168.8762836558139</v>
      </c>
      <c r="L105">
        <v>46240.54</v>
      </c>
      <c r="M105">
        <v>0.68600000000000005</v>
      </c>
      <c r="N105">
        <v>51.26</v>
      </c>
      <c r="O105" s="89">
        <v>110281936.56477363</v>
      </c>
      <c r="P105" s="89">
        <v>89997883.332016885</v>
      </c>
      <c r="Q105">
        <v>6</v>
      </c>
      <c r="R105">
        <v>5.3</v>
      </c>
      <c r="S105">
        <v>4.2</v>
      </c>
      <c r="T105">
        <v>99.118131222074197</v>
      </c>
      <c r="U105">
        <v>540792.91</v>
      </c>
      <c r="V105">
        <v>51.34</v>
      </c>
      <c r="W105">
        <v>31.87</v>
      </c>
      <c r="X105">
        <v>26.101944582450798</v>
      </c>
      <c r="Y105">
        <v>0.25</v>
      </c>
      <c r="Z105">
        <v>1.3603292874999999</v>
      </c>
      <c r="AA105">
        <v>9.0483838409999997</v>
      </c>
      <c r="AB105">
        <v>1</v>
      </c>
      <c r="AC105">
        <v>0</v>
      </c>
      <c r="AD105">
        <v>6.8019726677413335E-3</v>
      </c>
      <c r="AE105">
        <v>1</v>
      </c>
      <c r="AF105">
        <v>0.72099999999999997</v>
      </c>
      <c r="AG105">
        <v>0.34399999999999997</v>
      </c>
      <c r="AH105">
        <v>0.27900000000000003</v>
      </c>
      <c r="AI105">
        <v>0.377</v>
      </c>
      <c r="AJ105">
        <v>0.377</v>
      </c>
      <c r="AK105">
        <v>0.27368947631710594</v>
      </c>
      <c r="AL105">
        <v>7.0499999999999993E-2</v>
      </c>
      <c r="AM105">
        <v>7.9225352112676104</v>
      </c>
      <c r="AN105">
        <v>0.64756787330316723</v>
      </c>
      <c r="AO105">
        <v>0.10458738141000325</v>
      </c>
      <c r="AP105">
        <v>372.99351430101012</v>
      </c>
      <c r="AQ105">
        <v>345.34811265281763</v>
      </c>
      <c r="AR105">
        <v>79.864493650333941</v>
      </c>
      <c r="AS105">
        <v>12.286845176974451</v>
      </c>
      <c r="AT105" s="93">
        <v>2307650</v>
      </c>
    </row>
    <row r="106" spans="1:46" x14ac:dyDescent="0.3">
      <c r="A106" t="s">
        <v>193</v>
      </c>
      <c r="B106">
        <v>4077</v>
      </c>
      <c r="C106">
        <v>3161.0042022670532</v>
      </c>
      <c r="D106">
        <v>106</v>
      </c>
      <c r="E106">
        <v>82.1845586068942</v>
      </c>
      <c r="F106">
        <v>2.5999509443218053E-2</v>
      </c>
      <c r="G106">
        <v>128978</v>
      </c>
      <c r="H106">
        <v>7839578.6258121543</v>
      </c>
      <c r="I106">
        <v>80152274.031230122</v>
      </c>
      <c r="J106">
        <v>583.505</v>
      </c>
      <c r="K106">
        <v>221.04009391521924</v>
      </c>
      <c r="L106">
        <v>11788.59</v>
      </c>
      <c r="M106">
        <v>0.65900000000000003</v>
      </c>
      <c r="N106">
        <v>32.659999999999997</v>
      </c>
      <c r="O106" s="89">
        <v>45797730.721518397</v>
      </c>
      <c r="P106" s="89">
        <v>58857797.903518431</v>
      </c>
      <c r="Q106">
        <v>6.1</v>
      </c>
      <c r="R106">
        <v>5</v>
      </c>
      <c r="S106">
        <v>4.3</v>
      </c>
      <c r="T106">
        <v>99.097915313293598</v>
      </c>
      <c r="U106">
        <v>132705.18</v>
      </c>
      <c r="V106">
        <v>44.97</v>
      </c>
      <c r="W106">
        <v>32.1</v>
      </c>
      <c r="X106">
        <v>31.9756647691529</v>
      </c>
      <c r="Y106">
        <v>0.37</v>
      </c>
      <c r="Z106">
        <v>0.3954162725</v>
      </c>
      <c r="AA106">
        <v>5.9389973484</v>
      </c>
      <c r="AB106">
        <v>1</v>
      </c>
      <c r="AC106">
        <v>0</v>
      </c>
      <c r="AD106">
        <v>0.2399767525823126</v>
      </c>
      <c r="AE106">
        <v>0</v>
      </c>
      <c r="AF106">
        <v>1</v>
      </c>
      <c r="AG106">
        <v>0.38300000000000001</v>
      </c>
      <c r="AH106">
        <v>0.27400000000000002</v>
      </c>
      <c r="AI106">
        <v>0.47</v>
      </c>
      <c r="AJ106">
        <v>0.40400000000000003</v>
      </c>
      <c r="AK106">
        <v>0.11846981655786258</v>
      </c>
      <c r="AL106">
        <v>0.1195</v>
      </c>
      <c r="AM106">
        <v>11.8733509234828</v>
      </c>
      <c r="AN106">
        <v>0.93647675180091683</v>
      </c>
      <c r="AO106">
        <v>0.10378514165206469</v>
      </c>
      <c r="AP106">
        <v>262.83552233714278</v>
      </c>
      <c r="AQ106">
        <v>258.9588922141761</v>
      </c>
      <c r="AR106">
        <v>55.048147746127249</v>
      </c>
      <c r="AS106">
        <v>6.2026081967467324</v>
      </c>
      <c r="AT106" s="93">
        <v>2307700</v>
      </c>
    </row>
    <row r="107" spans="1:46" x14ac:dyDescent="0.3">
      <c r="A107" t="s">
        <v>194</v>
      </c>
      <c r="B107">
        <v>408</v>
      </c>
      <c r="C107">
        <v>1491.1735682175358</v>
      </c>
      <c r="D107">
        <v>13</v>
      </c>
      <c r="E107">
        <v>47.512883301048937</v>
      </c>
      <c r="F107">
        <v>3.1862745098039214E-2</v>
      </c>
      <c r="G107">
        <v>27361</v>
      </c>
      <c r="H107">
        <v>2404458.5724205989</v>
      </c>
      <c r="I107">
        <v>107232922.77329044</v>
      </c>
      <c r="J107">
        <v>573.61</v>
      </c>
      <c r="K107">
        <v>47.699656561078086</v>
      </c>
      <c r="L107">
        <v>11895.32</v>
      </c>
      <c r="M107">
        <v>0.61199999999999999</v>
      </c>
      <c r="N107">
        <v>27.61</v>
      </c>
      <c r="O107" s="89">
        <v>51288525.236650705</v>
      </c>
      <c r="P107" s="89">
        <v>102787035.92704944</v>
      </c>
      <c r="Q107">
        <v>6</v>
      </c>
      <c r="R107">
        <v>5</v>
      </c>
      <c r="S107">
        <v>4.5</v>
      </c>
      <c r="T107">
        <v>99.516731346562196</v>
      </c>
      <c r="U107">
        <v>59783.42</v>
      </c>
      <c r="V107">
        <v>36.549999999999997</v>
      </c>
      <c r="W107">
        <v>28.75</v>
      </c>
      <c r="X107">
        <v>54.1112520384128</v>
      </c>
      <c r="Y107">
        <v>0.51</v>
      </c>
      <c r="Z107">
        <v>1.2426446402</v>
      </c>
      <c r="AA107">
        <v>8.0771901612000008</v>
      </c>
      <c r="AB107">
        <v>0</v>
      </c>
      <c r="AC107">
        <v>0</v>
      </c>
      <c r="AD107">
        <v>0.37517710399546611</v>
      </c>
      <c r="AE107">
        <v>1</v>
      </c>
      <c r="AF107">
        <v>0.5907</v>
      </c>
      <c r="AG107">
        <v>0.44</v>
      </c>
      <c r="AH107">
        <v>0.23599999999999999</v>
      </c>
      <c r="AI107">
        <v>0.55300000000000005</v>
      </c>
      <c r="AJ107">
        <v>0.53</v>
      </c>
      <c r="AK107">
        <v>0.1243741091334381</v>
      </c>
      <c r="AL107">
        <v>0.23760000000000001</v>
      </c>
      <c r="AM107">
        <v>13.1086142322097</v>
      </c>
      <c r="AN107">
        <v>0.97244897959183674</v>
      </c>
      <c r="AO107">
        <v>9.0274478271992989E-2</v>
      </c>
      <c r="AP107">
        <v>233.90957932824091</v>
      </c>
      <c r="AQ107">
        <v>614.01264573663241</v>
      </c>
      <c r="AR107">
        <v>62.132232009063998</v>
      </c>
      <c r="AS107">
        <v>7.3096743540075284</v>
      </c>
      <c r="AT107" s="93">
        <v>2307809</v>
      </c>
    </row>
    <row r="108" spans="1:46" x14ac:dyDescent="0.3">
      <c r="A108" t="s">
        <v>478</v>
      </c>
      <c r="B108">
        <v>145</v>
      </c>
      <c r="C108">
        <v>1290.8394907860768</v>
      </c>
      <c r="D108">
        <v>6</v>
      </c>
      <c r="E108">
        <v>53.414047894596273</v>
      </c>
      <c r="F108">
        <v>4.1379310344827586E-2</v>
      </c>
      <c r="G108">
        <v>11233</v>
      </c>
      <c r="H108">
        <v>4938782.7828718945</v>
      </c>
      <c r="I108">
        <v>111053146.97765511</v>
      </c>
      <c r="J108">
        <v>303.44499999999999</v>
      </c>
      <c r="K108">
        <v>37.018240537823992</v>
      </c>
      <c r="L108">
        <v>6793.18</v>
      </c>
      <c r="M108">
        <v>0.59899999999999998</v>
      </c>
      <c r="N108">
        <v>15.78</v>
      </c>
      <c r="O108" s="89">
        <v>54977235.021810733</v>
      </c>
      <c r="P108" s="89">
        <v>131221711.7421882</v>
      </c>
      <c r="Q108">
        <v>8.6</v>
      </c>
      <c r="R108">
        <v>5.6</v>
      </c>
      <c r="S108">
        <v>4.0999999999999996</v>
      </c>
      <c r="T108">
        <v>95.3327276856689</v>
      </c>
      <c r="U108">
        <v>9185.91</v>
      </c>
      <c r="V108">
        <v>8.9</v>
      </c>
      <c r="W108">
        <v>28.26</v>
      </c>
      <c r="X108">
        <v>57.009098136207101</v>
      </c>
      <c r="Y108">
        <v>0.53</v>
      </c>
      <c r="Z108">
        <v>0.80121071840000002</v>
      </c>
      <c r="AA108">
        <v>8.1901540105000006</v>
      </c>
      <c r="AB108">
        <v>0</v>
      </c>
      <c r="AC108">
        <v>0</v>
      </c>
      <c r="AD108">
        <v>0.21607597415312316</v>
      </c>
      <c r="AE108">
        <v>1</v>
      </c>
      <c r="AF108">
        <v>0.54449999999999998</v>
      </c>
      <c r="AG108">
        <v>0.42599999999999999</v>
      </c>
      <c r="AH108">
        <v>0.19600000000000001</v>
      </c>
      <c r="AI108">
        <v>0.56899999999999995</v>
      </c>
      <c r="AJ108">
        <v>0.51300000000000001</v>
      </c>
      <c r="AK108">
        <v>7.4868690465592455E-2</v>
      </c>
      <c r="AL108">
        <v>0.37549999999999994</v>
      </c>
      <c r="AM108">
        <v>5.81395348837209</v>
      </c>
      <c r="AN108">
        <v>0.89403973509933754</v>
      </c>
      <c r="AO108">
        <v>0.12347547404967507</v>
      </c>
      <c r="AP108">
        <v>195.85150894685304</v>
      </c>
      <c r="AQ108">
        <v>249.2655568414493</v>
      </c>
      <c r="AR108">
        <v>26.707023947298136</v>
      </c>
      <c r="AS108">
        <v>0</v>
      </c>
      <c r="AT108" s="93">
        <v>2307908</v>
      </c>
    </row>
    <row r="109" spans="1:46" x14ac:dyDescent="0.3">
      <c r="A109" t="s">
        <v>480</v>
      </c>
      <c r="B109">
        <v>856</v>
      </c>
      <c r="C109">
        <v>2209.7736014662983</v>
      </c>
      <c r="D109">
        <v>50</v>
      </c>
      <c r="E109">
        <v>129.07556083331181</v>
      </c>
      <c r="F109">
        <v>5.8411214953271028E-2</v>
      </c>
      <c r="G109">
        <v>38737</v>
      </c>
      <c r="H109">
        <v>1782188.6310246019</v>
      </c>
      <c r="I109">
        <v>90961096.625964835</v>
      </c>
      <c r="J109">
        <v>567.78</v>
      </c>
      <c r="K109">
        <v>68.22536898094333</v>
      </c>
      <c r="L109">
        <v>7143.58</v>
      </c>
      <c r="M109">
        <v>0.61599999999999999</v>
      </c>
      <c r="N109">
        <v>21.18</v>
      </c>
      <c r="O109" s="89">
        <v>40548430.079768695</v>
      </c>
      <c r="P109" s="89">
        <v>94198071.843457177</v>
      </c>
      <c r="Q109">
        <v>7</v>
      </c>
      <c r="R109">
        <v>4.9000000000000004</v>
      </c>
      <c r="S109">
        <v>4.2</v>
      </c>
      <c r="T109">
        <v>98.435096281364395</v>
      </c>
      <c r="U109">
        <v>26742.45</v>
      </c>
      <c r="V109">
        <v>5.16</v>
      </c>
      <c r="W109">
        <v>28.81</v>
      </c>
      <c r="X109">
        <v>41.107468497080198</v>
      </c>
      <c r="Y109">
        <v>0.41</v>
      </c>
      <c r="Z109">
        <v>0.77445336499999995</v>
      </c>
      <c r="AA109">
        <v>6.3763327052000003</v>
      </c>
      <c r="AB109">
        <v>0</v>
      </c>
      <c r="AC109">
        <v>1</v>
      </c>
      <c r="AD109">
        <v>0.31849052314512233</v>
      </c>
      <c r="AE109">
        <v>1</v>
      </c>
      <c r="AF109">
        <v>0.53920000000000001</v>
      </c>
      <c r="AG109">
        <v>0.435</v>
      </c>
      <c r="AH109">
        <v>0.33</v>
      </c>
      <c r="AI109">
        <v>0.41899999999999998</v>
      </c>
      <c r="AJ109">
        <v>0.55500000000000005</v>
      </c>
      <c r="AK109">
        <v>5.9658724217156726E-2</v>
      </c>
      <c r="AL109">
        <v>0.23089999999999999</v>
      </c>
      <c r="AM109">
        <v>12.9032258064516</v>
      </c>
      <c r="AN109">
        <v>0.85385338345864659</v>
      </c>
      <c r="AO109">
        <v>0.1084492862121486</v>
      </c>
      <c r="AP109">
        <v>314.94436843328083</v>
      </c>
      <c r="AQ109">
        <v>433.6938843999277</v>
      </c>
      <c r="AR109">
        <v>25.815112166662363</v>
      </c>
      <c r="AS109">
        <v>18.070578516663655</v>
      </c>
      <c r="AT109" s="93">
        <v>2308005</v>
      </c>
    </row>
    <row r="110" spans="1:46" x14ac:dyDescent="0.3">
      <c r="A110" t="s">
        <v>197</v>
      </c>
      <c r="B110">
        <v>554</v>
      </c>
      <c r="C110">
        <v>1155.0811058754848</v>
      </c>
      <c r="D110">
        <v>18</v>
      </c>
      <c r="E110">
        <v>37.529711021225133</v>
      </c>
      <c r="F110">
        <v>3.2490974729241874E-2</v>
      </c>
      <c r="G110">
        <v>47962</v>
      </c>
      <c r="H110">
        <v>2639064.4260039199</v>
      </c>
      <c r="I110">
        <v>99287352.487385854</v>
      </c>
      <c r="J110">
        <v>1079.01</v>
      </c>
      <c r="K110">
        <v>44.450005097265084</v>
      </c>
      <c r="L110">
        <v>8624.33</v>
      </c>
      <c r="M110">
        <v>0.60499999999999998</v>
      </c>
      <c r="N110">
        <v>23.64</v>
      </c>
      <c r="O110" s="89">
        <v>46505695.779992491</v>
      </c>
      <c r="P110" s="89">
        <v>87870653.892665029</v>
      </c>
      <c r="Q110">
        <v>5.6</v>
      </c>
      <c r="R110">
        <v>4.8</v>
      </c>
      <c r="S110">
        <v>4.5</v>
      </c>
      <c r="T110">
        <v>91.504918904546699</v>
      </c>
      <c r="U110">
        <v>44228.58</v>
      </c>
      <c r="V110">
        <v>16.68</v>
      </c>
      <c r="W110">
        <v>31.43</v>
      </c>
      <c r="X110">
        <v>51.557050323866498</v>
      </c>
      <c r="Y110">
        <v>0.75</v>
      </c>
      <c r="Z110">
        <v>1.5011884408</v>
      </c>
      <c r="AA110">
        <v>6.5051499103000001</v>
      </c>
      <c r="AB110">
        <v>0</v>
      </c>
      <c r="AC110">
        <v>1</v>
      </c>
      <c r="AD110">
        <v>0.47366636528028933</v>
      </c>
      <c r="AE110">
        <v>0</v>
      </c>
      <c r="AF110">
        <v>0.57590000000000008</v>
      </c>
      <c r="AG110">
        <v>0.432</v>
      </c>
      <c r="AH110">
        <v>0.28599999999999998</v>
      </c>
      <c r="AI110">
        <v>0.47299999999999998</v>
      </c>
      <c r="AJ110">
        <v>0.53600000000000003</v>
      </c>
      <c r="AK110">
        <v>5.5085275843376004E-2</v>
      </c>
      <c r="AL110">
        <v>0.32880000000000004</v>
      </c>
      <c r="AM110">
        <v>12.6227208976157</v>
      </c>
      <c r="AN110">
        <v>0.88038942976356049</v>
      </c>
      <c r="AO110">
        <v>0.12472373962720487</v>
      </c>
      <c r="AP110">
        <v>481.63129143905593</v>
      </c>
      <c r="AQ110">
        <v>1040.4069888661859</v>
      </c>
      <c r="AR110">
        <v>70.88945415120304</v>
      </c>
      <c r="AS110">
        <v>37.529711021225133</v>
      </c>
      <c r="AT110" s="93">
        <v>2308104</v>
      </c>
    </row>
    <row r="111" spans="1:46" x14ac:dyDescent="0.3">
      <c r="A111" t="s">
        <v>198</v>
      </c>
      <c r="B111">
        <v>464</v>
      </c>
      <c r="C111">
        <v>3081.6231653051736</v>
      </c>
      <c r="D111">
        <v>14</v>
      </c>
      <c r="E111">
        <v>92.980009298000923</v>
      </c>
      <c r="F111">
        <v>3.017241379310345E-2</v>
      </c>
      <c r="G111">
        <v>15057</v>
      </c>
      <c r="H111">
        <v>2586023.9755595406</v>
      </c>
      <c r="I111">
        <v>87511456.465431362</v>
      </c>
      <c r="J111">
        <v>151.65100000000001</v>
      </c>
      <c r="K111">
        <v>99.287179115205305</v>
      </c>
      <c r="L111">
        <v>6681.85</v>
      </c>
      <c r="M111">
        <v>0.61799999999999999</v>
      </c>
      <c r="N111">
        <v>32.74</v>
      </c>
      <c r="O111" s="89">
        <v>58634538.487082422</v>
      </c>
      <c r="P111" s="89">
        <v>120497044.89606163</v>
      </c>
      <c r="Q111">
        <v>7.5</v>
      </c>
      <c r="R111">
        <v>5.9</v>
      </c>
      <c r="S111">
        <v>4.4000000000000004</v>
      </c>
      <c r="T111">
        <v>98.813888289842595</v>
      </c>
      <c r="U111">
        <v>11552.91</v>
      </c>
      <c r="V111">
        <v>13.28</v>
      </c>
      <c r="W111">
        <v>32.35</v>
      </c>
      <c r="X111">
        <v>42.2983207112282</v>
      </c>
      <c r="Y111">
        <v>0.93</v>
      </c>
      <c r="Z111">
        <v>1.3282858471000001</v>
      </c>
      <c r="AA111">
        <v>8.1025436674000009</v>
      </c>
      <c r="AB111">
        <v>0</v>
      </c>
      <c r="AC111">
        <v>0</v>
      </c>
      <c r="AD111">
        <v>0.4581172862046301</v>
      </c>
      <c r="AE111">
        <v>1</v>
      </c>
      <c r="AF111">
        <v>0.44939999999999997</v>
      </c>
      <c r="AG111">
        <v>0.46800000000000003</v>
      </c>
      <c r="AH111">
        <v>0.41</v>
      </c>
      <c r="AI111">
        <v>0.495</v>
      </c>
      <c r="AJ111">
        <v>0.499</v>
      </c>
      <c r="AK111">
        <v>7.4716078900179325E-2</v>
      </c>
      <c r="AL111">
        <v>0.1943</v>
      </c>
      <c r="AM111">
        <v>20.242914979757099</v>
      </c>
      <c r="AN111">
        <v>0.95990566037735847</v>
      </c>
      <c r="AO111">
        <v>0.13654778508334994</v>
      </c>
      <c r="AP111">
        <v>398.48575413428972</v>
      </c>
      <c r="AQ111">
        <v>391.84432489871824</v>
      </c>
      <c r="AR111">
        <v>19.924287706714484</v>
      </c>
      <c r="AS111">
        <v>13.282858471142989</v>
      </c>
      <c r="AT111" s="93">
        <v>2308203</v>
      </c>
    </row>
    <row r="112" spans="1:46" x14ac:dyDescent="0.3">
      <c r="A112" t="s">
        <v>199</v>
      </c>
      <c r="B112">
        <v>153</v>
      </c>
      <c r="C112">
        <v>556.12096539691765</v>
      </c>
      <c r="D112">
        <v>6</v>
      </c>
      <c r="E112">
        <v>21.808665309683047</v>
      </c>
      <c r="F112">
        <v>3.9215686274509803E-2</v>
      </c>
      <c r="G112">
        <v>27512</v>
      </c>
      <c r="H112">
        <v>5537924.4329747017</v>
      </c>
      <c r="I112">
        <v>102751526.60657167</v>
      </c>
      <c r="J112">
        <v>579.09699999999998</v>
      </c>
      <c r="K112">
        <v>47.508448498265402</v>
      </c>
      <c r="L112">
        <v>7955.64</v>
      </c>
      <c r="M112">
        <v>0.628</v>
      </c>
      <c r="N112">
        <v>22.38</v>
      </c>
      <c r="O112" s="89">
        <v>61891429.957836576</v>
      </c>
      <c r="P112" s="89">
        <v>75990403.93282932</v>
      </c>
      <c r="Q112">
        <v>5.3</v>
      </c>
      <c r="R112">
        <v>5</v>
      </c>
      <c r="S112">
        <v>4.5999999999999996</v>
      </c>
      <c r="T112">
        <v>97.965799497528195</v>
      </c>
      <c r="U112">
        <v>24281.07</v>
      </c>
      <c r="V112">
        <v>25.44</v>
      </c>
      <c r="W112">
        <v>31.25</v>
      </c>
      <c r="X112">
        <v>54.806641905178097</v>
      </c>
      <c r="Y112">
        <v>0.8</v>
      </c>
      <c r="Z112">
        <v>2.4353009596000001</v>
      </c>
      <c r="AA112">
        <v>9.1596394301000004</v>
      </c>
      <c r="AB112">
        <v>0</v>
      </c>
      <c r="AC112">
        <v>1</v>
      </c>
      <c r="AD112">
        <v>0.52126006498092947</v>
      </c>
      <c r="AE112">
        <v>0</v>
      </c>
      <c r="AF112">
        <v>0.52570000000000006</v>
      </c>
      <c r="AG112">
        <v>0.433</v>
      </c>
      <c r="AH112">
        <v>0.28199999999999997</v>
      </c>
      <c r="AI112">
        <v>0.49299999999999999</v>
      </c>
      <c r="AJ112">
        <v>0.52500000000000002</v>
      </c>
      <c r="AK112">
        <v>6.557138703111369E-2</v>
      </c>
      <c r="AL112">
        <v>0.23100000000000001</v>
      </c>
      <c r="AM112">
        <v>10.443864229765</v>
      </c>
      <c r="AN112">
        <v>0.95571428571428585</v>
      </c>
      <c r="AO112">
        <v>0.14564553649316661</v>
      </c>
      <c r="AP112">
        <v>508.8688572259378</v>
      </c>
      <c r="AQ112">
        <v>690.60773480662976</v>
      </c>
      <c r="AR112">
        <v>72.695551032276825</v>
      </c>
      <c r="AS112">
        <v>43.617330619366093</v>
      </c>
      <c r="AT112" s="93">
        <v>2308302</v>
      </c>
    </row>
    <row r="113" spans="1:46" x14ac:dyDescent="0.3">
      <c r="A113" t="s">
        <v>485</v>
      </c>
      <c r="B113">
        <v>149</v>
      </c>
      <c r="C113">
        <v>1132.6491828202204</v>
      </c>
      <c r="D113">
        <v>4</v>
      </c>
      <c r="E113">
        <v>30.406689471683769</v>
      </c>
      <c r="F113">
        <v>2.6845637583892617E-2</v>
      </c>
      <c r="G113">
        <v>13155</v>
      </c>
      <c r="H113">
        <v>2105410.7183580389</v>
      </c>
      <c r="I113">
        <v>104843785.63283922</v>
      </c>
      <c r="J113">
        <v>502.137</v>
      </c>
      <c r="K113">
        <v>26.198029621398145</v>
      </c>
      <c r="L113">
        <v>9674.7900000000009</v>
      </c>
      <c r="M113">
        <v>0.626</v>
      </c>
      <c r="N113">
        <v>14.04</v>
      </c>
      <c r="O113" s="89">
        <v>70104613.378943369</v>
      </c>
      <c r="P113" s="89">
        <v>87982729.000380084</v>
      </c>
      <c r="Q113">
        <v>8.6999999999999993</v>
      </c>
      <c r="R113">
        <v>6.4</v>
      </c>
      <c r="S113">
        <v>4.0999999999999996</v>
      </c>
      <c r="T113">
        <v>95.057034220532302</v>
      </c>
      <c r="U113">
        <v>13114.54</v>
      </c>
      <c r="V113">
        <v>45.61</v>
      </c>
      <c r="W113">
        <v>38.46</v>
      </c>
      <c r="X113">
        <v>51.932734743570201</v>
      </c>
      <c r="Y113">
        <v>0.99</v>
      </c>
      <c r="Z113">
        <v>2.1284682629999998</v>
      </c>
      <c r="AA113">
        <v>9.4260737361999993</v>
      </c>
      <c r="AB113">
        <v>0</v>
      </c>
      <c r="AC113">
        <v>1</v>
      </c>
      <c r="AD113">
        <v>0.54386367109888434</v>
      </c>
      <c r="AE113">
        <v>1</v>
      </c>
      <c r="AF113">
        <v>0.5302</v>
      </c>
      <c r="AG113">
        <v>0.41399999999999998</v>
      </c>
      <c r="AH113">
        <v>0.20100000000000001</v>
      </c>
      <c r="AI113">
        <v>0.51100000000000001</v>
      </c>
      <c r="AJ113">
        <v>0.53100000000000003</v>
      </c>
      <c r="AK113">
        <v>4.8270619536297986E-2</v>
      </c>
      <c r="AL113">
        <v>0.25690000000000002</v>
      </c>
      <c r="AM113">
        <v>6.6666666666666696</v>
      </c>
      <c r="AN113">
        <v>0.9673202614379085</v>
      </c>
      <c r="AO113">
        <v>0.18160395286963132</v>
      </c>
      <c r="AP113">
        <v>334.4735841885215</v>
      </c>
      <c r="AQ113">
        <v>380.08361839604709</v>
      </c>
      <c r="AR113">
        <v>22.805017103762829</v>
      </c>
      <c r="AS113">
        <v>30.406689471683769</v>
      </c>
      <c r="AT113" s="93">
        <v>2308351</v>
      </c>
    </row>
    <row r="114" spans="1:46" x14ac:dyDescent="0.3">
      <c r="A114" t="s">
        <v>487</v>
      </c>
      <c r="B114">
        <v>355</v>
      </c>
      <c r="C114">
        <v>2569.1127514835721</v>
      </c>
      <c r="D114">
        <v>8</v>
      </c>
      <c r="E114">
        <v>57.895498624981904</v>
      </c>
      <c r="F114">
        <v>2.2535211267605635E-2</v>
      </c>
      <c r="G114">
        <v>13818</v>
      </c>
      <c r="H114">
        <v>6449826.6029816177</v>
      </c>
      <c r="I114">
        <v>93204515.848892748</v>
      </c>
      <c r="J114">
        <v>708.678</v>
      </c>
      <c r="K114">
        <v>19.49827707364981</v>
      </c>
      <c r="L114">
        <v>6253.17</v>
      </c>
      <c r="M114">
        <v>0.59199999999999997</v>
      </c>
      <c r="N114">
        <v>16.2</v>
      </c>
      <c r="O114" s="89">
        <v>56891084.020842381</v>
      </c>
      <c r="P114" s="89">
        <v>105156879.50499348</v>
      </c>
      <c r="Q114">
        <v>5.5</v>
      </c>
      <c r="R114">
        <v>4.5</v>
      </c>
      <c r="S114">
        <v>3.9</v>
      </c>
      <c r="T114">
        <v>99.472759226713507</v>
      </c>
      <c r="U114">
        <v>7670.5</v>
      </c>
      <c r="V114">
        <v>7.24</v>
      </c>
      <c r="W114">
        <v>35.9</v>
      </c>
      <c r="X114">
        <v>51.900100762919202</v>
      </c>
      <c r="Y114">
        <v>0.72</v>
      </c>
      <c r="Z114">
        <v>0</v>
      </c>
      <c r="AA114">
        <v>7.0198292083</v>
      </c>
      <c r="AB114">
        <v>0</v>
      </c>
      <c r="AC114">
        <v>1</v>
      </c>
      <c r="AD114">
        <v>0.46507812500000001</v>
      </c>
      <c r="AE114">
        <v>1</v>
      </c>
      <c r="AF114">
        <v>0.58560000000000001</v>
      </c>
      <c r="AG114">
        <v>0.51200000000000001</v>
      </c>
      <c r="AH114">
        <v>0.29199999999999998</v>
      </c>
      <c r="AI114">
        <v>0.59699999999999998</v>
      </c>
      <c r="AJ114">
        <v>0.64700000000000002</v>
      </c>
      <c r="AK114">
        <v>6.2599507888261685E-2</v>
      </c>
      <c r="AL114">
        <v>0.44880000000000003</v>
      </c>
      <c r="AM114">
        <v>15.4639175257732</v>
      </c>
      <c r="AN114">
        <v>0.94942196531791889</v>
      </c>
      <c r="AO114">
        <v>0.11564625850340136</v>
      </c>
      <c r="AP114">
        <v>209.87118251555941</v>
      </c>
      <c r="AQ114">
        <v>455.9270516717325</v>
      </c>
      <c r="AR114">
        <v>21.710811984368217</v>
      </c>
      <c r="AS114">
        <v>0</v>
      </c>
      <c r="AT114" s="93">
        <v>2308377</v>
      </c>
    </row>
    <row r="115" spans="1:46" x14ac:dyDescent="0.3">
      <c r="A115" t="s">
        <v>489</v>
      </c>
      <c r="B115">
        <v>634</v>
      </c>
      <c r="C115">
        <v>1791.314666742011</v>
      </c>
      <c r="D115">
        <v>8</v>
      </c>
      <c r="E115">
        <v>22.603339643432317</v>
      </c>
      <c r="F115">
        <v>1.2618296529968454E-2</v>
      </c>
      <c r="G115">
        <v>35393</v>
      </c>
      <c r="H115">
        <v>7418057.9775661854</v>
      </c>
      <c r="I115">
        <v>109077501.2008024</v>
      </c>
      <c r="J115">
        <v>613.31700000000001</v>
      </c>
      <c r="K115">
        <v>57.707515037085223</v>
      </c>
      <c r="L115">
        <v>13585.53</v>
      </c>
      <c r="M115">
        <v>0.622</v>
      </c>
      <c r="N115">
        <v>27.83</v>
      </c>
      <c r="O115" s="89">
        <v>45405368.886502981</v>
      </c>
      <c r="P115" s="89">
        <v>102327402.59373324</v>
      </c>
      <c r="Q115">
        <v>5.9</v>
      </c>
      <c r="R115">
        <v>4.3</v>
      </c>
      <c r="S115">
        <v>4</v>
      </c>
      <c r="T115">
        <v>99.969400244797995</v>
      </c>
      <c r="U115">
        <v>47427.57</v>
      </c>
      <c r="V115">
        <v>33.909999999999997</v>
      </c>
      <c r="W115">
        <v>29.55</v>
      </c>
      <c r="X115">
        <v>53.421645997745202</v>
      </c>
      <c r="Y115">
        <v>0.69</v>
      </c>
      <c r="Z115">
        <v>1.9208605455000001</v>
      </c>
      <c r="AA115">
        <v>7.7657647769000002</v>
      </c>
      <c r="AB115">
        <v>0</v>
      </c>
      <c r="AC115">
        <v>1</v>
      </c>
      <c r="AD115">
        <v>0.55012545953200676</v>
      </c>
      <c r="AE115">
        <v>1</v>
      </c>
      <c r="AF115">
        <v>0.53490000000000004</v>
      </c>
      <c r="AG115">
        <v>0.375</v>
      </c>
      <c r="AH115">
        <v>0.184</v>
      </c>
      <c r="AI115">
        <v>0.46899999999999997</v>
      </c>
      <c r="AJ115">
        <v>0.47199999999999998</v>
      </c>
      <c r="AK115">
        <v>7.5664679456389689E-2</v>
      </c>
      <c r="AL115">
        <v>0.2266</v>
      </c>
      <c r="AM115">
        <v>23.688663282571898</v>
      </c>
      <c r="AN115">
        <v>0.78595890410958935</v>
      </c>
      <c r="AO115">
        <v>0.13027999886983302</v>
      </c>
      <c r="AP115">
        <v>692.22727658011479</v>
      </c>
      <c r="AQ115">
        <v>1500.2966688328202</v>
      </c>
      <c r="AR115">
        <v>110.19128076173254</v>
      </c>
      <c r="AS115">
        <v>169.52504732574238</v>
      </c>
      <c r="AT115" s="93">
        <v>2308401</v>
      </c>
    </row>
    <row r="116" spans="1:46" x14ac:dyDescent="0.3">
      <c r="A116" t="s">
        <v>491</v>
      </c>
      <c r="B116">
        <v>784</v>
      </c>
      <c r="C116">
        <v>1790.0769459095372</v>
      </c>
      <c r="D116">
        <v>29</v>
      </c>
      <c r="E116">
        <v>66.214580907368088</v>
      </c>
      <c r="F116">
        <v>3.6989795918367346E-2</v>
      </c>
      <c r="G116">
        <v>43797</v>
      </c>
      <c r="H116">
        <v>9430839.6922163609</v>
      </c>
      <c r="I116">
        <v>86210014.384546891</v>
      </c>
      <c r="J116">
        <v>2115.748</v>
      </c>
      <c r="K116">
        <v>20.700480397476447</v>
      </c>
      <c r="L116">
        <v>7369.18</v>
      </c>
      <c r="M116">
        <v>0.58199999999999996</v>
      </c>
      <c r="N116">
        <v>18.350000000000001</v>
      </c>
      <c r="O116" s="89">
        <v>45939374.203712575</v>
      </c>
      <c r="P116" s="89">
        <v>88073276.913943887</v>
      </c>
      <c r="Q116">
        <v>6.8</v>
      </c>
      <c r="R116">
        <v>5.5</v>
      </c>
      <c r="S116">
        <v>4.4000000000000004</v>
      </c>
      <c r="T116">
        <v>97.577066090919999</v>
      </c>
      <c r="U116">
        <v>29261.3</v>
      </c>
      <c r="V116">
        <v>20.55</v>
      </c>
      <c r="W116">
        <v>32.65</v>
      </c>
      <c r="X116">
        <v>42.414154772219398</v>
      </c>
      <c r="Y116">
        <v>0.43</v>
      </c>
      <c r="Z116">
        <v>1.2101285476000001</v>
      </c>
      <c r="AA116">
        <v>7.1237756011000002</v>
      </c>
      <c r="AB116">
        <v>0</v>
      </c>
      <c r="AC116">
        <v>1</v>
      </c>
      <c r="AD116">
        <v>0.55924104005621922</v>
      </c>
      <c r="AE116">
        <v>1</v>
      </c>
      <c r="AF116">
        <v>0.53510000000000002</v>
      </c>
      <c r="AG116">
        <v>0.503</v>
      </c>
      <c r="AH116">
        <v>0.36299999999999999</v>
      </c>
      <c r="AI116">
        <v>0.58099999999999996</v>
      </c>
      <c r="AJ116">
        <v>0.56499999999999995</v>
      </c>
      <c r="AK116">
        <v>5.8725483480603698E-2</v>
      </c>
      <c r="AL116">
        <v>0.32919999999999999</v>
      </c>
      <c r="AM116">
        <v>1.9646365422396901</v>
      </c>
      <c r="AN116">
        <v>0.93673469387755115</v>
      </c>
      <c r="AO116">
        <v>0.16181473616914402</v>
      </c>
      <c r="AP116">
        <v>408.70379249720304</v>
      </c>
      <c r="AQ116">
        <v>913.3045642395598</v>
      </c>
      <c r="AR116">
        <v>77.630887960362585</v>
      </c>
      <c r="AS116">
        <v>13.699568463593396</v>
      </c>
      <c r="AT116" s="93">
        <v>2308500</v>
      </c>
    </row>
    <row r="117" spans="1:46" x14ac:dyDescent="0.3">
      <c r="A117" t="s">
        <v>204</v>
      </c>
      <c r="B117">
        <v>138</v>
      </c>
      <c r="C117">
        <v>800.74271788325404</v>
      </c>
      <c r="D117">
        <v>5</v>
      </c>
      <c r="E117">
        <v>29.012417314610655</v>
      </c>
      <c r="F117">
        <v>3.6231884057971016E-2</v>
      </c>
      <c r="G117">
        <v>17234</v>
      </c>
      <c r="H117">
        <v>2502256.5277938959</v>
      </c>
      <c r="I117">
        <v>105844261.34385517</v>
      </c>
      <c r="J117">
        <v>892.53800000000001</v>
      </c>
      <c r="K117">
        <v>19.30898180245547</v>
      </c>
      <c r="L117">
        <v>7436.65</v>
      </c>
      <c r="M117">
        <v>0.61</v>
      </c>
      <c r="N117">
        <v>19.21</v>
      </c>
      <c r="O117" s="89">
        <v>59894527.909945451</v>
      </c>
      <c r="P117" s="89">
        <v>127059876.98735057</v>
      </c>
      <c r="Q117">
        <v>6</v>
      </c>
      <c r="R117">
        <v>4.7</v>
      </c>
      <c r="S117">
        <v>4.4000000000000004</v>
      </c>
      <c r="T117">
        <v>98.107221006564501</v>
      </c>
      <c r="U117">
        <v>10680.54</v>
      </c>
      <c r="V117">
        <v>23.21</v>
      </c>
      <c r="W117">
        <v>28.21</v>
      </c>
      <c r="X117">
        <v>56.698939068931502</v>
      </c>
      <c r="Y117">
        <v>0.87</v>
      </c>
      <c r="Z117">
        <v>2.9012417314999999</v>
      </c>
      <c r="AA117">
        <v>12.2432401068</v>
      </c>
      <c r="AB117">
        <v>0</v>
      </c>
      <c r="AC117">
        <v>1</v>
      </c>
      <c r="AD117">
        <v>0.43956899131996408</v>
      </c>
      <c r="AE117">
        <v>0</v>
      </c>
      <c r="AF117">
        <v>0.54890000000000005</v>
      </c>
      <c r="AG117">
        <v>0.42499999999999999</v>
      </c>
      <c r="AH117">
        <v>0.191</v>
      </c>
      <c r="AI117">
        <v>0.505</v>
      </c>
      <c r="AJ117">
        <v>0.57899999999999996</v>
      </c>
      <c r="AK117">
        <v>7.3517465475223392E-2</v>
      </c>
      <c r="AL117">
        <v>0.33979999999999999</v>
      </c>
      <c r="AM117">
        <v>4.0650406504065</v>
      </c>
      <c r="AN117">
        <v>0.93415178571428581</v>
      </c>
      <c r="AO117">
        <v>0.15869792271092029</v>
      </c>
      <c r="AP117">
        <v>301.72914007195078</v>
      </c>
      <c r="AQ117">
        <v>969.0147383079958</v>
      </c>
      <c r="AR117">
        <v>40.617384240454911</v>
      </c>
      <c r="AS117">
        <v>81.234768480909821</v>
      </c>
      <c r="AT117" s="93">
        <v>2308609</v>
      </c>
    </row>
    <row r="118" spans="1:46" x14ac:dyDescent="0.3">
      <c r="A118" t="s">
        <v>205</v>
      </c>
      <c r="B118">
        <v>1414</v>
      </c>
      <c r="C118">
        <v>2284.6986589109711</v>
      </c>
      <c r="D118">
        <v>35</v>
      </c>
      <c r="E118">
        <v>56.551947002746815</v>
      </c>
      <c r="F118">
        <v>2.4752475247524754E-2</v>
      </c>
      <c r="G118">
        <v>61890</v>
      </c>
      <c r="H118">
        <v>11356559.767329132</v>
      </c>
      <c r="I118">
        <v>106984003.87784779</v>
      </c>
      <c r="J118">
        <v>2763.971</v>
      </c>
      <c r="K118">
        <v>22.39169658437082</v>
      </c>
      <c r="L118">
        <v>15430.56</v>
      </c>
      <c r="M118">
        <v>0.61</v>
      </c>
      <c r="N118">
        <v>32.67</v>
      </c>
      <c r="O118" s="89">
        <v>50123518.839877196</v>
      </c>
      <c r="P118" s="89">
        <v>75747256.099531427</v>
      </c>
      <c r="Q118">
        <v>5.7</v>
      </c>
      <c r="R118">
        <v>4.4000000000000004</v>
      </c>
      <c r="S118">
        <v>4.5</v>
      </c>
      <c r="T118">
        <v>98.018216750871701</v>
      </c>
      <c r="U118">
        <v>74555.08</v>
      </c>
      <c r="V118">
        <v>40.39</v>
      </c>
      <c r="W118">
        <v>28.74</v>
      </c>
      <c r="X118">
        <v>47.546081829667301</v>
      </c>
      <c r="Y118">
        <v>0.55000000000000004</v>
      </c>
      <c r="Z118">
        <v>1.9550815963999999</v>
      </c>
      <c r="AA118">
        <v>7.5941185974999996</v>
      </c>
      <c r="AB118">
        <v>0</v>
      </c>
      <c r="AC118">
        <v>1</v>
      </c>
      <c r="AD118">
        <v>0.42961411423507612</v>
      </c>
      <c r="AE118">
        <v>0</v>
      </c>
      <c r="AF118">
        <v>0.54689999999999994</v>
      </c>
      <c r="AG118">
        <v>0.45</v>
      </c>
      <c r="AH118">
        <v>0.32800000000000001</v>
      </c>
      <c r="AI118">
        <v>0.51800000000000002</v>
      </c>
      <c r="AJ118">
        <v>0.503</v>
      </c>
      <c r="AK118">
        <v>0.12654709969300371</v>
      </c>
      <c r="AL118">
        <v>0.2364</v>
      </c>
      <c r="AM118">
        <v>9.1145833333333304</v>
      </c>
      <c r="AN118">
        <v>0.83278145695364247</v>
      </c>
      <c r="AO118">
        <v>0.15632573921473583</v>
      </c>
      <c r="AP118">
        <v>449.18403619324607</v>
      </c>
      <c r="AQ118">
        <v>665.69720471804817</v>
      </c>
      <c r="AR118">
        <v>54.936177088382614</v>
      </c>
      <c r="AS118">
        <v>16.157699143641945</v>
      </c>
      <c r="AT118" s="93">
        <v>2308708</v>
      </c>
    </row>
    <row r="119" spans="1:46" x14ac:dyDescent="0.3">
      <c r="A119" t="s">
        <v>495</v>
      </c>
      <c r="B119">
        <v>443</v>
      </c>
      <c r="C119">
        <v>5077.9458963778088</v>
      </c>
      <c r="D119">
        <v>7</v>
      </c>
      <c r="E119">
        <v>80.238422741861541</v>
      </c>
      <c r="F119">
        <v>1.580135440180587E-2</v>
      </c>
      <c r="G119">
        <v>8724</v>
      </c>
      <c r="H119">
        <v>10697451.398441082</v>
      </c>
      <c r="I119">
        <v>98982118.294360384</v>
      </c>
      <c r="J119">
        <v>414.44600000000003</v>
      </c>
      <c r="K119">
        <v>21.049786944499402</v>
      </c>
      <c r="L119">
        <v>7141.58</v>
      </c>
      <c r="M119">
        <v>0.58099999999999996</v>
      </c>
      <c r="N119">
        <v>21.11</v>
      </c>
      <c r="O119" s="89">
        <v>51134059.1471802</v>
      </c>
      <c r="P119" s="89">
        <v>107333036.79504816</v>
      </c>
      <c r="Q119">
        <v>6.4</v>
      </c>
      <c r="R119">
        <v>4.9000000000000004</v>
      </c>
      <c r="S119">
        <v>4.0999999999999996</v>
      </c>
      <c r="T119">
        <v>99.068644360124196</v>
      </c>
      <c r="U119">
        <v>6898.24</v>
      </c>
      <c r="V119">
        <v>0</v>
      </c>
      <c r="W119">
        <v>29.73</v>
      </c>
      <c r="X119">
        <v>55.029046588449702</v>
      </c>
      <c r="Y119">
        <v>1.03</v>
      </c>
      <c r="Z119">
        <v>1.3755158184</v>
      </c>
      <c r="AA119">
        <v>10.0871160018</v>
      </c>
      <c r="AB119">
        <v>0</v>
      </c>
      <c r="AC119">
        <v>0</v>
      </c>
      <c r="AD119">
        <v>0.55340768277571251</v>
      </c>
      <c r="AE119">
        <v>0</v>
      </c>
      <c r="AF119">
        <v>0.55679999999999996</v>
      </c>
      <c r="AG119">
        <v>0.39500000000000002</v>
      </c>
      <c r="AH119">
        <v>0.16500000000000001</v>
      </c>
      <c r="AI119">
        <v>0.45600000000000002</v>
      </c>
      <c r="AJ119">
        <v>0.56299999999999994</v>
      </c>
      <c r="AK119">
        <v>6.728564878496103E-2</v>
      </c>
      <c r="AL119">
        <v>0.40200000000000002</v>
      </c>
      <c r="AM119">
        <v>7.19424460431655</v>
      </c>
      <c r="AN119">
        <v>0.63073394495412816</v>
      </c>
      <c r="AO119">
        <v>0.11519944979367262</v>
      </c>
      <c r="AP119">
        <v>286.56579550664833</v>
      </c>
      <c r="AQ119">
        <v>366.80421824850987</v>
      </c>
      <c r="AR119">
        <v>34.3878954607978</v>
      </c>
      <c r="AS119">
        <v>11.462631820265933</v>
      </c>
      <c r="AT119" s="93">
        <v>2308807</v>
      </c>
    </row>
    <row r="120" spans="1:46" x14ac:dyDescent="0.3">
      <c r="A120" t="s">
        <v>207</v>
      </c>
      <c r="B120">
        <v>407</v>
      </c>
      <c r="C120">
        <v>1806.1595810774829</v>
      </c>
      <c r="D120">
        <v>9</v>
      </c>
      <c r="E120">
        <v>39.939646756013133</v>
      </c>
      <c r="F120">
        <v>2.2113022113022112E-2</v>
      </c>
      <c r="G120">
        <v>22534</v>
      </c>
      <c r="H120">
        <v>2106359.9005946573</v>
      </c>
      <c r="I120">
        <v>92521523.031862959</v>
      </c>
      <c r="J120">
        <v>411.58600000000001</v>
      </c>
      <c r="K120">
        <v>54.749189719766946</v>
      </c>
      <c r="L120">
        <v>6198.22</v>
      </c>
      <c r="M120">
        <v>0.58799999999999997</v>
      </c>
      <c r="N120">
        <v>21.01</v>
      </c>
      <c r="O120" s="89">
        <v>49904112.452294305</v>
      </c>
      <c r="P120" s="89">
        <v>81806776.249223396</v>
      </c>
      <c r="Q120">
        <v>6.7</v>
      </c>
      <c r="R120">
        <v>5.6</v>
      </c>
      <c r="S120">
        <v>4.2</v>
      </c>
      <c r="T120">
        <v>98.497652582159603</v>
      </c>
      <c r="U120">
        <v>14297.77</v>
      </c>
      <c r="V120">
        <v>0</v>
      </c>
      <c r="W120">
        <v>30.95</v>
      </c>
      <c r="X120">
        <v>47.097200793475899</v>
      </c>
      <c r="Y120">
        <v>0.62</v>
      </c>
      <c r="Z120">
        <v>0.93192509099999998</v>
      </c>
      <c r="AA120">
        <v>7.4110233425000001</v>
      </c>
      <c r="AB120">
        <v>0</v>
      </c>
      <c r="AC120">
        <v>0</v>
      </c>
      <c r="AD120">
        <v>0.53565217391304343</v>
      </c>
      <c r="AE120">
        <v>1</v>
      </c>
      <c r="AF120">
        <v>0.51910000000000001</v>
      </c>
      <c r="AG120">
        <v>0.41399999999999998</v>
      </c>
      <c r="AH120">
        <v>0.11799999999999999</v>
      </c>
      <c r="AI120">
        <v>0.57999999999999996</v>
      </c>
      <c r="AJ120">
        <v>0.54300000000000004</v>
      </c>
      <c r="AK120">
        <v>3.2484246028224015E-2</v>
      </c>
      <c r="AL120">
        <v>0.37959999999999999</v>
      </c>
      <c r="AM120">
        <v>21.9435736677116</v>
      </c>
      <c r="AN120">
        <v>0.92619047619047623</v>
      </c>
      <c r="AO120">
        <v>0.10992278334960504</v>
      </c>
      <c r="AP120">
        <v>199.69823378006569</v>
      </c>
      <c r="AQ120">
        <v>399.39646756013138</v>
      </c>
      <c r="AR120">
        <v>8.8754770568918087</v>
      </c>
      <c r="AS120">
        <v>0</v>
      </c>
      <c r="AT120" s="93">
        <v>2308906</v>
      </c>
    </row>
    <row r="121" spans="1:46" x14ac:dyDescent="0.3">
      <c r="A121" t="s">
        <v>208</v>
      </c>
      <c r="B121">
        <v>351</v>
      </c>
      <c r="C121">
        <v>2414.5284446584578</v>
      </c>
      <c r="D121">
        <v>7</v>
      </c>
      <c r="E121">
        <v>48.152988924812547</v>
      </c>
      <c r="F121">
        <v>1.9943019943019943E-2</v>
      </c>
      <c r="G121">
        <v>14537</v>
      </c>
      <c r="H121">
        <v>3773005.6407787027</v>
      </c>
      <c r="I121">
        <v>83753181.536768243</v>
      </c>
      <c r="J121">
        <v>192.19</v>
      </c>
      <c r="K121">
        <v>75.63869087881784</v>
      </c>
      <c r="L121">
        <v>6687.03</v>
      </c>
      <c r="M121">
        <v>0.60699999999999998</v>
      </c>
      <c r="N121">
        <v>20.82</v>
      </c>
      <c r="O121" s="89">
        <v>66956886.702896051</v>
      </c>
      <c r="P121" s="89">
        <v>108035761.02359496</v>
      </c>
      <c r="Q121">
        <v>9.4</v>
      </c>
      <c r="R121">
        <v>7</v>
      </c>
      <c r="S121">
        <v>3.9</v>
      </c>
      <c r="T121">
        <v>97.754827121688393</v>
      </c>
      <c r="U121">
        <v>11105.62</v>
      </c>
      <c r="V121">
        <v>6.88</v>
      </c>
      <c r="W121">
        <v>34.21</v>
      </c>
      <c r="X121">
        <v>37.4596192178157</v>
      </c>
      <c r="Y121">
        <v>0.55000000000000004</v>
      </c>
      <c r="Z121">
        <v>2.7515993670999999</v>
      </c>
      <c r="AA121">
        <v>11.900667262800001</v>
      </c>
      <c r="AB121">
        <v>0</v>
      </c>
      <c r="AC121">
        <v>1</v>
      </c>
      <c r="AD121">
        <v>0.35711246631683446</v>
      </c>
      <c r="AE121">
        <v>0</v>
      </c>
      <c r="AF121">
        <v>1</v>
      </c>
      <c r="AG121">
        <v>0.40300000000000002</v>
      </c>
      <c r="AH121">
        <v>0.14899999999999999</v>
      </c>
      <c r="AI121">
        <v>0.497</v>
      </c>
      <c r="AJ121">
        <v>0.56299999999999994</v>
      </c>
      <c r="AK121">
        <v>5.6476577010387288E-2</v>
      </c>
      <c r="AL121">
        <v>0.35749999999999998</v>
      </c>
      <c r="AM121">
        <v>12.6582278481013</v>
      </c>
      <c r="AN121">
        <v>0.90462427745664709</v>
      </c>
      <c r="AO121">
        <v>0.1703240008254798</v>
      </c>
      <c r="AP121">
        <v>460.89289399463439</v>
      </c>
      <c r="AQ121">
        <v>1093.7607484350278</v>
      </c>
      <c r="AR121">
        <v>123.82197152094655</v>
      </c>
      <c r="AS121">
        <v>6.8789984178303643</v>
      </c>
      <c r="AT121" s="93">
        <v>2309003</v>
      </c>
    </row>
    <row r="122" spans="1:46" x14ac:dyDescent="0.3">
      <c r="A122" t="s">
        <v>209</v>
      </c>
      <c r="B122">
        <v>100</v>
      </c>
      <c r="C122">
        <v>923.95823708768353</v>
      </c>
      <c r="D122">
        <v>5</v>
      </c>
      <c r="E122">
        <v>46.197911854384181</v>
      </c>
      <c r="F122">
        <v>0.05</v>
      </c>
      <c r="G122">
        <v>10823</v>
      </c>
      <c r="H122">
        <v>6707301.4875727622</v>
      </c>
      <c r="I122">
        <v>97891527.302965909</v>
      </c>
      <c r="J122">
        <v>97.950999999999993</v>
      </c>
      <c r="K122">
        <v>110.49402252146483</v>
      </c>
      <c r="L122">
        <v>9079.8700000000008</v>
      </c>
      <c r="M122">
        <v>0.60699999999999998</v>
      </c>
      <c r="N122">
        <v>19.57</v>
      </c>
      <c r="O122" s="89">
        <v>83251231.451538384</v>
      </c>
      <c r="P122" s="89">
        <v>152529223.32070592</v>
      </c>
      <c r="Q122">
        <v>6.8</v>
      </c>
      <c r="R122">
        <v>4.8</v>
      </c>
      <c r="S122">
        <v>4.2</v>
      </c>
      <c r="T122">
        <v>97.977755308392304</v>
      </c>
      <c r="U122">
        <v>6911.71</v>
      </c>
      <c r="V122">
        <v>0</v>
      </c>
      <c r="W122">
        <v>34.380000000000003</v>
      </c>
      <c r="X122">
        <v>55.104652225573503</v>
      </c>
      <c r="Y122">
        <v>0.83</v>
      </c>
      <c r="Z122">
        <v>0.83156241340000003</v>
      </c>
      <c r="AA122">
        <v>9.9787489605000008</v>
      </c>
      <c r="AB122">
        <v>0</v>
      </c>
      <c r="AC122">
        <v>0</v>
      </c>
      <c r="AD122">
        <v>0.63447975620374397</v>
      </c>
      <c r="AE122">
        <v>0</v>
      </c>
      <c r="AF122">
        <v>0.5454</v>
      </c>
      <c r="AG122">
        <v>0.41299999999999998</v>
      </c>
      <c r="AH122">
        <v>0.26700000000000002</v>
      </c>
      <c r="AI122">
        <v>0.50900000000000001</v>
      </c>
      <c r="AJ122">
        <v>0.46200000000000002</v>
      </c>
      <c r="AK122">
        <v>8.056915827404601E-2</v>
      </c>
      <c r="AL122">
        <v>0.29830000000000001</v>
      </c>
      <c r="AM122">
        <v>31.496062992125999</v>
      </c>
      <c r="AN122">
        <v>0.19656488549618331</v>
      </c>
      <c r="AO122">
        <v>0.13240321537466507</v>
      </c>
      <c r="AP122">
        <v>314.14580060981245</v>
      </c>
      <c r="AQ122">
        <v>563.614524623487</v>
      </c>
      <c r="AR122">
        <v>55.43749422526102</v>
      </c>
      <c r="AS122">
        <v>46.197911854384181</v>
      </c>
      <c r="AT122" s="93">
        <v>2309102</v>
      </c>
    </row>
    <row r="123" spans="1:46" x14ac:dyDescent="0.3">
      <c r="A123" t="s">
        <v>210</v>
      </c>
      <c r="B123">
        <v>50</v>
      </c>
      <c r="C123">
        <v>321.23353678123999</v>
      </c>
      <c r="D123">
        <v>3</v>
      </c>
      <c r="E123">
        <v>19.274012206874399</v>
      </c>
      <c r="F123">
        <v>0.06</v>
      </c>
      <c r="G123">
        <v>15565</v>
      </c>
      <c r="H123">
        <v>5381905.1718599424</v>
      </c>
      <c r="I123">
        <v>109865724.38162543</v>
      </c>
      <c r="J123">
        <v>282.584</v>
      </c>
      <c r="K123">
        <v>55.080967075276732</v>
      </c>
      <c r="L123">
        <v>8311.7999999999993</v>
      </c>
      <c r="M123">
        <v>0.625</v>
      </c>
      <c r="N123">
        <v>26</v>
      </c>
      <c r="O123" s="89">
        <v>79247443.109540626</v>
      </c>
      <c r="P123" s="89">
        <v>90864068.294249922</v>
      </c>
      <c r="Q123">
        <v>6</v>
      </c>
      <c r="R123">
        <v>5.0999999999999996</v>
      </c>
      <c r="S123">
        <v>4.9000000000000004</v>
      </c>
      <c r="T123">
        <v>99.717997784268306</v>
      </c>
      <c r="U123">
        <v>18927.93</v>
      </c>
      <c r="V123">
        <v>12.85</v>
      </c>
      <c r="W123">
        <v>35.71</v>
      </c>
      <c r="X123">
        <v>58.008161183371598</v>
      </c>
      <c r="Y123">
        <v>0.9</v>
      </c>
      <c r="Z123">
        <v>1.2849341471</v>
      </c>
      <c r="AA123">
        <v>9.1872791519000003</v>
      </c>
      <c r="AB123">
        <v>0</v>
      </c>
      <c r="AC123">
        <v>1</v>
      </c>
      <c r="AD123">
        <v>0.31986531986531985</v>
      </c>
      <c r="AE123">
        <v>1</v>
      </c>
      <c r="AF123">
        <v>0.60960000000000003</v>
      </c>
      <c r="AG123">
        <v>0.42099999999999999</v>
      </c>
      <c r="AH123">
        <v>0.26700000000000002</v>
      </c>
      <c r="AI123">
        <v>0.48699999999999999</v>
      </c>
      <c r="AJ123">
        <v>0.51</v>
      </c>
      <c r="AK123">
        <v>9.4378413106328302E-2</v>
      </c>
      <c r="AL123">
        <v>0.27829999999999999</v>
      </c>
      <c r="AM123">
        <v>21.978021978021999</v>
      </c>
      <c r="AN123">
        <v>0.56227106227106249</v>
      </c>
      <c r="AO123">
        <v>0.11956312238997752</v>
      </c>
      <c r="AP123">
        <v>591.06970767748146</v>
      </c>
      <c r="AQ123">
        <v>578.22036620623192</v>
      </c>
      <c r="AR123">
        <v>57.822036620623194</v>
      </c>
      <c r="AS123">
        <v>0</v>
      </c>
      <c r="AT123" s="93">
        <v>2309201</v>
      </c>
    </row>
    <row r="124" spans="1:46" x14ac:dyDescent="0.3">
      <c r="A124" t="s">
        <v>211</v>
      </c>
      <c r="B124">
        <v>289</v>
      </c>
      <c r="C124">
        <v>893.96189062113331</v>
      </c>
      <c r="D124">
        <v>14</v>
      </c>
      <c r="E124">
        <v>43.306112348428606</v>
      </c>
      <c r="F124">
        <v>4.8442906574394463E-2</v>
      </c>
      <c r="G124">
        <v>32328</v>
      </c>
      <c r="H124">
        <v>3904236.049245236</v>
      </c>
      <c r="I124">
        <v>87223459.539717898</v>
      </c>
      <c r="J124">
        <v>736.91099999999994</v>
      </c>
      <c r="K124">
        <v>43.869612476947694</v>
      </c>
      <c r="L124">
        <v>8305.82</v>
      </c>
      <c r="M124">
        <v>0.61399999999999999</v>
      </c>
      <c r="N124">
        <v>20.61</v>
      </c>
      <c r="O124" s="89">
        <v>62500092.953476861</v>
      </c>
      <c r="P124" s="89">
        <v>78743652.87057659</v>
      </c>
      <c r="Q124">
        <v>7.6</v>
      </c>
      <c r="R124">
        <v>5.0999999999999996</v>
      </c>
      <c r="S124">
        <v>4.5</v>
      </c>
      <c r="T124">
        <v>98.584168892023996</v>
      </c>
      <c r="U124">
        <v>27978.18</v>
      </c>
      <c r="V124">
        <v>6.19</v>
      </c>
      <c r="W124">
        <v>30.3</v>
      </c>
      <c r="X124">
        <v>36.398420143174498</v>
      </c>
      <c r="Y124">
        <v>0.49</v>
      </c>
      <c r="Z124">
        <v>1.3301163078</v>
      </c>
      <c r="AA124">
        <v>7.4548379114000003</v>
      </c>
      <c r="AB124">
        <v>0</v>
      </c>
      <c r="AC124">
        <v>1</v>
      </c>
      <c r="AD124">
        <v>0.24934603584692394</v>
      </c>
      <c r="AE124">
        <v>0</v>
      </c>
      <c r="AF124">
        <v>0.5181</v>
      </c>
      <c r="AG124">
        <v>0.38700000000000001</v>
      </c>
      <c r="AH124">
        <v>0.182</v>
      </c>
      <c r="AI124">
        <v>0.46800000000000003</v>
      </c>
      <c r="AJ124">
        <v>0.51200000000000001</v>
      </c>
      <c r="AK124">
        <v>6.4587973273942098E-2</v>
      </c>
      <c r="AL124">
        <v>0.24</v>
      </c>
      <c r="AM124">
        <v>5.4347826086956497</v>
      </c>
      <c r="AN124">
        <v>0.93596730245231596</v>
      </c>
      <c r="AO124">
        <v>0.16852264291017074</v>
      </c>
      <c r="AP124">
        <v>816.62954714179659</v>
      </c>
      <c r="AQ124">
        <v>958.92105914377623</v>
      </c>
      <c r="AR124">
        <v>129.91833704528582</v>
      </c>
      <c r="AS124">
        <v>92.798812175204148</v>
      </c>
      <c r="AT124" s="93">
        <v>2309300</v>
      </c>
    </row>
    <row r="125" spans="1:46" x14ac:dyDescent="0.3">
      <c r="A125" t="s">
        <v>212</v>
      </c>
      <c r="B125">
        <v>237</v>
      </c>
      <c r="C125">
        <v>828.46855664697443</v>
      </c>
      <c r="D125">
        <v>5</v>
      </c>
      <c r="E125">
        <v>17.478239591708324</v>
      </c>
      <c r="F125">
        <v>2.1097046413502109E-2</v>
      </c>
      <c r="G125">
        <v>28607</v>
      </c>
      <c r="H125">
        <v>4886128.569930437</v>
      </c>
      <c r="I125">
        <v>112170447.79249834</v>
      </c>
      <c r="J125">
        <v>947.44</v>
      </c>
      <c r="K125">
        <v>30.193996453601283</v>
      </c>
      <c r="L125">
        <v>7018.68</v>
      </c>
      <c r="M125">
        <v>0.60499999999999998</v>
      </c>
      <c r="N125">
        <v>20.59</v>
      </c>
      <c r="O125" s="89">
        <v>56989910.930891037</v>
      </c>
      <c r="P125" s="89">
        <v>92988933.652602509</v>
      </c>
      <c r="Q125">
        <v>8.3000000000000007</v>
      </c>
      <c r="R125">
        <v>7.7</v>
      </c>
      <c r="S125">
        <v>4.7</v>
      </c>
      <c r="T125">
        <v>99.969453990072495</v>
      </c>
      <c r="U125">
        <v>18880.09</v>
      </c>
      <c r="V125">
        <v>17.48</v>
      </c>
      <c r="W125">
        <v>29.27</v>
      </c>
      <c r="X125">
        <v>53.995047605761499</v>
      </c>
      <c r="Y125">
        <v>0.73</v>
      </c>
      <c r="Z125">
        <v>0.6991295837</v>
      </c>
      <c r="AA125">
        <v>7.5156430244000001</v>
      </c>
      <c r="AB125">
        <v>0</v>
      </c>
      <c r="AC125">
        <v>1</v>
      </c>
      <c r="AD125">
        <v>0.48165956361781953</v>
      </c>
      <c r="AE125">
        <v>0</v>
      </c>
      <c r="AF125">
        <v>0.50490000000000002</v>
      </c>
      <c r="AG125">
        <v>0.51200000000000001</v>
      </c>
      <c r="AH125">
        <v>0.34100000000000003</v>
      </c>
      <c r="AI125">
        <v>0.59499999999999997</v>
      </c>
      <c r="AJ125">
        <v>0.6</v>
      </c>
      <c r="AK125">
        <v>4.9568287482084805E-2</v>
      </c>
      <c r="AL125">
        <v>0.41310000000000002</v>
      </c>
      <c r="AM125">
        <v>7.9155672823219003</v>
      </c>
      <c r="AN125">
        <v>0.8853021978021981</v>
      </c>
      <c r="AO125">
        <v>0.15845772013842765</v>
      </c>
      <c r="AP125">
        <v>367.0430314258748</v>
      </c>
      <c r="AQ125">
        <v>1055.6856713391826</v>
      </c>
      <c r="AR125">
        <v>97.878141713566606</v>
      </c>
      <c r="AS125">
        <v>38.452127101758315</v>
      </c>
      <c r="AT125" s="93">
        <v>2309409</v>
      </c>
    </row>
    <row r="126" spans="1:46" x14ac:dyDescent="0.3">
      <c r="A126" t="s">
        <v>213</v>
      </c>
      <c r="B126">
        <v>358</v>
      </c>
      <c r="C126">
        <v>1392.8335213788273</v>
      </c>
      <c r="D126">
        <v>20</v>
      </c>
      <c r="E126">
        <v>77.811928568649563</v>
      </c>
      <c r="F126">
        <v>5.5865921787709494E-2</v>
      </c>
      <c r="G126">
        <v>25703</v>
      </c>
      <c r="H126">
        <v>2439028.2846360346</v>
      </c>
      <c r="I126">
        <v>102746761.07847333</v>
      </c>
      <c r="J126">
        <v>763.07500000000005</v>
      </c>
      <c r="K126">
        <v>33.683451823215279</v>
      </c>
      <c r="L126">
        <v>6918.38</v>
      </c>
      <c r="M126">
        <v>0.59399999999999997</v>
      </c>
      <c r="N126">
        <v>23.31</v>
      </c>
      <c r="O126" s="89">
        <v>72085218.106835768</v>
      </c>
      <c r="P126" s="89">
        <v>87006860.522118047</v>
      </c>
      <c r="Q126">
        <v>6.2</v>
      </c>
      <c r="R126">
        <v>5.0999999999999996</v>
      </c>
      <c r="S126">
        <v>4.2</v>
      </c>
      <c r="T126">
        <v>95.3628166595105</v>
      </c>
      <c r="U126">
        <v>21494.63</v>
      </c>
      <c r="V126">
        <v>23.34</v>
      </c>
      <c r="W126">
        <v>32.26</v>
      </c>
      <c r="X126">
        <v>49.099988386946897</v>
      </c>
      <c r="Y126">
        <v>0.74</v>
      </c>
      <c r="Z126">
        <v>0.8948371785</v>
      </c>
      <c r="AA126">
        <v>10.7769521068</v>
      </c>
      <c r="AB126">
        <v>0</v>
      </c>
      <c r="AC126">
        <v>1</v>
      </c>
      <c r="AD126">
        <v>0.68321739492647982</v>
      </c>
      <c r="AE126">
        <v>1</v>
      </c>
      <c r="AF126">
        <v>0.51790000000000003</v>
      </c>
      <c r="AG126">
        <v>0.52</v>
      </c>
      <c r="AH126">
        <v>0.48799999999999999</v>
      </c>
      <c r="AI126">
        <v>0.52200000000000002</v>
      </c>
      <c r="AJ126">
        <v>0.55100000000000005</v>
      </c>
      <c r="AK126">
        <v>4.5481072248375679E-2</v>
      </c>
      <c r="AL126">
        <v>0.33079999999999998</v>
      </c>
      <c r="AM126">
        <v>3.4965034965034998</v>
      </c>
      <c r="AN126">
        <v>0.92832167832167822</v>
      </c>
      <c r="AO126">
        <v>0.14430222153056063</v>
      </c>
      <c r="AP126">
        <v>357.93487141578805</v>
      </c>
      <c r="AQ126">
        <v>424.07501069914014</v>
      </c>
      <c r="AR126">
        <v>31.12477142745983</v>
      </c>
      <c r="AS126">
        <v>7.7811928568649575</v>
      </c>
      <c r="AT126" s="93">
        <v>2309458</v>
      </c>
    </row>
    <row r="127" spans="1:46" x14ac:dyDescent="0.3">
      <c r="A127" t="s">
        <v>504</v>
      </c>
      <c r="B127">
        <v>791</v>
      </c>
      <c r="C127">
        <v>3691.6040509637373</v>
      </c>
      <c r="D127">
        <v>19</v>
      </c>
      <c r="E127">
        <v>88.673169365753495</v>
      </c>
      <c r="F127">
        <v>2.402022756005057E-2</v>
      </c>
      <c r="G127">
        <v>21427</v>
      </c>
      <c r="H127">
        <v>3515461.8472021283</v>
      </c>
      <c r="I127">
        <v>107309469.36108649</v>
      </c>
      <c r="J127">
        <v>577.52599999999995</v>
      </c>
      <c r="K127">
        <v>37.101359938773321</v>
      </c>
      <c r="L127">
        <v>8000.89</v>
      </c>
      <c r="M127">
        <v>0.63600000000000001</v>
      </c>
      <c r="N127">
        <v>21.95</v>
      </c>
      <c r="O127" s="89">
        <v>68012344.845288664</v>
      </c>
      <c r="P127" s="89">
        <v>82555215.242451102</v>
      </c>
      <c r="Q127">
        <v>6.1</v>
      </c>
      <c r="R127">
        <v>4.5999999999999996</v>
      </c>
      <c r="S127">
        <v>4</v>
      </c>
      <c r="T127">
        <v>99.709329582747301</v>
      </c>
      <c r="U127">
        <v>20588.36</v>
      </c>
      <c r="V127">
        <v>28</v>
      </c>
      <c r="W127">
        <v>35</v>
      </c>
      <c r="X127">
        <v>59.404227459783002</v>
      </c>
      <c r="Y127">
        <v>1.1200000000000001</v>
      </c>
      <c r="Z127">
        <v>1.7267932982</v>
      </c>
      <c r="AA127">
        <v>9.3340178280000003</v>
      </c>
      <c r="AB127">
        <v>0</v>
      </c>
      <c r="AC127">
        <v>1</v>
      </c>
      <c r="AD127">
        <v>0.25087661882275936</v>
      </c>
      <c r="AE127">
        <v>1</v>
      </c>
      <c r="AF127">
        <v>0.57189999999999996</v>
      </c>
      <c r="AG127">
        <v>0.38400000000000001</v>
      </c>
      <c r="AH127">
        <v>0.20100000000000001</v>
      </c>
      <c r="AI127">
        <v>0.46400000000000002</v>
      </c>
      <c r="AJ127">
        <v>0.48699999999999999</v>
      </c>
      <c r="AK127">
        <v>3.8129462827274002E-2</v>
      </c>
      <c r="AL127">
        <v>0.2089</v>
      </c>
      <c r="AM127">
        <v>11.1524163568773</v>
      </c>
      <c r="AN127">
        <v>0.98214285714285721</v>
      </c>
      <c r="AO127">
        <v>0.18009987399075933</v>
      </c>
      <c r="AP127">
        <v>322.02361506510476</v>
      </c>
      <c r="AQ127">
        <v>868.06365800158676</v>
      </c>
      <c r="AR127">
        <v>98.007187193727532</v>
      </c>
      <c r="AS127">
        <v>46.670089139870257</v>
      </c>
      <c r="AT127" s="93">
        <v>2309508</v>
      </c>
    </row>
    <row r="128" spans="1:46" x14ac:dyDescent="0.3">
      <c r="A128" t="s">
        <v>215</v>
      </c>
      <c r="B128">
        <v>1054</v>
      </c>
      <c r="C128">
        <v>1459.7731396202373</v>
      </c>
      <c r="D128">
        <v>40</v>
      </c>
      <c r="E128">
        <v>55.399360137390417</v>
      </c>
      <c r="F128">
        <v>3.7950664136622389E-2</v>
      </c>
      <c r="G128">
        <v>72203</v>
      </c>
      <c r="H128">
        <v>4328846.0590280192</v>
      </c>
      <c r="I128">
        <v>91196210.683766603</v>
      </c>
      <c r="J128">
        <v>250.304</v>
      </c>
      <c r="K128">
        <v>288.46123114293022</v>
      </c>
      <c r="L128">
        <v>16046.29</v>
      </c>
      <c r="M128">
        <v>0.65900000000000003</v>
      </c>
      <c r="N128">
        <v>35.619999999999997</v>
      </c>
      <c r="O128" s="89">
        <v>37341602.06639614</v>
      </c>
      <c r="P128" s="89">
        <v>66151526.778665707</v>
      </c>
      <c r="Q128">
        <v>6.4</v>
      </c>
      <c r="R128">
        <v>4.9000000000000004</v>
      </c>
      <c r="S128">
        <v>4.8</v>
      </c>
      <c r="T128">
        <v>95.688772410920393</v>
      </c>
      <c r="U128">
        <v>83714.92</v>
      </c>
      <c r="V128">
        <v>38.78</v>
      </c>
      <c r="W128">
        <v>30.57</v>
      </c>
      <c r="X128">
        <v>31.137618188774098</v>
      </c>
      <c r="Y128">
        <v>0.36</v>
      </c>
      <c r="Z128">
        <v>0.88638976219999999</v>
      </c>
      <c r="AA128">
        <v>6.2739775356000003</v>
      </c>
      <c r="AB128">
        <v>1</v>
      </c>
      <c r="AC128">
        <v>1</v>
      </c>
      <c r="AD128">
        <v>0.18052006856625377</v>
      </c>
      <c r="AE128">
        <v>1</v>
      </c>
      <c r="AF128">
        <v>0.42009999999999997</v>
      </c>
      <c r="AG128">
        <v>0.379</v>
      </c>
      <c r="AH128">
        <v>0.31</v>
      </c>
      <c r="AI128">
        <v>0.40699999999999997</v>
      </c>
      <c r="AJ128">
        <v>0.42</v>
      </c>
      <c r="AK128">
        <v>0.11072947107460909</v>
      </c>
      <c r="AL128">
        <v>0.12619999999999998</v>
      </c>
      <c r="AM128">
        <v>20.255863539445599</v>
      </c>
      <c r="AN128">
        <v>0.65093304061470902</v>
      </c>
      <c r="AO128">
        <v>9.5314599116380211E-2</v>
      </c>
      <c r="AP128">
        <v>367.02076091021149</v>
      </c>
      <c r="AQ128">
        <v>300.54152874534299</v>
      </c>
      <c r="AR128">
        <v>56.784344140825169</v>
      </c>
      <c r="AS128">
        <v>5.539936013739041</v>
      </c>
      <c r="AT128" s="93">
        <v>2309607</v>
      </c>
    </row>
    <row r="129" spans="1:46" x14ac:dyDescent="0.3">
      <c r="A129" t="s">
        <v>216</v>
      </c>
      <c r="B129">
        <v>1446</v>
      </c>
      <c r="C129">
        <v>1733.1479528238565</v>
      </c>
      <c r="D129">
        <v>76</v>
      </c>
      <c r="E129">
        <v>91.092146898072684</v>
      </c>
      <c r="F129">
        <v>5.2558782849239281E-2</v>
      </c>
      <c r="G129">
        <v>83432</v>
      </c>
      <c r="H129">
        <v>3167602.1190909962</v>
      </c>
      <c r="I129">
        <v>75250982.836321786</v>
      </c>
      <c r="J129">
        <v>133.23599999999999</v>
      </c>
      <c r="K129">
        <v>626.19712390044742</v>
      </c>
      <c r="L129">
        <v>14015.57</v>
      </c>
      <c r="M129">
        <v>0.67500000000000004</v>
      </c>
      <c r="N129">
        <v>34.17</v>
      </c>
      <c r="O129" s="89">
        <v>39759824.71953208</v>
      </c>
      <c r="P129" s="89">
        <v>63149171.025505804</v>
      </c>
      <c r="Q129">
        <v>6</v>
      </c>
      <c r="R129">
        <v>5.0999999999999996</v>
      </c>
      <c r="S129">
        <v>4.8</v>
      </c>
      <c r="T129">
        <v>98.277302821880795</v>
      </c>
      <c r="U129">
        <v>102255.36</v>
      </c>
      <c r="V129">
        <v>27.57</v>
      </c>
      <c r="W129">
        <v>31.27</v>
      </c>
      <c r="X129">
        <v>25.525699552948399</v>
      </c>
      <c r="Y129">
        <v>0.25</v>
      </c>
      <c r="Z129">
        <v>0.22773036720000001</v>
      </c>
      <c r="AA129">
        <v>5.9209895483999997</v>
      </c>
      <c r="AB129">
        <v>1</v>
      </c>
      <c r="AC129">
        <v>0</v>
      </c>
      <c r="AD129">
        <v>0.1411361152989668</v>
      </c>
      <c r="AE129">
        <v>1</v>
      </c>
      <c r="AF129">
        <v>0.33770000000000006</v>
      </c>
      <c r="AG129">
        <v>0.38900000000000001</v>
      </c>
      <c r="AH129">
        <v>0.29399999999999998</v>
      </c>
      <c r="AI129">
        <v>0.45700000000000002</v>
      </c>
      <c r="AJ129">
        <v>0.41699999999999998</v>
      </c>
      <c r="AK129">
        <v>8.8359382491130498E-2</v>
      </c>
      <c r="AL129">
        <v>8.0500000000000002E-2</v>
      </c>
      <c r="AM129">
        <v>11.7762512266928</v>
      </c>
      <c r="AN129">
        <v>0.74526892430278879</v>
      </c>
      <c r="AO129">
        <v>8.8659027711189956E-2</v>
      </c>
      <c r="AP129">
        <v>285.26224949659598</v>
      </c>
      <c r="AQ129">
        <v>306.83670534087639</v>
      </c>
      <c r="AR129">
        <v>58.73046313165213</v>
      </c>
      <c r="AS129">
        <v>9.5886470419023873</v>
      </c>
      <c r="AT129" s="93">
        <v>2309706</v>
      </c>
    </row>
    <row r="130" spans="1:46" x14ac:dyDescent="0.3">
      <c r="A130" t="s">
        <v>217</v>
      </c>
      <c r="B130">
        <v>255</v>
      </c>
      <c r="C130">
        <v>2079.7651088818202</v>
      </c>
      <c r="D130">
        <v>7</v>
      </c>
      <c r="E130">
        <v>57.09159122420683</v>
      </c>
      <c r="F130">
        <v>2.7450980392156862E-2</v>
      </c>
      <c r="G130">
        <v>12261</v>
      </c>
      <c r="H130">
        <v>2528808.743169399</v>
      </c>
      <c r="I130">
        <v>97455346.219721064</v>
      </c>
      <c r="J130">
        <v>112.43300000000001</v>
      </c>
      <c r="K130">
        <v>109.05161296060764</v>
      </c>
      <c r="L130">
        <v>8863.39</v>
      </c>
      <c r="M130">
        <v>0.63500000000000001</v>
      </c>
      <c r="N130">
        <v>28.24</v>
      </c>
      <c r="O130" s="89">
        <v>76917733.38226898</v>
      </c>
      <c r="P130" s="89">
        <v>84028223.554359347</v>
      </c>
      <c r="Q130">
        <v>5.8</v>
      </c>
      <c r="R130">
        <v>5</v>
      </c>
      <c r="S130">
        <v>4.5</v>
      </c>
      <c r="T130">
        <v>98.303571428571402</v>
      </c>
      <c r="U130">
        <v>8144.49</v>
      </c>
      <c r="V130">
        <v>65.25</v>
      </c>
      <c r="W130">
        <v>32.31</v>
      </c>
      <c r="X130">
        <v>42.8304036458333</v>
      </c>
      <c r="Y130">
        <v>1.71</v>
      </c>
      <c r="Z130">
        <v>1.6311883207</v>
      </c>
      <c r="AA130">
        <v>9.0530951797999997</v>
      </c>
      <c r="AB130">
        <v>0</v>
      </c>
      <c r="AC130">
        <v>0</v>
      </c>
      <c r="AD130">
        <v>0.5911949685534591</v>
      </c>
      <c r="AE130">
        <v>0</v>
      </c>
      <c r="AF130">
        <v>0.55830000000000002</v>
      </c>
      <c r="AG130">
        <v>0.4</v>
      </c>
      <c r="AH130">
        <v>0.217</v>
      </c>
      <c r="AI130">
        <v>0.45400000000000001</v>
      </c>
      <c r="AJ130">
        <v>0.52800000000000002</v>
      </c>
      <c r="AK130">
        <v>8.1640975450615771E-2</v>
      </c>
      <c r="AL130">
        <v>0.19359999999999999</v>
      </c>
      <c r="AM130">
        <v>19.354838709677399</v>
      </c>
      <c r="AN130">
        <v>0.96103896103896103</v>
      </c>
      <c r="AO130">
        <v>0.12242068346790637</v>
      </c>
      <c r="AP130">
        <v>473.04461300057096</v>
      </c>
      <c r="AQ130">
        <v>1149.9877660875948</v>
      </c>
      <c r="AR130">
        <v>122.33912405187179</v>
      </c>
      <c r="AS130">
        <v>40.779708017290595</v>
      </c>
      <c r="AT130" s="93">
        <v>2309805</v>
      </c>
    </row>
    <row r="131" spans="1:46" x14ac:dyDescent="0.3">
      <c r="A131" t="s">
        <v>509</v>
      </c>
      <c r="B131">
        <v>174</v>
      </c>
      <c r="C131">
        <v>2663.4011939384663</v>
      </c>
      <c r="D131">
        <v>2</v>
      </c>
      <c r="E131">
        <v>30.613806826878925</v>
      </c>
      <c r="F131">
        <v>1.1494252873563218E-2</v>
      </c>
      <c r="G131">
        <v>6533</v>
      </c>
      <c r="H131">
        <v>2033686.2084800245</v>
      </c>
      <c r="I131">
        <v>98352977.192713916</v>
      </c>
      <c r="J131">
        <v>88.355000000000004</v>
      </c>
      <c r="K131">
        <v>73.940354252730458</v>
      </c>
      <c r="L131">
        <v>7559.43</v>
      </c>
      <c r="M131">
        <v>0.621</v>
      </c>
      <c r="N131">
        <v>21.74</v>
      </c>
      <c r="O131" s="89">
        <v>68380738.251951635</v>
      </c>
      <c r="P131" s="89">
        <v>139443195.92836368</v>
      </c>
      <c r="Q131">
        <v>7</v>
      </c>
      <c r="R131">
        <v>5.2</v>
      </c>
      <c r="S131">
        <v>5.5</v>
      </c>
      <c r="T131">
        <v>97.784888013782904</v>
      </c>
      <c r="U131">
        <v>6190.86</v>
      </c>
      <c r="V131">
        <v>30.61</v>
      </c>
      <c r="W131">
        <v>27.59</v>
      </c>
      <c r="X131">
        <v>44.449534280042798</v>
      </c>
      <c r="Y131">
        <v>1.22</v>
      </c>
      <c r="Z131">
        <v>0</v>
      </c>
      <c r="AA131">
        <v>11.020970457700001</v>
      </c>
      <c r="AB131">
        <v>0</v>
      </c>
      <c r="AC131">
        <v>1</v>
      </c>
      <c r="AD131">
        <v>0.37804878048780488</v>
      </c>
      <c r="AE131">
        <v>0</v>
      </c>
      <c r="AF131">
        <v>0.52759999999999996</v>
      </c>
      <c r="AG131">
        <v>0.377</v>
      </c>
      <c r="AH131">
        <v>0.13100000000000001</v>
      </c>
      <c r="AI131">
        <v>0.45800000000000002</v>
      </c>
      <c r="AJ131">
        <v>0.54300000000000004</v>
      </c>
      <c r="AK131">
        <v>5.9390785244145108E-2</v>
      </c>
      <c r="AL131">
        <v>0.2195</v>
      </c>
      <c r="AM131">
        <v>29.411764705882401</v>
      </c>
      <c r="AN131">
        <v>0.80421686746987975</v>
      </c>
      <c r="AO131">
        <v>0.15107913669064749</v>
      </c>
      <c r="AP131">
        <v>306.1380682687892</v>
      </c>
      <c r="AQ131">
        <v>811.26588091229144</v>
      </c>
      <c r="AR131">
        <v>45.920710240318385</v>
      </c>
      <c r="AS131">
        <v>15.306903413439462</v>
      </c>
      <c r="AT131" s="93">
        <v>2309904</v>
      </c>
    </row>
    <row r="132" spans="1:46" x14ac:dyDescent="0.3">
      <c r="A132" t="s">
        <v>219</v>
      </c>
      <c r="B132">
        <v>77</v>
      </c>
      <c r="C132">
        <v>820.37076496910299</v>
      </c>
      <c r="D132">
        <v>3</v>
      </c>
      <c r="E132">
        <v>31.962497336458558</v>
      </c>
      <c r="F132">
        <v>3.896103896103896E-2</v>
      </c>
      <c r="G132">
        <v>9386</v>
      </c>
      <c r="H132">
        <v>11344528.979330918</v>
      </c>
      <c r="I132">
        <v>99735776.688685283</v>
      </c>
      <c r="J132">
        <v>436.98</v>
      </c>
      <c r="K132">
        <v>21.479243901322715</v>
      </c>
      <c r="L132">
        <v>8245.56</v>
      </c>
      <c r="M132">
        <v>0.63800000000000001</v>
      </c>
      <c r="N132">
        <v>22.54</v>
      </c>
      <c r="O132" s="89">
        <v>72927455.145962074</v>
      </c>
      <c r="P132" s="89">
        <v>73020331.02493073</v>
      </c>
      <c r="Q132">
        <v>6.2</v>
      </c>
      <c r="R132">
        <v>6</v>
      </c>
      <c r="S132">
        <v>4.3</v>
      </c>
      <c r="T132">
        <v>96.541717049576803</v>
      </c>
      <c r="U132">
        <v>8714.65</v>
      </c>
      <c r="V132">
        <v>10.65</v>
      </c>
      <c r="W132">
        <v>32.5</v>
      </c>
      <c r="X132">
        <v>44.003396306516699</v>
      </c>
      <c r="Y132">
        <v>0.53</v>
      </c>
      <c r="Z132">
        <v>0.95887492009999997</v>
      </c>
      <c r="AA132">
        <v>10.8672490944</v>
      </c>
      <c r="AB132">
        <v>0</v>
      </c>
      <c r="AC132">
        <v>1</v>
      </c>
      <c r="AD132">
        <v>0.49075118429957137</v>
      </c>
      <c r="AE132">
        <v>0</v>
      </c>
      <c r="AF132">
        <v>0.59619999999999995</v>
      </c>
      <c r="AG132">
        <v>0.40500000000000003</v>
      </c>
      <c r="AH132">
        <v>0.34899999999999998</v>
      </c>
      <c r="AI132">
        <v>0.42899999999999999</v>
      </c>
      <c r="AJ132">
        <v>0.438</v>
      </c>
      <c r="AK132">
        <v>7.2554868953760926E-2</v>
      </c>
      <c r="AL132">
        <v>0.1963</v>
      </c>
      <c r="AM132">
        <v>27.272727272727298</v>
      </c>
      <c r="AN132">
        <v>1</v>
      </c>
      <c r="AO132">
        <v>0.16354144470487961</v>
      </c>
      <c r="AP132">
        <v>522.05412316215643</v>
      </c>
      <c r="AQ132">
        <v>596.63328361389301</v>
      </c>
      <c r="AR132">
        <v>85.233326230556145</v>
      </c>
      <c r="AS132">
        <v>53.270828894097598</v>
      </c>
      <c r="AT132" s="93">
        <v>2310001</v>
      </c>
    </row>
    <row r="133" spans="1:46" x14ac:dyDescent="0.3">
      <c r="A133" t="s">
        <v>512</v>
      </c>
      <c r="B133">
        <v>202</v>
      </c>
      <c r="C133">
        <v>1516.2888455186908</v>
      </c>
      <c r="D133">
        <v>6</v>
      </c>
      <c r="E133">
        <v>45.038282540159138</v>
      </c>
      <c r="F133">
        <v>2.9702970297029702E-2</v>
      </c>
      <c r="G133">
        <v>13322</v>
      </c>
      <c r="H133">
        <v>9979292.8989641182</v>
      </c>
      <c r="I133">
        <v>82649752.289446026</v>
      </c>
      <c r="J133">
        <v>128.89599999999999</v>
      </c>
      <c r="K133">
        <v>103.35464250248263</v>
      </c>
      <c r="L133">
        <v>7017.58</v>
      </c>
      <c r="M133">
        <v>0.622</v>
      </c>
      <c r="N133">
        <v>22.29</v>
      </c>
      <c r="O133" s="89">
        <v>41939573.337336734</v>
      </c>
      <c r="P133" s="89">
        <v>68799514.562378019</v>
      </c>
      <c r="Q133">
        <v>6.3</v>
      </c>
      <c r="R133">
        <v>5</v>
      </c>
      <c r="S133">
        <v>5</v>
      </c>
      <c r="T133">
        <v>99.3067934244405</v>
      </c>
      <c r="U133">
        <v>5462.39</v>
      </c>
      <c r="V133">
        <v>45.04</v>
      </c>
      <c r="W133">
        <v>33.33</v>
      </c>
      <c r="X133">
        <v>40.605699828856302</v>
      </c>
      <c r="Y133">
        <v>0.53</v>
      </c>
      <c r="Z133">
        <v>1.2010208677</v>
      </c>
      <c r="AA133">
        <v>7.0559975980000003</v>
      </c>
      <c r="AB133">
        <v>0</v>
      </c>
      <c r="AC133">
        <v>0</v>
      </c>
      <c r="AD133">
        <v>0.58708871303623489</v>
      </c>
      <c r="AE133">
        <v>0</v>
      </c>
      <c r="AF133">
        <v>0.63829999999999998</v>
      </c>
      <c r="AG133">
        <v>0.51500000000000001</v>
      </c>
      <c r="AH133">
        <v>0.47199999999999998</v>
      </c>
      <c r="AI133">
        <v>0.58499999999999996</v>
      </c>
      <c r="AJ133">
        <v>0.48699999999999999</v>
      </c>
      <c r="AK133">
        <v>6.1627383275784417E-2</v>
      </c>
      <c r="AL133">
        <v>0.2571</v>
      </c>
      <c r="AN133">
        <v>0.82905982905982911</v>
      </c>
      <c r="AO133">
        <v>0.12235400090076565</v>
      </c>
      <c r="AP133">
        <v>307.76159735775406</v>
      </c>
      <c r="AQ133">
        <v>210.17865185407598</v>
      </c>
      <c r="AR133">
        <v>52.544662963518995</v>
      </c>
      <c r="AS133">
        <v>7.5063804233598566</v>
      </c>
      <c r="AT133" s="93">
        <v>2310100</v>
      </c>
    </row>
    <row r="134" spans="1:46" x14ac:dyDescent="0.3">
      <c r="A134" t="s">
        <v>221</v>
      </c>
      <c r="B134">
        <v>640</v>
      </c>
      <c r="C134">
        <v>1824.6094195461283</v>
      </c>
      <c r="D134">
        <v>37</v>
      </c>
      <c r="E134">
        <v>105.48523206751054</v>
      </c>
      <c r="F134">
        <v>5.7812500000000003E-2</v>
      </c>
      <c r="G134">
        <v>35076</v>
      </c>
      <c r="H134">
        <v>6665845.3928612163</v>
      </c>
      <c r="I134">
        <v>113768388.64180636</v>
      </c>
      <c r="J134">
        <v>304.73399999999998</v>
      </c>
      <c r="K134">
        <v>115.10366417925142</v>
      </c>
      <c r="L134">
        <v>14316.98</v>
      </c>
      <c r="M134">
        <v>0.63700000000000001</v>
      </c>
      <c r="N134">
        <v>30.85</v>
      </c>
      <c r="O134" s="89">
        <v>62938367.145626634</v>
      </c>
      <c r="P134" s="89">
        <v>119010397.73634394</v>
      </c>
      <c r="Q134">
        <v>6.2</v>
      </c>
      <c r="R134">
        <v>5.4</v>
      </c>
      <c r="S134">
        <v>4.8</v>
      </c>
      <c r="T134">
        <v>87.547310873323696</v>
      </c>
      <c r="U134">
        <v>40138.58</v>
      </c>
      <c r="V134">
        <v>25.66</v>
      </c>
      <c r="W134">
        <v>32.68</v>
      </c>
      <c r="X134">
        <v>47.864264672558299</v>
      </c>
      <c r="Y134">
        <v>0.51</v>
      </c>
      <c r="Z134">
        <v>1.1403808872000001</v>
      </c>
      <c r="AA134">
        <v>7.0988710229</v>
      </c>
      <c r="AB134">
        <v>1</v>
      </c>
      <c r="AC134">
        <v>0</v>
      </c>
      <c r="AD134">
        <v>0.34919079529649766</v>
      </c>
      <c r="AE134">
        <v>1</v>
      </c>
      <c r="AF134">
        <v>0.40479999999999999</v>
      </c>
      <c r="AG134">
        <v>0.42399999999999999</v>
      </c>
      <c r="AH134">
        <v>0.34</v>
      </c>
      <c r="AI134">
        <v>0.504</v>
      </c>
      <c r="AJ134">
        <v>0.42699999999999999</v>
      </c>
      <c r="AK134">
        <v>9.6305165925419087E-2</v>
      </c>
      <c r="AL134">
        <v>0.1978</v>
      </c>
      <c r="AM134">
        <v>14.8514851485149</v>
      </c>
      <c r="AN134">
        <v>0.7040895061728395</v>
      </c>
      <c r="AO134">
        <v>0.11891321701448283</v>
      </c>
      <c r="AP134">
        <v>339.26331394685826</v>
      </c>
      <c r="AQ134">
        <v>333.56140951077663</v>
      </c>
      <c r="AR134">
        <v>59.869996578857339</v>
      </c>
      <c r="AS134">
        <v>2.8509522180408253</v>
      </c>
      <c r="AT134" s="93">
        <v>2310209</v>
      </c>
    </row>
    <row r="135" spans="1:46" x14ac:dyDescent="0.3">
      <c r="A135" t="s">
        <v>222</v>
      </c>
      <c r="B135">
        <v>771</v>
      </c>
      <c r="C135">
        <v>2354.6298558514536</v>
      </c>
      <c r="D135">
        <v>27</v>
      </c>
      <c r="E135">
        <v>82.457854874175425</v>
      </c>
      <c r="F135">
        <v>3.5019455252918288E-2</v>
      </c>
      <c r="G135">
        <v>32744</v>
      </c>
      <c r="H135">
        <v>2359863.2726606401</v>
      </c>
      <c r="I135">
        <v>105780601.02614219</v>
      </c>
      <c r="J135">
        <v>289.23099999999999</v>
      </c>
      <c r="K135">
        <v>113.21054797030747</v>
      </c>
      <c r="L135">
        <v>11941.7</v>
      </c>
      <c r="M135">
        <v>0.63400000000000001</v>
      </c>
      <c r="N135">
        <v>35.409999999999997</v>
      </c>
      <c r="O135" s="89">
        <v>50759332.152455412</v>
      </c>
      <c r="P135" s="89">
        <v>89271598.49132666</v>
      </c>
      <c r="Q135">
        <v>6.1</v>
      </c>
      <c r="R135">
        <v>4.8</v>
      </c>
      <c r="S135">
        <v>4.2</v>
      </c>
      <c r="T135">
        <v>99.509667869368101</v>
      </c>
      <c r="U135">
        <v>50594.05</v>
      </c>
      <c r="V135">
        <v>18.32</v>
      </c>
      <c r="W135">
        <v>30</v>
      </c>
      <c r="X135">
        <v>44.319835111542197</v>
      </c>
      <c r="Y135">
        <v>0.55000000000000004</v>
      </c>
      <c r="Z135">
        <v>0.76349865620000001</v>
      </c>
      <c r="AA135">
        <v>6.9936476911999996</v>
      </c>
      <c r="AB135">
        <v>1</v>
      </c>
      <c r="AC135">
        <v>0</v>
      </c>
      <c r="AD135">
        <v>0.55277787024399982</v>
      </c>
      <c r="AE135">
        <v>1</v>
      </c>
      <c r="AF135">
        <v>0.52670000000000006</v>
      </c>
      <c r="AG135">
        <v>0.434</v>
      </c>
      <c r="AH135">
        <v>0.28699999999999998</v>
      </c>
      <c r="AI135">
        <v>0.51400000000000001</v>
      </c>
      <c r="AJ135">
        <v>0.5</v>
      </c>
      <c r="AK135">
        <v>0.12994747129245052</v>
      </c>
      <c r="AL135">
        <v>0.2011</v>
      </c>
      <c r="AM135">
        <v>2.4390243902439002</v>
      </c>
      <c r="AN135">
        <v>0.92326139088729031</v>
      </c>
      <c r="AO135">
        <v>0.11446371854385537</v>
      </c>
      <c r="AP135">
        <v>271.80552162228196</v>
      </c>
      <c r="AQ135">
        <v>516.12509161983871</v>
      </c>
      <c r="AR135">
        <v>6.1079892499389201</v>
      </c>
      <c r="AS135">
        <v>6.1079892499389201</v>
      </c>
      <c r="AT135" s="93">
        <v>2310258</v>
      </c>
    </row>
    <row r="136" spans="1:46" x14ac:dyDescent="0.3">
      <c r="A136" t="s">
        <v>223</v>
      </c>
      <c r="B136">
        <v>204</v>
      </c>
      <c r="C136">
        <v>647.1875892262301</v>
      </c>
      <c r="D136">
        <v>15</v>
      </c>
      <c r="E136">
        <v>47.587322737222806</v>
      </c>
      <c r="F136">
        <v>7.3529411764705885E-2</v>
      </c>
      <c r="G136">
        <v>31521</v>
      </c>
      <c r="H136">
        <v>4724572.3168681199</v>
      </c>
      <c r="I136">
        <v>92957076.234891027</v>
      </c>
      <c r="J136">
        <v>2313.8679999999999</v>
      </c>
      <c r="K136">
        <v>13.622643988334685</v>
      </c>
      <c r="L136">
        <v>6709.78</v>
      </c>
      <c r="M136">
        <v>0.56999999999999995</v>
      </c>
      <c r="N136">
        <v>12.92</v>
      </c>
      <c r="O136" s="89">
        <v>53989997.5571841</v>
      </c>
      <c r="P136" s="89">
        <v>106346583.67437582</v>
      </c>
      <c r="Q136">
        <v>6.8</v>
      </c>
      <c r="R136">
        <v>5.6</v>
      </c>
      <c r="S136">
        <v>4.7</v>
      </c>
      <c r="T136">
        <v>99.941661805150403</v>
      </c>
      <c r="U136">
        <v>22821.82</v>
      </c>
      <c r="V136">
        <v>15.86</v>
      </c>
      <c r="W136">
        <v>28.89</v>
      </c>
      <c r="X136">
        <v>39.0780480050866</v>
      </c>
      <c r="Y136">
        <v>0.92</v>
      </c>
      <c r="Z136">
        <v>1.2372703912</v>
      </c>
      <c r="AA136">
        <v>8.8195171472999991</v>
      </c>
      <c r="AB136">
        <v>0</v>
      </c>
      <c r="AC136">
        <v>1</v>
      </c>
      <c r="AD136">
        <v>0.5494586221214347</v>
      </c>
      <c r="AE136">
        <v>0</v>
      </c>
      <c r="AF136">
        <v>0.60109999999999997</v>
      </c>
      <c r="AG136">
        <v>0.51200000000000001</v>
      </c>
      <c r="AH136">
        <v>0.251</v>
      </c>
      <c r="AI136">
        <v>0.63700000000000001</v>
      </c>
      <c r="AJ136">
        <v>0.64700000000000002</v>
      </c>
      <c r="AK136">
        <v>5.8913105548681829E-2</v>
      </c>
      <c r="AL136">
        <v>0.31819999999999998</v>
      </c>
      <c r="AM136">
        <v>27.459954233409601</v>
      </c>
      <c r="AN136">
        <v>0.59394904458598752</v>
      </c>
      <c r="AO136">
        <v>0.16154309825195901</v>
      </c>
      <c r="AP136">
        <v>913.67659655467776</v>
      </c>
      <c r="AQ136">
        <v>923.19406110212242</v>
      </c>
      <c r="AR136">
        <v>231.59163732115098</v>
      </c>
      <c r="AS136">
        <v>47.587322737222806</v>
      </c>
      <c r="AT136" s="93">
        <v>2310308</v>
      </c>
    </row>
    <row r="137" spans="1:46" x14ac:dyDescent="0.3">
      <c r="A137" t="s">
        <v>224</v>
      </c>
      <c r="B137">
        <v>145</v>
      </c>
      <c r="C137">
        <v>1185.9970554555864</v>
      </c>
      <c r="D137">
        <v>3</v>
      </c>
      <c r="E137">
        <v>24.537870112874202</v>
      </c>
      <c r="F137">
        <v>2.0689655172413793E-2</v>
      </c>
      <c r="G137">
        <v>12226</v>
      </c>
      <c r="H137">
        <v>5853410.8457385898</v>
      </c>
      <c r="I137">
        <v>96929494.519875675</v>
      </c>
      <c r="J137">
        <v>539.23800000000006</v>
      </c>
      <c r="K137">
        <v>22.672734488296445</v>
      </c>
      <c r="L137">
        <v>7997.84</v>
      </c>
      <c r="M137">
        <v>0.58299999999999996</v>
      </c>
      <c r="N137">
        <v>18.8</v>
      </c>
      <c r="O137" s="89">
        <v>52642416.57124161</v>
      </c>
      <c r="P137" s="89">
        <v>113523656.14264682</v>
      </c>
      <c r="Q137">
        <v>4.7</v>
      </c>
      <c r="R137">
        <v>5</v>
      </c>
      <c r="S137">
        <v>4.5</v>
      </c>
      <c r="T137">
        <v>98.914858096828098</v>
      </c>
      <c r="U137">
        <v>8630.08</v>
      </c>
      <c r="V137">
        <v>32.72</v>
      </c>
      <c r="W137">
        <v>31.03</v>
      </c>
      <c r="X137">
        <v>50.9467841984982</v>
      </c>
      <c r="Y137">
        <v>0.56999999999999995</v>
      </c>
      <c r="Z137">
        <v>2.2902012104999998</v>
      </c>
      <c r="AA137">
        <v>8.0974971371999995</v>
      </c>
      <c r="AB137">
        <v>0</v>
      </c>
      <c r="AC137">
        <v>1</v>
      </c>
      <c r="AD137">
        <v>0.51008135833038559</v>
      </c>
      <c r="AE137">
        <v>0</v>
      </c>
      <c r="AF137">
        <v>0.47859999999999997</v>
      </c>
      <c r="AG137">
        <v>0.48699999999999999</v>
      </c>
      <c r="AH137">
        <v>0.29399999999999998</v>
      </c>
      <c r="AI137">
        <v>0.59199999999999997</v>
      </c>
      <c r="AJ137">
        <v>0.57499999999999996</v>
      </c>
      <c r="AK137">
        <v>5.480124325208572E-2</v>
      </c>
      <c r="AL137">
        <v>0.34539999999999998</v>
      </c>
      <c r="AM137">
        <v>9.2592592592592595</v>
      </c>
      <c r="AN137">
        <v>0.9565217391304347</v>
      </c>
      <c r="AO137">
        <v>0.12702437428431212</v>
      </c>
      <c r="AP137">
        <v>253.55799116636678</v>
      </c>
      <c r="AQ137">
        <v>278.09586127924098</v>
      </c>
      <c r="AR137">
        <v>49.075740225748405</v>
      </c>
      <c r="AS137">
        <v>16.358580075249471</v>
      </c>
      <c r="AT137" s="93">
        <v>2310407</v>
      </c>
    </row>
    <row r="138" spans="1:46" x14ac:dyDescent="0.3">
      <c r="A138" t="s">
        <v>225</v>
      </c>
      <c r="B138">
        <v>254</v>
      </c>
      <c r="C138">
        <v>587.17462665865276</v>
      </c>
      <c r="D138">
        <v>14</v>
      </c>
      <c r="E138">
        <v>32.363955800083218</v>
      </c>
      <c r="F138">
        <v>5.5118110236220472E-2</v>
      </c>
      <c r="G138">
        <v>43258</v>
      </c>
      <c r="H138">
        <v>2542807.80433677</v>
      </c>
      <c r="I138">
        <v>95785288.27037774</v>
      </c>
      <c r="J138">
        <v>1302.0809999999999</v>
      </c>
      <c r="K138">
        <v>33.222203534188736</v>
      </c>
      <c r="L138">
        <v>6723.4</v>
      </c>
      <c r="M138">
        <v>0.60299999999999998</v>
      </c>
      <c r="N138">
        <v>18.25</v>
      </c>
      <c r="O138" s="89">
        <v>59154244.301632069</v>
      </c>
      <c r="P138" s="89">
        <v>94000206.065929994</v>
      </c>
      <c r="Q138">
        <v>8.1</v>
      </c>
      <c r="R138">
        <v>6.1</v>
      </c>
      <c r="S138">
        <v>5.0999999999999996</v>
      </c>
      <c r="T138">
        <v>96.839369055355405</v>
      </c>
      <c r="U138">
        <v>26445</v>
      </c>
      <c r="V138">
        <v>18.489999999999998</v>
      </c>
      <c r="W138">
        <v>28.57</v>
      </c>
      <c r="X138">
        <v>45.524025029439599</v>
      </c>
      <c r="Y138">
        <v>0.55000000000000004</v>
      </c>
      <c r="Z138">
        <v>1.1789726756000001</v>
      </c>
      <c r="AA138">
        <v>9.0850247352999993</v>
      </c>
      <c r="AB138">
        <v>0</v>
      </c>
      <c r="AC138">
        <v>1</v>
      </c>
      <c r="AD138">
        <v>0.41489615660062068</v>
      </c>
      <c r="AE138">
        <v>0</v>
      </c>
      <c r="AF138">
        <v>0.63119999999999998</v>
      </c>
      <c r="AG138">
        <v>0.443</v>
      </c>
      <c r="AH138">
        <v>0.247</v>
      </c>
      <c r="AI138">
        <v>0.53600000000000003</v>
      </c>
      <c r="AJ138">
        <v>0.54600000000000004</v>
      </c>
      <c r="AK138">
        <v>7.1686162097184342E-2</v>
      </c>
      <c r="AL138">
        <v>0.30170000000000002</v>
      </c>
      <c r="AM138">
        <v>10.351966873706001</v>
      </c>
      <c r="AN138">
        <v>0.70177902621722854</v>
      </c>
      <c r="AO138">
        <v>0.15107032225253134</v>
      </c>
      <c r="AP138">
        <v>554.81067085856955</v>
      </c>
      <c r="AQ138">
        <v>610.29173794442647</v>
      </c>
      <c r="AR138">
        <v>71.663044985898551</v>
      </c>
      <c r="AS138">
        <v>4.6234222571547461</v>
      </c>
      <c r="AT138" s="93">
        <v>2310506</v>
      </c>
    </row>
    <row r="139" spans="1:46" x14ac:dyDescent="0.3">
      <c r="A139" t="s">
        <v>226</v>
      </c>
      <c r="B139">
        <v>18</v>
      </c>
      <c r="C139">
        <v>198.30340420843891</v>
      </c>
      <c r="D139">
        <v>3</v>
      </c>
      <c r="E139">
        <v>33.050567368073153</v>
      </c>
      <c r="F139">
        <v>0.16666666666666666</v>
      </c>
      <c r="G139">
        <v>9077</v>
      </c>
      <c r="H139">
        <v>7861507.2160405414</v>
      </c>
      <c r="I139">
        <v>120852704.63809629</v>
      </c>
      <c r="J139">
        <v>150.536</v>
      </c>
      <c r="K139">
        <v>60.297868948291438</v>
      </c>
      <c r="L139">
        <v>23504.33</v>
      </c>
      <c r="M139">
        <v>0.64600000000000002</v>
      </c>
      <c r="N139">
        <v>25.21</v>
      </c>
      <c r="O139" s="89">
        <v>80558069.51636003</v>
      </c>
      <c r="P139" s="89">
        <v>137947491.79244244</v>
      </c>
      <c r="Q139">
        <v>6.4</v>
      </c>
      <c r="R139">
        <v>4.8</v>
      </c>
      <c r="S139">
        <v>4.2</v>
      </c>
      <c r="T139">
        <v>98.861393654167301</v>
      </c>
      <c r="U139">
        <v>11942.91</v>
      </c>
      <c r="V139">
        <v>33.049999999999997</v>
      </c>
      <c r="W139">
        <v>29.41</v>
      </c>
      <c r="X139">
        <v>64.027124576178494</v>
      </c>
      <c r="Y139">
        <v>1.21</v>
      </c>
      <c r="Z139">
        <v>1.4321912526</v>
      </c>
      <c r="AA139">
        <v>10.5761815578</v>
      </c>
      <c r="AB139">
        <v>0</v>
      </c>
      <c r="AC139">
        <v>1</v>
      </c>
      <c r="AD139">
        <v>0.22210065645514224</v>
      </c>
      <c r="AE139">
        <v>0</v>
      </c>
      <c r="AF139">
        <v>0.52</v>
      </c>
      <c r="AG139">
        <v>0.42599999999999999</v>
      </c>
      <c r="AH139">
        <v>0.20499999999999999</v>
      </c>
      <c r="AI139">
        <v>0.53800000000000003</v>
      </c>
      <c r="AJ139">
        <v>0.53400000000000003</v>
      </c>
      <c r="AK139">
        <v>8.3177261209650771E-2</v>
      </c>
      <c r="AL139">
        <v>0.22089999999999999</v>
      </c>
      <c r="AM139">
        <v>25.380710659898501</v>
      </c>
      <c r="AN139">
        <v>0.98192771084337349</v>
      </c>
      <c r="AO139">
        <v>0.11611766001983034</v>
      </c>
      <c r="AP139">
        <v>672.02820315082079</v>
      </c>
      <c r="AQ139">
        <v>440.67423157430869</v>
      </c>
      <c r="AR139">
        <v>33.050567368073153</v>
      </c>
      <c r="AS139">
        <v>11.016855789357717</v>
      </c>
      <c r="AT139" s="93">
        <v>2310605</v>
      </c>
    </row>
    <row r="140" spans="1:46" x14ac:dyDescent="0.3">
      <c r="A140" t="s">
        <v>227</v>
      </c>
      <c r="B140">
        <v>630</v>
      </c>
      <c r="C140">
        <v>1668.8299647691454</v>
      </c>
      <c r="D140">
        <v>28</v>
      </c>
      <c r="E140">
        <v>74.170220656406457</v>
      </c>
      <c r="F140">
        <v>4.4444444444444446E-2</v>
      </c>
      <c r="G140">
        <v>37751</v>
      </c>
      <c r="H140">
        <v>2888554.6872930517</v>
      </c>
      <c r="I140">
        <v>93915392.969722658</v>
      </c>
      <c r="J140">
        <v>1379.836</v>
      </c>
      <c r="K140">
        <v>27.359048466629368</v>
      </c>
      <c r="L140">
        <v>10924.95</v>
      </c>
      <c r="M140">
        <v>0.629</v>
      </c>
      <c r="N140">
        <v>28.28</v>
      </c>
      <c r="O140" s="89">
        <v>74768795.237212256</v>
      </c>
      <c r="P140" s="89">
        <v>85576232.894492865</v>
      </c>
      <c r="Q140">
        <v>6.8</v>
      </c>
      <c r="R140">
        <v>4.7</v>
      </c>
      <c r="S140">
        <v>4.3</v>
      </c>
      <c r="T140">
        <v>99.638815314230698</v>
      </c>
      <c r="U140">
        <v>36602.78</v>
      </c>
      <c r="V140">
        <v>0</v>
      </c>
      <c r="W140">
        <v>32.35</v>
      </c>
      <c r="X140">
        <v>39.7044854881267</v>
      </c>
      <c r="Y140">
        <v>0.56000000000000005</v>
      </c>
      <c r="Z140">
        <v>1.3509575905</v>
      </c>
      <c r="AA140">
        <v>9.7480861434000001</v>
      </c>
      <c r="AB140">
        <v>0</v>
      </c>
      <c r="AC140">
        <v>1</v>
      </c>
      <c r="AD140">
        <v>0.39564971751412431</v>
      </c>
      <c r="AE140">
        <v>0</v>
      </c>
      <c r="AF140">
        <v>0.60530000000000006</v>
      </c>
      <c r="AG140">
        <v>0.44800000000000001</v>
      </c>
      <c r="AH140">
        <v>0.29599999999999999</v>
      </c>
      <c r="AI140">
        <v>0.54200000000000004</v>
      </c>
      <c r="AJ140">
        <v>0.50700000000000001</v>
      </c>
      <c r="AK140">
        <v>0.11729490609520278</v>
      </c>
      <c r="AL140">
        <v>0.2641</v>
      </c>
      <c r="AM140">
        <v>11.090573012939</v>
      </c>
      <c r="AN140">
        <v>0.82554671968190863</v>
      </c>
      <c r="AO140">
        <v>0.12410267277688009</v>
      </c>
      <c r="AP140">
        <v>320.52131069375645</v>
      </c>
      <c r="AQ140">
        <v>500.64898943074354</v>
      </c>
      <c r="AR140">
        <v>76.819157108420967</v>
      </c>
      <c r="AS140">
        <v>18.542555164101614</v>
      </c>
      <c r="AT140" s="93">
        <v>2310704</v>
      </c>
    </row>
    <row r="141" spans="1:46" x14ac:dyDescent="0.3">
      <c r="A141" t="s">
        <v>228</v>
      </c>
      <c r="B141">
        <v>78</v>
      </c>
      <c r="C141">
        <v>478.32219292328449</v>
      </c>
      <c r="D141">
        <v>0</v>
      </c>
      <c r="E141">
        <v>0</v>
      </c>
      <c r="F141">
        <v>0</v>
      </c>
      <c r="G141">
        <v>16307</v>
      </c>
      <c r="H141">
        <v>4881177.5924449619</v>
      </c>
      <c r="I141">
        <v>92084380.940700322</v>
      </c>
      <c r="J141">
        <v>435.86799999999999</v>
      </c>
      <c r="K141">
        <v>37.412702928409516</v>
      </c>
      <c r="L141">
        <v>18931.91</v>
      </c>
      <c r="M141">
        <v>0.60099999999999998</v>
      </c>
      <c r="N141">
        <v>26.38</v>
      </c>
      <c r="O141" s="89">
        <v>61736186.729625322</v>
      </c>
      <c r="P141" s="89">
        <v>107036555.40565401</v>
      </c>
      <c r="Q141">
        <v>6.3</v>
      </c>
      <c r="R141">
        <v>5.2</v>
      </c>
      <c r="S141">
        <v>4.9000000000000004</v>
      </c>
      <c r="T141">
        <v>98.415802855466495</v>
      </c>
      <c r="U141">
        <v>16560.43</v>
      </c>
      <c r="V141">
        <v>6.13</v>
      </c>
      <c r="W141">
        <v>33.33</v>
      </c>
      <c r="X141">
        <v>48.031351417549402</v>
      </c>
      <c r="Y141">
        <v>0.67</v>
      </c>
      <c r="Z141">
        <v>1.5330839516999999</v>
      </c>
      <c r="AA141">
        <v>8.5852701293999996</v>
      </c>
      <c r="AB141">
        <v>0</v>
      </c>
      <c r="AC141">
        <v>1</v>
      </c>
      <c r="AD141">
        <v>0.65520086310845971</v>
      </c>
      <c r="AE141">
        <v>0</v>
      </c>
      <c r="AF141">
        <v>0.623</v>
      </c>
      <c r="AG141">
        <v>0.45600000000000002</v>
      </c>
      <c r="AH141">
        <v>0.32700000000000001</v>
      </c>
      <c r="AI141">
        <v>0.47099999999999997</v>
      </c>
      <c r="AJ141">
        <v>0.56899999999999995</v>
      </c>
      <c r="AK141">
        <v>0.21438645980253879</v>
      </c>
      <c r="AL141">
        <v>0.38189999999999996</v>
      </c>
      <c r="AM141">
        <v>9.9009900990098991</v>
      </c>
      <c r="AN141">
        <v>0.92876344086021501</v>
      </c>
      <c r="AO141">
        <v>0.1582755871711535</v>
      </c>
      <c r="AP141">
        <v>472.18985711657575</v>
      </c>
      <c r="AQ141">
        <v>895.32102777948126</v>
      </c>
      <c r="AR141">
        <v>98.117372907340396</v>
      </c>
      <c r="AS141">
        <v>67.455693873796534</v>
      </c>
      <c r="AT141" s="93">
        <v>2310803</v>
      </c>
    </row>
    <row r="142" spans="1:46" x14ac:dyDescent="0.3">
      <c r="A142" t="s">
        <v>229</v>
      </c>
      <c r="B142">
        <v>355</v>
      </c>
      <c r="C142">
        <v>1726.0660281032722</v>
      </c>
      <c r="D142">
        <v>17</v>
      </c>
      <c r="E142">
        <v>82.656683035931351</v>
      </c>
      <c r="F142">
        <v>4.788732394366197E-2</v>
      </c>
      <c r="G142">
        <v>20567</v>
      </c>
      <c r="H142">
        <v>2288410.3661204842</v>
      </c>
      <c r="I142">
        <v>130458501.48295812</v>
      </c>
      <c r="J142">
        <v>74.033000000000001</v>
      </c>
      <c r="K142">
        <v>277.80854483811271</v>
      </c>
      <c r="L142">
        <v>11747.62</v>
      </c>
      <c r="M142">
        <v>0.63600000000000001</v>
      </c>
      <c r="N142">
        <v>29.43</v>
      </c>
      <c r="O142" s="89">
        <v>71003223.41615209</v>
      </c>
      <c r="P142" s="89">
        <v>88108254.485340595</v>
      </c>
      <c r="Q142">
        <v>6.3</v>
      </c>
      <c r="R142">
        <v>5.0999999999999996</v>
      </c>
      <c r="S142">
        <v>3.7</v>
      </c>
      <c r="T142">
        <v>91.610297829379107</v>
      </c>
      <c r="U142">
        <v>23317.24</v>
      </c>
      <c r="V142">
        <v>14.59</v>
      </c>
      <c r="W142">
        <v>30.38</v>
      </c>
      <c r="X142">
        <v>51.937984496124002</v>
      </c>
      <c r="Y142">
        <v>0.73</v>
      </c>
      <c r="Z142">
        <v>0.68070209559999995</v>
      </c>
      <c r="AA142">
        <v>8.3142898818000006</v>
      </c>
      <c r="AB142">
        <v>1</v>
      </c>
      <c r="AC142">
        <v>0</v>
      </c>
      <c r="AD142">
        <v>0.39624257346250602</v>
      </c>
      <c r="AE142">
        <v>0</v>
      </c>
      <c r="AF142">
        <v>0.56059999999999999</v>
      </c>
      <c r="AG142">
        <v>0.44</v>
      </c>
      <c r="AH142">
        <v>0.41499999999999998</v>
      </c>
      <c r="AI142">
        <v>0.47599999999999998</v>
      </c>
      <c r="AJ142">
        <v>0.43</v>
      </c>
      <c r="AK142">
        <v>7.1765449506490983E-2</v>
      </c>
      <c r="AL142">
        <v>0.13970000000000002</v>
      </c>
      <c r="AM142">
        <v>11.764705882352899</v>
      </c>
      <c r="AN142">
        <v>0.73813291139240533</v>
      </c>
      <c r="AO142">
        <v>0.13137550444887441</v>
      </c>
      <c r="AP142">
        <v>423.00773083094282</v>
      </c>
      <c r="AQ142">
        <v>525.1130451694462</v>
      </c>
      <c r="AR142">
        <v>34.03510477950114</v>
      </c>
      <c r="AS142">
        <v>34.03510477950114</v>
      </c>
      <c r="AT142" s="93">
        <v>2310852</v>
      </c>
    </row>
    <row r="143" spans="1:46" x14ac:dyDescent="0.3">
      <c r="A143" t="s">
        <v>230</v>
      </c>
      <c r="B143">
        <v>117</v>
      </c>
      <c r="C143">
        <v>689.89916858305321</v>
      </c>
      <c r="D143">
        <v>2</v>
      </c>
      <c r="E143">
        <v>11.793148180906893</v>
      </c>
      <c r="F143">
        <v>1.7094017094017096E-2</v>
      </c>
      <c r="G143">
        <v>16959</v>
      </c>
      <c r="H143">
        <v>1464609.9416239166</v>
      </c>
      <c r="I143">
        <v>83449495.842915267</v>
      </c>
      <c r="J143">
        <v>589.601</v>
      </c>
      <c r="K143">
        <v>28.7635197362284</v>
      </c>
      <c r="L143">
        <v>7262.42</v>
      </c>
      <c r="M143">
        <v>0.6</v>
      </c>
      <c r="N143">
        <v>13.27</v>
      </c>
      <c r="O143" s="89">
        <v>62608436.405448437</v>
      </c>
      <c r="P143" s="89">
        <v>78526104.605224356</v>
      </c>
      <c r="Q143">
        <v>6.6</v>
      </c>
      <c r="R143">
        <v>5.8</v>
      </c>
      <c r="S143">
        <v>4.0999999999999996</v>
      </c>
      <c r="T143">
        <v>99.064048449256703</v>
      </c>
      <c r="U143">
        <v>11261.1</v>
      </c>
      <c r="V143">
        <v>11.79</v>
      </c>
      <c r="W143">
        <v>31.25</v>
      </c>
      <c r="X143">
        <v>38.8622263841742</v>
      </c>
      <c r="Y143">
        <v>0.71</v>
      </c>
      <c r="Z143">
        <v>1.2972462999000001</v>
      </c>
      <c r="AA143">
        <v>10.4369361401</v>
      </c>
      <c r="AB143">
        <v>0</v>
      </c>
      <c r="AC143">
        <v>1</v>
      </c>
      <c r="AD143">
        <v>0.51897588414042806</v>
      </c>
      <c r="AE143">
        <v>0</v>
      </c>
      <c r="AF143">
        <v>0.64510000000000001</v>
      </c>
      <c r="AG143">
        <v>0.48499999999999999</v>
      </c>
      <c r="AH143">
        <v>0.27200000000000002</v>
      </c>
      <c r="AI143">
        <v>0.59299999999999997</v>
      </c>
      <c r="AJ143">
        <v>0.59</v>
      </c>
      <c r="AK143">
        <v>6.3270239990565483E-2</v>
      </c>
      <c r="AL143">
        <v>0.30079999999999996</v>
      </c>
      <c r="AM143">
        <v>18.518518518518501</v>
      </c>
      <c r="AN143">
        <v>1</v>
      </c>
      <c r="AO143">
        <v>0.15879474025591131</v>
      </c>
      <c r="AP143">
        <v>336.10472315584644</v>
      </c>
      <c r="AQ143">
        <v>878.58953947756356</v>
      </c>
      <c r="AR143">
        <v>100.2417595377086</v>
      </c>
      <c r="AS143">
        <v>58.965740904534464</v>
      </c>
      <c r="AT143" s="93">
        <v>2310902</v>
      </c>
    </row>
    <row r="144" spans="1:46" x14ac:dyDescent="0.3">
      <c r="A144" t="s">
        <v>231</v>
      </c>
      <c r="B144">
        <v>94</v>
      </c>
      <c r="C144">
        <v>858.36909871244632</v>
      </c>
      <c r="D144">
        <v>0</v>
      </c>
      <c r="E144">
        <v>0</v>
      </c>
      <c r="F144">
        <v>0</v>
      </c>
      <c r="G144">
        <v>10951</v>
      </c>
      <c r="H144">
        <v>2956633.3668158157</v>
      </c>
      <c r="I144">
        <v>75521870.148844853</v>
      </c>
      <c r="J144">
        <v>244.464</v>
      </c>
      <c r="K144">
        <v>44.795961777603246</v>
      </c>
      <c r="L144">
        <v>5351.75</v>
      </c>
      <c r="M144">
        <v>0.59099999999999997</v>
      </c>
      <c r="N144">
        <v>10.71</v>
      </c>
      <c r="O144" s="89">
        <v>55650769.975344725</v>
      </c>
      <c r="P144" s="89">
        <v>94701436.307186559</v>
      </c>
      <c r="Q144">
        <v>8.5</v>
      </c>
      <c r="R144">
        <v>7.8</v>
      </c>
      <c r="S144">
        <v>3.9</v>
      </c>
      <c r="T144">
        <v>98.310387984981205</v>
      </c>
      <c r="U144">
        <v>8946.17</v>
      </c>
      <c r="V144">
        <v>0</v>
      </c>
      <c r="W144">
        <v>41.67</v>
      </c>
      <c r="X144">
        <v>37.732933369693697</v>
      </c>
      <c r="Y144">
        <v>0.55000000000000004</v>
      </c>
      <c r="Z144">
        <v>0</v>
      </c>
      <c r="AA144">
        <v>6.9400054789999999</v>
      </c>
      <c r="AB144">
        <v>0</v>
      </c>
      <c r="AC144">
        <v>1</v>
      </c>
      <c r="AD144">
        <v>0.67169146436961624</v>
      </c>
      <c r="AE144">
        <v>0</v>
      </c>
      <c r="AF144">
        <v>0.57779999999999998</v>
      </c>
      <c r="AG144">
        <v>0.47199999999999998</v>
      </c>
      <c r="AH144">
        <v>0.33400000000000002</v>
      </c>
      <c r="AI144">
        <v>0.48499999999999999</v>
      </c>
      <c r="AJ144">
        <v>0.59599999999999997</v>
      </c>
      <c r="AK144">
        <v>4.1913980458405622E-2</v>
      </c>
      <c r="AL144">
        <v>0.34789999999999999</v>
      </c>
      <c r="AN144">
        <v>0.98660714285714279</v>
      </c>
      <c r="AO144">
        <v>0.15249748881380695</v>
      </c>
      <c r="AP144">
        <v>456.57930782576932</v>
      </c>
      <c r="AQ144">
        <v>228.28965391288466</v>
      </c>
      <c r="AR144">
        <v>9.1315861565153877</v>
      </c>
      <c r="AS144">
        <v>18.263172313030775</v>
      </c>
      <c r="AT144" s="93">
        <v>2310951</v>
      </c>
    </row>
    <row r="145" spans="1:46" x14ac:dyDescent="0.3">
      <c r="A145" t="s">
        <v>232</v>
      </c>
      <c r="B145">
        <v>98</v>
      </c>
      <c r="C145">
        <v>794.42282749675746</v>
      </c>
      <c r="D145">
        <v>0</v>
      </c>
      <c r="E145">
        <v>0</v>
      </c>
      <c r="F145">
        <v>0</v>
      </c>
      <c r="G145">
        <v>12336</v>
      </c>
      <c r="H145">
        <v>3497527.4805447469</v>
      </c>
      <c r="I145">
        <v>100462062.25680934</v>
      </c>
      <c r="J145">
        <v>1310.771</v>
      </c>
      <c r="K145">
        <v>9.4112549026488992</v>
      </c>
      <c r="L145">
        <v>6103.61</v>
      </c>
      <c r="M145">
        <v>0.58099999999999996</v>
      </c>
      <c r="N145">
        <v>19.97</v>
      </c>
      <c r="O145" s="89">
        <v>65610034.776264593</v>
      </c>
      <c r="P145" s="89">
        <v>103293614.13748379</v>
      </c>
      <c r="Q145">
        <v>5.9</v>
      </c>
      <c r="R145">
        <v>4.9000000000000004</v>
      </c>
      <c r="S145">
        <v>4.3</v>
      </c>
      <c r="T145">
        <v>99.298352654057396</v>
      </c>
      <c r="U145">
        <v>7930.42</v>
      </c>
      <c r="V145">
        <v>16.21</v>
      </c>
      <c r="W145">
        <v>33.33</v>
      </c>
      <c r="X145">
        <v>49.995950433303598</v>
      </c>
      <c r="Y145">
        <v>0.81</v>
      </c>
      <c r="Z145">
        <v>1.7023346304</v>
      </c>
      <c r="AA145">
        <v>11.348897535700001</v>
      </c>
      <c r="AB145">
        <v>0</v>
      </c>
      <c r="AC145">
        <v>1</v>
      </c>
      <c r="AD145">
        <v>0.35022081493208901</v>
      </c>
      <c r="AE145">
        <v>0</v>
      </c>
      <c r="AF145">
        <v>0.51319999999999999</v>
      </c>
      <c r="AG145">
        <v>0.52500000000000002</v>
      </c>
      <c r="AH145">
        <v>0.47199999999999998</v>
      </c>
      <c r="AI145">
        <v>0.51800000000000002</v>
      </c>
      <c r="AJ145">
        <v>0.58599999999999997</v>
      </c>
      <c r="AK145">
        <v>5.5285343709468221E-2</v>
      </c>
      <c r="AL145">
        <v>0.37509999999999999</v>
      </c>
      <c r="AM145">
        <v>19.1082802547771</v>
      </c>
      <c r="AN145">
        <v>0.8913043478260867</v>
      </c>
      <c r="AO145">
        <v>0.15353437094682232</v>
      </c>
      <c r="AP145">
        <v>283.72243839169909</v>
      </c>
      <c r="AQ145">
        <v>875.48638132295719</v>
      </c>
      <c r="AR145">
        <v>89.169909208819718</v>
      </c>
      <c r="AS145">
        <v>48.638132295719842</v>
      </c>
      <c r="AT145" s="93">
        <v>2311009</v>
      </c>
    </row>
    <row r="146" spans="1:46" x14ac:dyDescent="0.3">
      <c r="A146" t="s">
        <v>233</v>
      </c>
      <c r="B146">
        <v>143</v>
      </c>
      <c r="C146">
        <v>953.58762336623101</v>
      </c>
      <c r="D146">
        <v>3</v>
      </c>
      <c r="E146">
        <v>20.005334755934918</v>
      </c>
      <c r="F146">
        <v>2.097902097902098E-2</v>
      </c>
      <c r="G146">
        <v>14996</v>
      </c>
      <c r="H146">
        <v>13847623.632968791</v>
      </c>
      <c r="I146">
        <v>105976260.33608963</v>
      </c>
      <c r="J146">
        <v>224.86</v>
      </c>
      <c r="K146">
        <v>66.690385128524412</v>
      </c>
      <c r="L146">
        <v>9841.9</v>
      </c>
      <c r="M146">
        <v>0.622</v>
      </c>
      <c r="N146">
        <v>19.25</v>
      </c>
      <c r="O146" s="89">
        <v>70310489.263803691</v>
      </c>
      <c r="P146" s="89">
        <v>114187019.27180582</v>
      </c>
      <c r="Q146">
        <v>6</v>
      </c>
      <c r="R146">
        <v>4.9000000000000004</v>
      </c>
      <c r="S146">
        <v>3.8</v>
      </c>
      <c r="T146">
        <v>99.288888888888906</v>
      </c>
      <c r="U146">
        <v>14168.69</v>
      </c>
      <c r="V146">
        <v>46.68</v>
      </c>
      <c r="W146">
        <v>29.03</v>
      </c>
      <c r="X146">
        <v>50.421179302045701</v>
      </c>
      <c r="Y146">
        <v>0.87</v>
      </c>
      <c r="Z146">
        <v>1.4670578821</v>
      </c>
      <c r="AA146">
        <v>10.269405174699999</v>
      </c>
      <c r="AB146">
        <v>0</v>
      </c>
      <c r="AC146">
        <v>1</v>
      </c>
      <c r="AD146">
        <v>0.58907111081601482</v>
      </c>
      <c r="AE146">
        <v>1</v>
      </c>
      <c r="AF146">
        <v>0.69370000000000009</v>
      </c>
      <c r="AG146">
        <v>0.42799999999999999</v>
      </c>
      <c r="AH146">
        <v>0.23100000000000001</v>
      </c>
      <c r="AI146">
        <v>0.46</v>
      </c>
      <c r="AJ146">
        <v>0.59199999999999997</v>
      </c>
      <c r="AK146">
        <v>7.1952520672179249E-2</v>
      </c>
      <c r="AL146">
        <v>0.29480000000000001</v>
      </c>
      <c r="AM146">
        <v>15.037593984962401</v>
      </c>
      <c r="AN146">
        <v>0.84999999999999976</v>
      </c>
      <c r="AO146">
        <v>0.14117097892771405</v>
      </c>
      <c r="AP146">
        <v>860.22939450520141</v>
      </c>
      <c r="AQ146">
        <v>1473.7263270205387</v>
      </c>
      <c r="AR146">
        <v>93.358228861029616</v>
      </c>
      <c r="AS146">
        <v>80.021339023739671</v>
      </c>
      <c r="AT146" s="93">
        <v>2311108</v>
      </c>
    </row>
    <row r="147" spans="1:46" x14ac:dyDescent="0.3">
      <c r="A147" t="s">
        <v>234</v>
      </c>
      <c r="B147">
        <v>109</v>
      </c>
      <c r="C147">
        <v>986.87188773200535</v>
      </c>
      <c r="D147">
        <v>0</v>
      </c>
      <c r="E147">
        <v>0</v>
      </c>
      <c r="F147">
        <v>0</v>
      </c>
      <c r="G147">
        <v>11045</v>
      </c>
      <c r="H147">
        <v>4734384.7894975096</v>
      </c>
      <c r="I147">
        <v>79773653.236758724</v>
      </c>
      <c r="J147">
        <v>343.26400000000001</v>
      </c>
      <c r="K147">
        <v>32.176400671203503</v>
      </c>
      <c r="L147">
        <v>7955.5</v>
      </c>
      <c r="M147">
        <v>0.56200000000000006</v>
      </c>
      <c r="N147">
        <v>13.52</v>
      </c>
      <c r="O147" s="89">
        <v>82525285.649615213</v>
      </c>
      <c r="P147" s="89">
        <v>100243548.66455409</v>
      </c>
      <c r="Q147">
        <v>5.0999999999999996</v>
      </c>
      <c r="R147">
        <v>5</v>
      </c>
      <c r="S147">
        <v>4.0999999999999996</v>
      </c>
      <c r="T147">
        <v>99.558573853989799</v>
      </c>
      <c r="U147">
        <v>6795.28</v>
      </c>
      <c r="V147">
        <v>27.16</v>
      </c>
      <c r="W147">
        <v>33.33</v>
      </c>
      <c r="X147">
        <v>39.393120835584398</v>
      </c>
      <c r="Y147">
        <v>1</v>
      </c>
      <c r="Z147">
        <v>1.6296966953000001</v>
      </c>
      <c r="AA147">
        <v>8.6011770032000001</v>
      </c>
      <c r="AB147">
        <v>0</v>
      </c>
      <c r="AC147">
        <v>1</v>
      </c>
      <c r="AD147">
        <v>0.44394706111327364</v>
      </c>
      <c r="AE147">
        <v>0</v>
      </c>
      <c r="AF147">
        <v>0.65799999999999992</v>
      </c>
      <c r="AG147">
        <v>0.53800000000000003</v>
      </c>
      <c r="AH147">
        <v>0.223</v>
      </c>
      <c r="AI147">
        <v>0.60799999999999998</v>
      </c>
      <c r="AJ147">
        <v>0.78200000000000003</v>
      </c>
      <c r="AK147">
        <v>5.5771842462652786E-2</v>
      </c>
      <c r="AL147">
        <v>0.33700000000000002</v>
      </c>
      <c r="AM147">
        <v>14.285714285714301</v>
      </c>
      <c r="AN147">
        <v>0.98031496062992118</v>
      </c>
      <c r="AO147">
        <v>0.12639203259393392</v>
      </c>
      <c r="AP147">
        <v>362.15482118605706</v>
      </c>
      <c r="AQ147">
        <v>380.2625622453599</v>
      </c>
      <c r="AR147">
        <v>18.107741059302853</v>
      </c>
      <c r="AS147">
        <v>0</v>
      </c>
      <c r="AT147" s="93">
        <v>2311207</v>
      </c>
    </row>
    <row r="148" spans="1:46" x14ac:dyDescent="0.3">
      <c r="A148" t="s">
        <v>235</v>
      </c>
      <c r="B148">
        <v>50</v>
      </c>
      <c r="C148">
        <v>778.93752921015732</v>
      </c>
      <c r="D148">
        <v>0</v>
      </c>
      <c r="E148">
        <v>0</v>
      </c>
      <c r="F148">
        <v>0</v>
      </c>
      <c r="G148">
        <v>6419</v>
      </c>
      <c r="H148">
        <v>2049380.1215142542</v>
      </c>
      <c r="I148">
        <v>98847172.45676896</v>
      </c>
      <c r="J148">
        <v>409.137</v>
      </c>
      <c r="K148">
        <v>15.68912124789496</v>
      </c>
      <c r="L148">
        <v>8804.4699999999993</v>
      </c>
      <c r="M148">
        <v>0.60399999999999998</v>
      </c>
      <c r="N148">
        <v>17.28</v>
      </c>
      <c r="O148" s="89">
        <v>73994155.631718338</v>
      </c>
      <c r="P148" s="89">
        <v>96096416.575790629</v>
      </c>
      <c r="Q148">
        <v>6.8</v>
      </c>
      <c r="R148">
        <v>5</v>
      </c>
      <c r="S148">
        <v>3.6</v>
      </c>
      <c r="T148">
        <v>99.2181682799702</v>
      </c>
      <c r="U148">
        <v>5458.31</v>
      </c>
      <c r="V148">
        <v>31.16</v>
      </c>
      <c r="W148">
        <v>33.33</v>
      </c>
      <c r="X148">
        <v>49.805810160012399</v>
      </c>
      <c r="Y148">
        <v>0.93</v>
      </c>
      <c r="Z148">
        <v>2.0252375758999999</v>
      </c>
      <c r="AA148">
        <v>9.5030378564000006</v>
      </c>
      <c r="AB148">
        <v>0</v>
      </c>
      <c r="AC148">
        <v>1</v>
      </c>
      <c r="AD148">
        <v>0.55876591576885404</v>
      </c>
      <c r="AE148">
        <v>1</v>
      </c>
      <c r="AF148">
        <v>0.57269999999999999</v>
      </c>
      <c r="AG148">
        <v>0.46400000000000002</v>
      </c>
      <c r="AH148">
        <v>0.38</v>
      </c>
      <c r="AI148">
        <v>0.496</v>
      </c>
      <c r="AJ148">
        <v>0.51500000000000001</v>
      </c>
      <c r="AK148">
        <v>9.4407228540271074E-2</v>
      </c>
      <c r="AL148">
        <v>0.28420000000000001</v>
      </c>
      <c r="AN148">
        <v>0.74375000000000002</v>
      </c>
      <c r="AO148">
        <v>0.13724879264682974</v>
      </c>
      <c r="AP148">
        <v>311.57501168406293</v>
      </c>
      <c r="AQ148">
        <v>373.89001402087553</v>
      </c>
      <c r="AR148">
        <v>62.315002336812583</v>
      </c>
      <c r="AS148">
        <v>0</v>
      </c>
      <c r="AT148" s="93">
        <v>2311231</v>
      </c>
    </row>
    <row r="149" spans="1:46" x14ac:dyDescent="0.3">
      <c r="A149" t="s">
        <v>529</v>
      </c>
      <c r="B149">
        <v>185</v>
      </c>
      <c r="C149">
        <v>877.4426105103397</v>
      </c>
      <c r="D149">
        <v>2</v>
      </c>
      <c r="E149">
        <v>9.4858660595712383</v>
      </c>
      <c r="F149">
        <v>1.0810810810810811E-2</v>
      </c>
      <c r="G149">
        <v>21084</v>
      </c>
      <c r="H149">
        <v>8908748.6245494224</v>
      </c>
      <c r="I149">
        <v>97868525.89641434</v>
      </c>
      <c r="J149">
        <v>1041.8320000000001</v>
      </c>
      <c r="K149">
        <v>20.237427915441259</v>
      </c>
      <c r="L149">
        <v>6913.59</v>
      </c>
      <c r="M149">
        <v>0.59399999999999997</v>
      </c>
      <c r="N149">
        <v>13.63</v>
      </c>
      <c r="O149" s="89">
        <v>50035603.206222728</v>
      </c>
      <c r="P149" s="89">
        <v>89412256.450388923</v>
      </c>
      <c r="Q149">
        <v>6.5</v>
      </c>
      <c r="R149">
        <v>5.3</v>
      </c>
      <c r="S149">
        <v>4</v>
      </c>
      <c r="T149">
        <v>98.169181217155497</v>
      </c>
      <c r="U149">
        <v>13813.67</v>
      </c>
      <c r="V149">
        <v>28.46</v>
      </c>
      <c r="W149">
        <v>29.41</v>
      </c>
      <c r="X149">
        <v>45.747897571577099</v>
      </c>
      <c r="Y149">
        <v>1.57</v>
      </c>
      <c r="Z149">
        <v>0.90115727570000004</v>
      </c>
      <c r="AA149">
        <v>10.4818819958</v>
      </c>
      <c r="AB149">
        <v>0</v>
      </c>
      <c r="AC149">
        <v>1</v>
      </c>
      <c r="AD149">
        <v>0.68349982430600875</v>
      </c>
      <c r="AE149">
        <v>0</v>
      </c>
      <c r="AF149">
        <v>0.96019999999999994</v>
      </c>
      <c r="AG149">
        <v>0.48299999999999998</v>
      </c>
      <c r="AH149">
        <v>0.34699999999999998</v>
      </c>
      <c r="AI149">
        <v>0.503</v>
      </c>
      <c r="AJ149">
        <v>0.6</v>
      </c>
      <c r="AK149">
        <v>6.1563270726617339E-2</v>
      </c>
      <c r="AL149">
        <v>0.3836</v>
      </c>
      <c r="AM149">
        <v>19.230769230769202</v>
      </c>
      <c r="AN149">
        <v>0.82851239669421484</v>
      </c>
      <c r="AO149">
        <v>0.15129956365016126</v>
      </c>
      <c r="AP149">
        <v>294.06184784670842</v>
      </c>
      <c r="AQ149">
        <v>341.49117814456463</v>
      </c>
      <c r="AR149">
        <v>37.943464238284953</v>
      </c>
      <c r="AS149">
        <v>14.228799089356858</v>
      </c>
      <c r="AT149" s="93">
        <v>2311264</v>
      </c>
    </row>
    <row r="150" spans="1:46" x14ac:dyDescent="0.3">
      <c r="A150" t="s">
        <v>531</v>
      </c>
      <c r="B150">
        <v>2841</v>
      </c>
      <c r="C150">
        <v>3238.4187488601133</v>
      </c>
      <c r="D150">
        <v>59</v>
      </c>
      <c r="E150">
        <v>67.253328469815798</v>
      </c>
      <c r="F150">
        <v>2.0767335445265753E-2</v>
      </c>
      <c r="G150">
        <v>87728</v>
      </c>
      <c r="H150">
        <v>7087142.9760167785</v>
      </c>
      <c r="I150">
        <v>96457003.465256244</v>
      </c>
      <c r="J150">
        <v>2020.586</v>
      </c>
      <c r="K150">
        <v>43.417107710337497</v>
      </c>
      <c r="L150">
        <v>11927.82</v>
      </c>
      <c r="M150">
        <v>0.65900000000000003</v>
      </c>
      <c r="N150">
        <v>26.24</v>
      </c>
      <c r="O150" s="89">
        <v>60182009.324275032</v>
      </c>
      <c r="P150" s="89">
        <v>60161679.908353083</v>
      </c>
      <c r="Q150">
        <v>5.5</v>
      </c>
      <c r="R150">
        <v>4.7</v>
      </c>
      <c r="S150">
        <v>3.7</v>
      </c>
      <c r="T150">
        <v>98.836565096952896</v>
      </c>
      <c r="U150">
        <v>74790.47</v>
      </c>
      <c r="V150">
        <v>28.5</v>
      </c>
      <c r="W150">
        <v>32.26</v>
      </c>
      <c r="X150">
        <v>43.589859716262303</v>
      </c>
      <c r="Y150">
        <v>0.43</v>
      </c>
      <c r="Z150">
        <v>1.2880722231999999</v>
      </c>
      <c r="AA150">
        <v>10.509757432100001</v>
      </c>
      <c r="AB150">
        <v>0</v>
      </c>
      <c r="AC150">
        <v>1</v>
      </c>
      <c r="AD150">
        <v>0.2868219939457099</v>
      </c>
      <c r="AE150">
        <v>0</v>
      </c>
      <c r="AF150">
        <v>0.56940000000000002</v>
      </c>
      <c r="AG150">
        <v>0.40100000000000002</v>
      </c>
      <c r="AH150">
        <v>0.25600000000000001</v>
      </c>
      <c r="AI150">
        <v>0.47699999999999998</v>
      </c>
      <c r="AJ150">
        <v>0.47</v>
      </c>
      <c r="AK150">
        <v>9.3037570672989234E-2</v>
      </c>
      <c r="AL150">
        <v>0.20829999999999999</v>
      </c>
      <c r="AM150">
        <v>16</v>
      </c>
      <c r="AN150">
        <v>0.70734506503442973</v>
      </c>
      <c r="AO150">
        <v>0.12648185300018239</v>
      </c>
      <c r="AP150">
        <v>430.87725697610801</v>
      </c>
      <c r="AQ150">
        <v>608.69961699799376</v>
      </c>
      <c r="AR150">
        <v>80.931971548422396</v>
      </c>
      <c r="AS150">
        <v>12.538756155389384</v>
      </c>
      <c r="AT150" s="93">
        <v>2311306</v>
      </c>
    </row>
    <row r="151" spans="1:46" x14ac:dyDescent="0.3">
      <c r="A151" t="s">
        <v>533</v>
      </c>
      <c r="B151">
        <v>499</v>
      </c>
      <c r="C151">
        <v>3084.4356533564101</v>
      </c>
      <c r="D151">
        <v>10</v>
      </c>
      <c r="E151">
        <v>61.812337742613423</v>
      </c>
      <c r="F151">
        <v>2.004008016032064E-2</v>
      </c>
      <c r="G151">
        <v>16178</v>
      </c>
      <c r="H151">
        <v>1567996.2912597354</v>
      </c>
      <c r="I151">
        <v>97428606.749907285</v>
      </c>
      <c r="J151">
        <v>605.34500000000003</v>
      </c>
      <c r="K151">
        <v>26.725255845839975</v>
      </c>
      <c r="L151">
        <v>7905.03</v>
      </c>
      <c r="M151">
        <v>0.59099999999999997</v>
      </c>
      <c r="N151">
        <v>18.260000000000002</v>
      </c>
      <c r="O151" s="89">
        <v>75777258.25194709</v>
      </c>
      <c r="P151" s="89">
        <v>87161954.815181121</v>
      </c>
      <c r="Q151">
        <v>6.1</v>
      </c>
      <c r="R151">
        <v>5.2</v>
      </c>
      <c r="S151">
        <v>4.4000000000000004</v>
      </c>
      <c r="T151">
        <v>91.853310361801604</v>
      </c>
      <c r="U151">
        <v>16078.8</v>
      </c>
      <c r="V151">
        <v>18.54</v>
      </c>
      <c r="W151">
        <v>31.08</v>
      </c>
      <c r="X151">
        <v>46.733139282838899</v>
      </c>
      <c r="Y151">
        <v>0.93</v>
      </c>
      <c r="Z151">
        <v>1.5453084436</v>
      </c>
      <c r="AA151">
        <v>8.9627889727000003</v>
      </c>
      <c r="AB151">
        <v>0</v>
      </c>
      <c r="AC151">
        <v>1</v>
      </c>
      <c r="AD151">
        <v>0.6714</v>
      </c>
      <c r="AE151">
        <v>0</v>
      </c>
      <c r="AF151">
        <v>0.50780000000000003</v>
      </c>
      <c r="AG151">
        <v>0.38900000000000001</v>
      </c>
      <c r="AH151">
        <v>0.16500000000000001</v>
      </c>
      <c r="AI151">
        <v>0.45900000000000002</v>
      </c>
      <c r="AJ151">
        <v>0.54400000000000004</v>
      </c>
      <c r="AK151">
        <v>5.4147607862529361E-2</v>
      </c>
      <c r="AL151">
        <v>0.30909999999999999</v>
      </c>
      <c r="AM151">
        <v>34.482758620689701</v>
      </c>
      <c r="AN151">
        <v>0.89583333333333315</v>
      </c>
      <c r="AO151">
        <v>0.17869946841389542</v>
      </c>
      <c r="AP151">
        <v>451.23006552107802</v>
      </c>
      <c r="AQ151">
        <v>1155.8907157868712</v>
      </c>
      <c r="AR151">
        <v>92.718506613920141</v>
      </c>
      <c r="AS151">
        <v>18.543701322784027</v>
      </c>
      <c r="AT151" s="93">
        <v>2311355</v>
      </c>
    </row>
    <row r="152" spans="1:46" x14ac:dyDescent="0.3">
      <c r="A152" t="s">
        <v>239</v>
      </c>
      <c r="B152">
        <v>1353</v>
      </c>
      <c r="C152">
        <v>1668.6810882809996</v>
      </c>
      <c r="D152">
        <v>44</v>
      </c>
      <c r="E152">
        <v>54.266051651414614</v>
      </c>
      <c r="F152">
        <v>3.2520325203252036E-2</v>
      </c>
      <c r="G152">
        <v>81082</v>
      </c>
      <c r="H152">
        <v>3284306.159196863</v>
      </c>
      <c r="I152">
        <v>80442268.320959032</v>
      </c>
      <c r="J152">
        <v>3324.9870000000001</v>
      </c>
      <c r="K152">
        <v>24.385659252201588</v>
      </c>
      <c r="L152">
        <v>13420.15</v>
      </c>
      <c r="M152">
        <v>0.64200000000000002</v>
      </c>
      <c r="N152">
        <v>33.380000000000003</v>
      </c>
      <c r="O152" s="89">
        <v>71186174.514688835</v>
      </c>
      <c r="P152" s="89">
        <v>80369594.854591653</v>
      </c>
      <c r="Q152">
        <v>8</v>
      </c>
      <c r="R152">
        <v>6.4</v>
      </c>
      <c r="S152">
        <v>4.4000000000000004</v>
      </c>
      <c r="T152">
        <v>93.275412279884506</v>
      </c>
      <c r="U152">
        <v>91800.63</v>
      </c>
      <c r="V152">
        <v>19.73</v>
      </c>
      <c r="W152">
        <v>30.6</v>
      </c>
      <c r="X152">
        <v>36.304385042432003</v>
      </c>
      <c r="Y152">
        <v>0.52</v>
      </c>
      <c r="Z152">
        <v>3.6629584865</v>
      </c>
      <c r="AA152">
        <v>15.860486914499999</v>
      </c>
      <c r="AB152">
        <v>0</v>
      </c>
      <c r="AC152">
        <v>1</v>
      </c>
      <c r="AD152">
        <v>0.39594085161433917</v>
      </c>
      <c r="AE152">
        <v>0</v>
      </c>
      <c r="AF152">
        <v>0.54330000000000001</v>
      </c>
      <c r="AG152">
        <v>0.39100000000000001</v>
      </c>
      <c r="AH152">
        <v>0.19500000000000001</v>
      </c>
      <c r="AI152">
        <v>0.49299999999999999</v>
      </c>
      <c r="AJ152">
        <v>0.48599999999999999</v>
      </c>
      <c r="AK152">
        <v>0.1459016797809625</v>
      </c>
      <c r="AL152">
        <v>0.23749999999999999</v>
      </c>
      <c r="AM152">
        <v>13.821138211382101</v>
      </c>
      <c r="AN152">
        <v>0.89887111947318898</v>
      </c>
      <c r="AO152">
        <v>0.13609679090303642</v>
      </c>
      <c r="AP152">
        <v>656.12589723983126</v>
      </c>
      <c r="AQ152">
        <v>1257.9857428282478</v>
      </c>
      <c r="AR152">
        <v>76.465800054266055</v>
      </c>
      <c r="AS152">
        <v>22.199748402851437</v>
      </c>
      <c r="AT152" s="93">
        <v>2311405</v>
      </c>
    </row>
    <row r="153" spans="1:46" x14ac:dyDescent="0.3">
      <c r="A153" t="s">
        <v>536</v>
      </c>
      <c r="B153">
        <v>479</v>
      </c>
      <c r="C153">
        <v>2162.6258521829427</v>
      </c>
      <c r="D153">
        <v>7</v>
      </c>
      <c r="E153">
        <v>31.604135626890606</v>
      </c>
      <c r="F153">
        <v>1.4613778705636743E-2</v>
      </c>
      <c r="G153">
        <v>22149</v>
      </c>
      <c r="H153">
        <v>4597458.8469005376</v>
      </c>
      <c r="I153">
        <v>83556819.720980629</v>
      </c>
      <c r="J153">
        <v>613.09900000000005</v>
      </c>
      <c r="K153">
        <v>36.126302603657805</v>
      </c>
      <c r="L153">
        <v>19154.79</v>
      </c>
      <c r="M153">
        <v>0.622</v>
      </c>
      <c r="N153">
        <v>28.54</v>
      </c>
      <c r="O153" s="89">
        <v>92048729.062260151</v>
      </c>
      <c r="P153" s="89">
        <v>89003990.563908085</v>
      </c>
      <c r="Q153">
        <v>6.5</v>
      </c>
      <c r="R153">
        <v>5.4</v>
      </c>
      <c r="S153">
        <v>4.5999999999999996</v>
      </c>
      <c r="T153">
        <v>96.959046454767702</v>
      </c>
      <c r="U153">
        <v>86617.600000000006</v>
      </c>
      <c r="V153">
        <v>54.18</v>
      </c>
      <c r="W153">
        <v>29.51</v>
      </c>
      <c r="X153">
        <v>33.4275333064191</v>
      </c>
      <c r="Y153">
        <v>0.5</v>
      </c>
      <c r="Z153">
        <v>1.1287191295000001</v>
      </c>
      <c r="AA153">
        <v>8.7588604451999998</v>
      </c>
      <c r="AB153">
        <v>0</v>
      </c>
      <c r="AC153">
        <v>1</v>
      </c>
      <c r="AD153">
        <v>0.38543169173706987</v>
      </c>
      <c r="AE153">
        <v>0</v>
      </c>
      <c r="AF153">
        <v>0.90049999999999997</v>
      </c>
      <c r="AG153">
        <v>0.39</v>
      </c>
      <c r="AH153">
        <v>0.14499999999999999</v>
      </c>
      <c r="AI153">
        <v>0.51400000000000001</v>
      </c>
      <c r="AJ153">
        <v>0.51</v>
      </c>
      <c r="AK153">
        <v>0.13057022890423947</v>
      </c>
      <c r="AL153">
        <v>0.1825</v>
      </c>
      <c r="AM153">
        <v>4.1493775933609998</v>
      </c>
      <c r="AN153">
        <v>0.92804428044280451</v>
      </c>
      <c r="AO153">
        <v>0.11427152467380017</v>
      </c>
      <c r="AP153">
        <v>713.3504898641022</v>
      </c>
      <c r="AQ153">
        <v>912.00505666170022</v>
      </c>
      <c r="AR153">
        <v>36.119012145017834</v>
      </c>
      <c r="AS153">
        <v>22.574382590636144</v>
      </c>
      <c r="AT153" s="93">
        <v>2311504</v>
      </c>
    </row>
    <row r="154" spans="1:46" x14ac:dyDescent="0.3">
      <c r="A154" t="s">
        <v>538</v>
      </c>
      <c r="B154">
        <v>1109</v>
      </c>
      <c r="C154">
        <v>3817.1617388909922</v>
      </c>
      <c r="D154">
        <v>34</v>
      </c>
      <c r="E154">
        <v>117.02750146284377</v>
      </c>
      <c r="F154">
        <v>3.0658250676284943E-2</v>
      </c>
      <c r="G154">
        <v>29053</v>
      </c>
      <c r="H154">
        <v>27396364.953705296</v>
      </c>
      <c r="I154">
        <v>99056896.017622963</v>
      </c>
      <c r="J154">
        <v>247.989</v>
      </c>
      <c r="K154">
        <v>117.1543899124558</v>
      </c>
      <c r="L154">
        <v>16423.12</v>
      </c>
      <c r="M154">
        <v>0.626</v>
      </c>
      <c r="N154">
        <v>41.98</v>
      </c>
      <c r="O154" s="89">
        <v>69059200.185867205</v>
      </c>
      <c r="P154" s="89">
        <v>79614354.662169144</v>
      </c>
      <c r="Q154">
        <v>5.9</v>
      </c>
      <c r="R154">
        <v>5.0999999999999996</v>
      </c>
      <c r="S154">
        <v>4.5999999999999996</v>
      </c>
      <c r="T154">
        <v>96.404383696589093</v>
      </c>
      <c r="U154">
        <v>27002.95</v>
      </c>
      <c r="V154">
        <v>20.65</v>
      </c>
      <c r="W154">
        <v>34.880000000000003</v>
      </c>
      <c r="X154">
        <v>41.552871749125103</v>
      </c>
      <c r="Y154">
        <v>1</v>
      </c>
      <c r="Z154">
        <v>1.7209926686000001</v>
      </c>
      <c r="AA154">
        <v>10.9799332255</v>
      </c>
      <c r="AB154">
        <v>0</v>
      </c>
      <c r="AC154">
        <v>1</v>
      </c>
      <c r="AD154">
        <v>0.42706795381412077</v>
      </c>
      <c r="AE154">
        <v>0</v>
      </c>
      <c r="AF154">
        <v>0.83489999999999998</v>
      </c>
      <c r="AG154">
        <v>0.434</v>
      </c>
      <c r="AH154">
        <v>0.33600000000000002</v>
      </c>
      <c r="AI154">
        <v>0.51500000000000001</v>
      </c>
      <c r="AJ154">
        <v>0.45200000000000001</v>
      </c>
      <c r="AK154">
        <v>0.1047740336626166</v>
      </c>
      <c r="AL154">
        <v>0.22070000000000001</v>
      </c>
      <c r="AM154">
        <v>16.706443914081099</v>
      </c>
      <c r="AN154">
        <v>0.84624697336561727</v>
      </c>
      <c r="AO154">
        <v>0.1394348260076412</v>
      </c>
      <c r="AP154">
        <v>512.85581523422707</v>
      </c>
      <c r="AQ154">
        <v>1042.9215571541665</v>
      </c>
      <c r="AR154">
        <v>258.14890028568476</v>
      </c>
      <c r="AS154">
        <v>130.79544281141361</v>
      </c>
      <c r="AT154" s="93">
        <v>2311603</v>
      </c>
    </row>
    <row r="155" spans="1:46" x14ac:dyDescent="0.3">
      <c r="A155" t="s">
        <v>242</v>
      </c>
      <c r="B155">
        <v>254</v>
      </c>
      <c r="C155">
        <v>1373.6412308690713</v>
      </c>
      <c r="D155">
        <v>9</v>
      </c>
      <c r="E155">
        <v>48.672327078037966</v>
      </c>
      <c r="F155">
        <v>3.5433070866141732E-2</v>
      </c>
      <c r="G155">
        <v>18491</v>
      </c>
      <c r="H155">
        <v>2811304.2561246012</v>
      </c>
      <c r="I155">
        <v>95199826.942837059</v>
      </c>
      <c r="J155">
        <v>372.94900000000001</v>
      </c>
      <c r="K155">
        <v>49.580505645544029</v>
      </c>
      <c r="L155">
        <v>9859.8799999999992</v>
      </c>
      <c r="M155">
        <v>0.60099999999999998</v>
      </c>
      <c r="N155">
        <v>25.78</v>
      </c>
      <c r="O155" s="89">
        <v>71171216.754096583</v>
      </c>
      <c r="P155" s="89">
        <v>108961629.11686768</v>
      </c>
      <c r="Q155">
        <v>6.8</v>
      </c>
      <c r="R155">
        <v>5</v>
      </c>
      <c r="S155">
        <v>4.8</v>
      </c>
      <c r="T155">
        <v>96.973122331072602</v>
      </c>
      <c r="U155">
        <v>17838.52</v>
      </c>
      <c r="V155">
        <v>10.82</v>
      </c>
      <c r="W155">
        <v>33.33</v>
      </c>
      <c r="X155">
        <v>44.269785150938297</v>
      </c>
      <c r="Y155">
        <v>0.65</v>
      </c>
      <c r="Z155">
        <v>1.4060894489</v>
      </c>
      <c r="AA155">
        <v>9.2477421448000001</v>
      </c>
      <c r="AB155">
        <v>0</v>
      </c>
      <c r="AC155">
        <v>1</v>
      </c>
      <c r="AD155">
        <v>0.45566692367000772</v>
      </c>
      <c r="AE155">
        <v>0</v>
      </c>
      <c r="AF155">
        <v>0.75919999999999999</v>
      </c>
      <c r="AG155">
        <v>0.436</v>
      </c>
      <c r="AH155">
        <v>0.20399999999999999</v>
      </c>
      <c r="AI155">
        <v>0.503</v>
      </c>
      <c r="AJ155">
        <v>0.60199999999999998</v>
      </c>
      <c r="AK155">
        <v>7.5550267697798934E-2</v>
      </c>
      <c r="AL155">
        <v>0.36399999999999999</v>
      </c>
      <c r="AM155">
        <v>12.2950819672131</v>
      </c>
      <c r="AN155">
        <v>0.45531914893616998</v>
      </c>
      <c r="AO155">
        <v>0.16489102806770861</v>
      </c>
      <c r="AP155">
        <v>275.80985344221511</v>
      </c>
      <c r="AQ155">
        <v>302.85003515223622</v>
      </c>
      <c r="AR155">
        <v>21.632145368016875</v>
      </c>
      <c r="AS155">
        <v>21.632145368016875</v>
      </c>
      <c r="AT155" s="93">
        <v>2311702</v>
      </c>
    </row>
    <row r="156" spans="1:46" x14ac:dyDescent="0.3">
      <c r="A156" t="s">
        <v>243</v>
      </c>
      <c r="B156">
        <v>2139</v>
      </c>
      <c r="C156">
        <v>2735.5040028646699</v>
      </c>
      <c r="D156">
        <v>46</v>
      </c>
      <c r="E156">
        <v>58.82804307235849</v>
      </c>
      <c r="F156">
        <v>2.1505376344086023E-2</v>
      </c>
      <c r="G156">
        <v>78194</v>
      </c>
      <c r="H156">
        <v>7915667.9796403823</v>
      </c>
      <c r="I156">
        <v>82891526.204056576</v>
      </c>
      <c r="J156">
        <v>1611.0909999999999</v>
      </c>
      <c r="K156">
        <v>48.534812744903924</v>
      </c>
      <c r="L156">
        <v>14304.44</v>
      </c>
      <c r="M156">
        <v>0.67400000000000004</v>
      </c>
      <c r="N156">
        <v>37.76</v>
      </c>
      <c r="O156" s="89">
        <v>57941530.142977715</v>
      </c>
      <c r="P156" s="89">
        <v>79834059.007084936</v>
      </c>
      <c r="Q156">
        <v>6.9</v>
      </c>
      <c r="R156">
        <v>6</v>
      </c>
      <c r="S156">
        <v>5.2</v>
      </c>
      <c r="T156">
        <v>98.154955954775602</v>
      </c>
      <c r="U156">
        <v>174879.94</v>
      </c>
      <c r="V156">
        <v>21.74</v>
      </c>
      <c r="W156">
        <v>30</v>
      </c>
      <c r="X156">
        <v>25.429121979665801</v>
      </c>
      <c r="Y156">
        <v>0.51</v>
      </c>
      <c r="Z156">
        <v>1.598588127</v>
      </c>
      <c r="AA156">
        <v>8.0185180449000004</v>
      </c>
      <c r="AB156">
        <v>0</v>
      </c>
      <c r="AC156">
        <v>1</v>
      </c>
      <c r="AD156">
        <v>0.35629287013303168</v>
      </c>
      <c r="AE156">
        <v>0</v>
      </c>
      <c r="AF156">
        <v>0.47220000000000001</v>
      </c>
      <c r="AG156">
        <v>0.32200000000000001</v>
      </c>
      <c r="AH156">
        <v>0.17699999999999999</v>
      </c>
      <c r="AI156">
        <v>0.40400000000000003</v>
      </c>
      <c r="AJ156">
        <v>0.38400000000000001</v>
      </c>
      <c r="AK156">
        <v>0.12977977849962913</v>
      </c>
      <c r="AL156">
        <v>0.1047</v>
      </c>
      <c r="AM156">
        <v>12.6182965299685</v>
      </c>
      <c r="AN156">
        <v>0.9326042726347914</v>
      </c>
      <c r="AO156">
        <v>0.11933140650177763</v>
      </c>
      <c r="AP156">
        <v>520.50029414021537</v>
      </c>
      <c r="AQ156">
        <v>1902.9593063406398</v>
      </c>
      <c r="AR156">
        <v>86.963194106964721</v>
      </c>
      <c r="AS156">
        <v>140.67575517303118</v>
      </c>
      <c r="AT156" s="93">
        <v>2311801</v>
      </c>
    </row>
    <row r="157" spans="1:46" x14ac:dyDescent="0.3">
      <c r="A157" t="s">
        <v>244</v>
      </c>
      <c r="B157">
        <v>35</v>
      </c>
      <c r="C157">
        <v>221.25292369934891</v>
      </c>
      <c r="D157">
        <v>1</v>
      </c>
      <c r="E157">
        <v>6.3215121056956827</v>
      </c>
      <c r="F157">
        <v>2.8571428571428571E-2</v>
      </c>
      <c r="G157">
        <v>15819</v>
      </c>
      <c r="H157">
        <v>1701307.7944244263</v>
      </c>
      <c r="I157">
        <v>90840128.958846956</v>
      </c>
      <c r="J157">
        <v>1381.2739999999999</v>
      </c>
      <c r="K157">
        <v>11.452470690102038</v>
      </c>
      <c r="L157">
        <v>8035.33</v>
      </c>
      <c r="M157">
        <v>0.57499999999999996</v>
      </c>
      <c r="N157">
        <v>11.85</v>
      </c>
      <c r="O157" s="89">
        <v>54836999.114988305</v>
      </c>
      <c r="P157" s="89">
        <v>100440562.23528668</v>
      </c>
      <c r="Q157">
        <v>5.8</v>
      </c>
      <c r="R157">
        <v>5.7</v>
      </c>
      <c r="S157">
        <v>4.4000000000000004</v>
      </c>
      <c r="T157">
        <v>99.199417758369705</v>
      </c>
      <c r="U157">
        <v>9873.0499999999993</v>
      </c>
      <c r="V157">
        <v>37.93</v>
      </c>
      <c r="W157">
        <v>34.69</v>
      </c>
      <c r="X157">
        <v>45.711933113757297</v>
      </c>
      <c r="Y157">
        <v>0.7</v>
      </c>
      <c r="Z157">
        <v>2.4021746002</v>
      </c>
      <c r="AA157">
        <v>9.3558379164000005</v>
      </c>
      <c r="AB157">
        <v>0</v>
      </c>
      <c r="AC157">
        <v>1</v>
      </c>
      <c r="AD157">
        <v>0.46324276282376842</v>
      </c>
      <c r="AE157">
        <v>1</v>
      </c>
      <c r="AF157">
        <v>0.50190000000000001</v>
      </c>
      <c r="AG157">
        <v>0.436</v>
      </c>
      <c r="AH157">
        <v>0.17100000000000001</v>
      </c>
      <c r="AI157">
        <v>0.52100000000000002</v>
      </c>
      <c r="AJ157">
        <v>0.61699999999999999</v>
      </c>
      <c r="AK157">
        <v>5.0888172450850241E-2</v>
      </c>
      <c r="AL157">
        <v>0.33090000000000003</v>
      </c>
      <c r="AN157">
        <v>0.95165745856353601</v>
      </c>
      <c r="AO157">
        <v>0.16379037865857513</v>
      </c>
      <c r="AP157">
        <v>284.46804475630569</v>
      </c>
      <c r="AQ157">
        <v>562.61457740691571</v>
      </c>
      <c r="AR157">
        <v>44.250584739869772</v>
      </c>
      <c r="AS157">
        <v>6.3215121056956827</v>
      </c>
      <c r="AT157" s="93">
        <v>2311900</v>
      </c>
    </row>
    <row r="158" spans="1:46" x14ac:dyDescent="0.3">
      <c r="A158" t="s">
        <v>245</v>
      </c>
      <c r="B158">
        <v>223</v>
      </c>
      <c r="C158">
        <v>1347.1064395312312</v>
      </c>
      <c r="D158">
        <v>3</v>
      </c>
      <c r="E158">
        <v>18.122508155128671</v>
      </c>
      <c r="F158">
        <v>1.3452914798206279E-2</v>
      </c>
      <c r="G158">
        <v>16554</v>
      </c>
      <c r="H158">
        <v>11416908.481333816</v>
      </c>
      <c r="I158">
        <v>107393983.32729249</v>
      </c>
      <c r="J158">
        <v>806.25300000000004</v>
      </c>
      <c r="K158">
        <v>20.532016625054418</v>
      </c>
      <c r="L158">
        <v>6602.19</v>
      </c>
      <c r="M158">
        <v>0.54</v>
      </c>
      <c r="N158">
        <v>11.78</v>
      </c>
      <c r="O158" s="89">
        <v>70025669.747493044</v>
      </c>
      <c r="P158" s="89">
        <v>115932928.23486772</v>
      </c>
      <c r="Q158">
        <v>7.7</v>
      </c>
      <c r="R158">
        <v>6</v>
      </c>
      <c r="S158">
        <v>3.7</v>
      </c>
      <c r="T158">
        <v>89.807436918990703</v>
      </c>
      <c r="U158">
        <v>9637.91</v>
      </c>
      <c r="V158">
        <v>18.12</v>
      </c>
      <c r="W158">
        <v>33.33</v>
      </c>
      <c r="X158">
        <v>59.477006311992803</v>
      </c>
      <c r="Y158">
        <v>1.0900000000000001</v>
      </c>
      <c r="Z158">
        <v>0.84571704719999996</v>
      </c>
      <c r="AA158">
        <v>8.9404373565000004</v>
      </c>
      <c r="AB158">
        <v>0</v>
      </c>
      <c r="AC158">
        <v>1</v>
      </c>
      <c r="AD158">
        <v>0.59470652947647706</v>
      </c>
      <c r="AE158">
        <v>0</v>
      </c>
      <c r="AF158">
        <v>1</v>
      </c>
      <c r="AG158">
        <v>0.54600000000000004</v>
      </c>
      <c r="AH158">
        <v>0.47299999999999998</v>
      </c>
      <c r="AI158">
        <v>0.59399999999999997</v>
      </c>
      <c r="AJ158">
        <v>0.57199999999999995</v>
      </c>
      <c r="AK158">
        <v>9.3512142080463934E-2</v>
      </c>
      <c r="AL158">
        <v>0.36880000000000002</v>
      </c>
      <c r="AM158">
        <v>24.390243902439</v>
      </c>
      <c r="AN158">
        <v>0.93542435424354253</v>
      </c>
      <c r="AO158">
        <v>0.10583544762595143</v>
      </c>
      <c r="AP158">
        <v>507.43022834360272</v>
      </c>
      <c r="AQ158">
        <v>815.51286698079014</v>
      </c>
      <c r="AR158">
        <v>48.326688413676457</v>
      </c>
      <c r="AS158">
        <v>0</v>
      </c>
      <c r="AT158" s="93">
        <v>2311959</v>
      </c>
    </row>
    <row r="159" spans="1:46" x14ac:dyDescent="0.3">
      <c r="A159" t="s">
        <v>544</v>
      </c>
      <c r="B159">
        <v>1039</v>
      </c>
      <c r="C159">
        <v>2377.4111617051462</v>
      </c>
      <c r="D159">
        <v>18</v>
      </c>
      <c r="E159">
        <v>41.187103860146898</v>
      </c>
      <c r="F159">
        <v>1.7324350336862367E-2</v>
      </c>
      <c r="G159">
        <v>43703</v>
      </c>
      <c r="H159">
        <v>1187242.4776331144</v>
      </c>
      <c r="I159">
        <v>39160698.350227669</v>
      </c>
      <c r="J159">
        <v>4262.2979999999998</v>
      </c>
      <c r="K159">
        <v>10.253389134218208</v>
      </c>
      <c r="L159">
        <v>6921.76</v>
      </c>
      <c r="M159">
        <v>0.61599999999999999</v>
      </c>
      <c r="N159">
        <v>18.920000000000002</v>
      </c>
      <c r="O159" s="89">
        <v>19643436.240075052</v>
      </c>
      <c r="P159" s="89">
        <v>37592999.405075163</v>
      </c>
      <c r="Q159">
        <v>5.2</v>
      </c>
      <c r="R159">
        <v>5.5</v>
      </c>
      <c r="S159">
        <v>3.5</v>
      </c>
      <c r="T159">
        <v>99.653697290690602</v>
      </c>
      <c r="U159">
        <v>10207.48</v>
      </c>
      <c r="V159">
        <v>41.19</v>
      </c>
      <c r="W159">
        <v>33.33</v>
      </c>
      <c r="X159">
        <v>56.244354110207802</v>
      </c>
      <c r="Y159">
        <v>0.56000000000000005</v>
      </c>
      <c r="Z159">
        <v>1.1864406780000001</v>
      </c>
      <c r="AA159">
        <v>8.2485875705999998</v>
      </c>
      <c r="AB159">
        <v>0</v>
      </c>
      <c r="AC159">
        <v>1</v>
      </c>
      <c r="AD159">
        <v>0.48619685497961562</v>
      </c>
      <c r="AE159">
        <v>1</v>
      </c>
      <c r="AF159">
        <v>0.50360000000000005</v>
      </c>
      <c r="AG159">
        <v>0.45100000000000001</v>
      </c>
      <c r="AH159">
        <v>0.33700000000000002</v>
      </c>
      <c r="AI159">
        <v>0.436</v>
      </c>
      <c r="AJ159">
        <v>0.57999999999999996</v>
      </c>
      <c r="AK159">
        <v>2.7183488547696956E-2</v>
      </c>
      <c r="AL159">
        <v>0.39539999999999997</v>
      </c>
      <c r="AM159">
        <v>23.722627737226301</v>
      </c>
      <c r="AN159">
        <v>0.72352342158859473</v>
      </c>
      <c r="AO159">
        <v>5.4138159851726424E-2</v>
      </c>
      <c r="AP159">
        <v>205.93551930073451</v>
      </c>
      <c r="AQ159">
        <v>144.15486351051416</v>
      </c>
      <c r="AR159">
        <v>22.88172436674828</v>
      </c>
      <c r="AS159">
        <v>2.2881724366748277</v>
      </c>
      <c r="AT159" s="93">
        <v>2312205</v>
      </c>
    </row>
    <row r="160" spans="1:46" x14ac:dyDescent="0.3">
      <c r="A160" t="s">
        <v>546</v>
      </c>
      <c r="B160">
        <v>709</v>
      </c>
      <c r="C160">
        <v>2184.7651916676937</v>
      </c>
      <c r="D160">
        <v>26</v>
      </c>
      <c r="E160">
        <v>80.118328608406259</v>
      </c>
      <c r="F160">
        <v>3.6671368124118475E-2</v>
      </c>
      <c r="G160">
        <v>32452</v>
      </c>
      <c r="H160">
        <v>3015003.2355478862</v>
      </c>
      <c r="I160">
        <v>127051645.50721066</v>
      </c>
      <c r="J160">
        <v>972.57299999999998</v>
      </c>
      <c r="K160">
        <v>33.367161128264925</v>
      </c>
      <c r="L160">
        <v>10095.69</v>
      </c>
      <c r="M160">
        <v>0.58699999999999997</v>
      </c>
      <c r="N160">
        <v>21.13</v>
      </c>
      <c r="O160" s="89">
        <v>57002718.414889686</v>
      </c>
      <c r="P160" s="89">
        <v>111177360.7173672</v>
      </c>
      <c r="Q160">
        <v>6.3</v>
      </c>
      <c r="R160">
        <v>5.3</v>
      </c>
      <c r="S160">
        <v>4.5</v>
      </c>
      <c r="T160">
        <v>98.3323107814156</v>
      </c>
      <c r="U160">
        <v>51425.48</v>
      </c>
      <c r="V160">
        <v>33.9</v>
      </c>
      <c r="W160">
        <v>30.77</v>
      </c>
      <c r="X160">
        <v>43.252270595502303</v>
      </c>
      <c r="Y160">
        <v>0.46</v>
      </c>
      <c r="Z160">
        <v>1.1212044940000001</v>
      </c>
      <c r="AA160">
        <v>7.1619797268000003</v>
      </c>
      <c r="AB160">
        <v>0</v>
      </c>
      <c r="AC160">
        <v>1</v>
      </c>
      <c r="AD160">
        <v>0.47945653953183826</v>
      </c>
      <c r="AE160">
        <v>1</v>
      </c>
      <c r="AF160">
        <v>0.52300000000000002</v>
      </c>
      <c r="AG160">
        <v>0.505</v>
      </c>
      <c r="AH160">
        <v>0.32800000000000001</v>
      </c>
      <c r="AI160">
        <v>0.58599999999999997</v>
      </c>
      <c r="AJ160">
        <v>0.60099999999999998</v>
      </c>
      <c r="AK160">
        <v>0.12516948107974854</v>
      </c>
      <c r="AL160">
        <v>0.33909999999999996</v>
      </c>
      <c r="AM160">
        <v>13.953488372093</v>
      </c>
      <c r="AN160">
        <v>0.87710843373493974</v>
      </c>
      <c r="AO160">
        <v>0.19767656847035622</v>
      </c>
      <c r="AP160">
        <v>425.2434364600025</v>
      </c>
      <c r="AQ160">
        <v>711.82053494391721</v>
      </c>
      <c r="AR160">
        <v>67.792431899420677</v>
      </c>
      <c r="AS160">
        <v>27.733267595217551</v>
      </c>
      <c r="AT160" s="93">
        <v>2312007</v>
      </c>
    </row>
    <row r="161" spans="1:46" x14ac:dyDescent="0.3">
      <c r="A161" t="s">
        <v>248</v>
      </c>
      <c r="B161">
        <v>135</v>
      </c>
      <c r="C161">
        <v>762.71186440677968</v>
      </c>
      <c r="D161">
        <v>6</v>
      </c>
      <c r="E161">
        <v>33.898305084745765</v>
      </c>
      <c r="F161">
        <v>4.4444444444444446E-2</v>
      </c>
      <c r="G161">
        <v>17700</v>
      </c>
      <c r="H161">
        <v>9354067.4011299424</v>
      </c>
      <c r="I161">
        <v>180650847.45762712</v>
      </c>
      <c r="J161">
        <v>855.16499999999996</v>
      </c>
      <c r="K161">
        <v>20.697760081387802</v>
      </c>
      <c r="L161">
        <v>6705.45</v>
      </c>
      <c r="M161">
        <v>0.61199999999999999</v>
      </c>
      <c r="N161">
        <v>22.83</v>
      </c>
      <c r="O161" s="89">
        <v>72129433.841807902</v>
      </c>
      <c r="P161" s="89">
        <v>158528558.41807908</v>
      </c>
      <c r="Q161">
        <v>6.3</v>
      </c>
      <c r="R161">
        <v>4.4000000000000004</v>
      </c>
      <c r="S161">
        <v>3.8</v>
      </c>
      <c r="T161">
        <v>99.726177437020795</v>
      </c>
      <c r="U161">
        <v>18722.43</v>
      </c>
      <c r="V161">
        <v>11.3</v>
      </c>
      <c r="W161">
        <v>30.77</v>
      </c>
      <c r="X161">
        <v>54.749800943222901</v>
      </c>
      <c r="Y161">
        <v>0.4</v>
      </c>
      <c r="Z161">
        <v>1.2325896708999999</v>
      </c>
      <c r="AA161">
        <v>7.0257611240999998</v>
      </c>
      <c r="AB161">
        <v>0</v>
      </c>
      <c r="AC161">
        <v>1</v>
      </c>
      <c r="AD161">
        <v>0.48667601683029454</v>
      </c>
      <c r="AE161">
        <v>1</v>
      </c>
      <c r="AF161">
        <v>0.52270000000000005</v>
      </c>
      <c r="AG161">
        <v>0.46800000000000003</v>
      </c>
      <c r="AH161">
        <v>0.309</v>
      </c>
      <c r="AI161">
        <v>0.52100000000000002</v>
      </c>
      <c r="AJ161">
        <v>0.57299999999999995</v>
      </c>
      <c r="AK161">
        <v>8.5932203389830514E-2</v>
      </c>
      <c r="AL161">
        <v>0.43569999999999998</v>
      </c>
      <c r="AM161">
        <v>6.9686411149825798</v>
      </c>
      <c r="AN161">
        <v>1</v>
      </c>
      <c r="AO161">
        <v>0.21627118644067797</v>
      </c>
      <c r="AP161">
        <v>446.32768361581918</v>
      </c>
      <c r="AQ161">
        <v>1180.7909604519775</v>
      </c>
      <c r="AR161">
        <v>39.548022598870055</v>
      </c>
      <c r="AS161">
        <v>11.299435028248588</v>
      </c>
      <c r="AT161" s="93">
        <v>2312106</v>
      </c>
    </row>
    <row r="162" spans="1:46" x14ac:dyDescent="0.3">
      <c r="A162" t="s">
        <v>549</v>
      </c>
      <c r="B162">
        <v>558</v>
      </c>
      <c r="C162">
        <v>1164.8539757426468</v>
      </c>
      <c r="D162">
        <v>15</v>
      </c>
      <c r="E162">
        <v>31.313278917813083</v>
      </c>
      <c r="F162">
        <v>2.6881720430107527E-2</v>
      </c>
      <c r="G162">
        <v>47903</v>
      </c>
      <c r="H162">
        <v>5587727.3239671839</v>
      </c>
      <c r="I162">
        <v>47596183.955075882</v>
      </c>
      <c r="J162">
        <v>350.84699999999998</v>
      </c>
      <c r="K162">
        <v>136.53529886246713</v>
      </c>
      <c r="L162">
        <v>10796.05</v>
      </c>
      <c r="M162">
        <v>0.61099999999999999</v>
      </c>
      <c r="N162">
        <v>38.479999999999997</v>
      </c>
      <c r="O162" s="89">
        <v>51680278.500302687</v>
      </c>
      <c r="P162" s="89">
        <v>106587040.58200946</v>
      </c>
      <c r="Q162">
        <v>5.4</v>
      </c>
      <c r="R162">
        <v>4.8</v>
      </c>
      <c r="S162">
        <v>4.9000000000000004</v>
      </c>
      <c r="T162">
        <v>99.254458423349007</v>
      </c>
      <c r="U162">
        <v>37764.67</v>
      </c>
      <c r="V162">
        <v>27.14</v>
      </c>
      <c r="W162">
        <v>27.27</v>
      </c>
      <c r="X162">
        <v>44.6282021981675</v>
      </c>
      <c r="Y162">
        <v>0.52</v>
      </c>
      <c r="Z162">
        <v>1.7535436194</v>
      </c>
      <c r="AA162">
        <v>7.2229296704000001</v>
      </c>
      <c r="AB162">
        <v>0</v>
      </c>
      <c r="AC162">
        <v>1</v>
      </c>
      <c r="AD162">
        <v>0.44420299696681609</v>
      </c>
      <c r="AE162">
        <v>0</v>
      </c>
      <c r="AF162">
        <v>0.53359999999999996</v>
      </c>
      <c r="AG162">
        <v>0.4</v>
      </c>
      <c r="AH162">
        <v>0.215</v>
      </c>
      <c r="AI162">
        <v>0.47299999999999998</v>
      </c>
      <c r="AJ162">
        <v>0.51100000000000001</v>
      </c>
      <c r="AK162">
        <v>7.8742458718660632E-2</v>
      </c>
      <c r="AL162">
        <v>0.249</v>
      </c>
      <c r="AM162">
        <v>15.719467956469201</v>
      </c>
      <c r="AN162">
        <v>0.91677503250975267</v>
      </c>
      <c r="AO162">
        <v>0.12915683777633968</v>
      </c>
      <c r="AP162">
        <v>363.23403544663176</v>
      </c>
      <c r="AQ162">
        <v>484.31204726217561</v>
      </c>
      <c r="AR162">
        <v>68.88921361918878</v>
      </c>
      <c r="AS162">
        <v>10.437759639271027</v>
      </c>
      <c r="AT162" s="93">
        <v>2312304</v>
      </c>
    </row>
    <row r="163" spans="1:46" x14ac:dyDescent="0.3">
      <c r="A163" t="s">
        <v>551</v>
      </c>
      <c r="B163">
        <v>1982</v>
      </c>
      <c r="C163">
        <v>4093.1807855933257</v>
      </c>
      <c r="D163">
        <v>46</v>
      </c>
      <c r="E163">
        <v>94.998141340712891</v>
      </c>
      <c r="F163">
        <v>2.3208879919273461E-2</v>
      </c>
      <c r="G163">
        <v>48422</v>
      </c>
      <c r="H163">
        <v>1059206.3731361779</v>
      </c>
      <c r="I163">
        <v>15756474.329850066</v>
      </c>
      <c r="J163">
        <v>842.63499999999999</v>
      </c>
      <c r="K163">
        <v>57.464975938573644</v>
      </c>
      <c r="L163">
        <v>87086.02</v>
      </c>
      <c r="M163">
        <v>0.66500000000000004</v>
      </c>
      <c r="N163">
        <v>60.98</v>
      </c>
      <c r="O163" s="89">
        <v>108373309.07438768</v>
      </c>
      <c r="P163" s="89">
        <v>165366952.43897399</v>
      </c>
      <c r="Q163">
        <v>6.7</v>
      </c>
      <c r="R163">
        <v>5.7</v>
      </c>
      <c r="S163">
        <v>4.3</v>
      </c>
      <c r="T163">
        <v>99.604700854700894</v>
      </c>
      <c r="U163">
        <v>100429.05</v>
      </c>
      <c r="V163">
        <v>51.63</v>
      </c>
      <c r="W163">
        <v>33.54</v>
      </c>
      <c r="X163">
        <v>44.422844748204398</v>
      </c>
      <c r="Y163">
        <v>0.6</v>
      </c>
      <c r="Z163">
        <v>0.86737433399999997</v>
      </c>
      <c r="AA163">
        <v>14.270372971</v>
      </c>
      <c r="AB163">
        <v>1</v>
      </c>
      <c r="AC163">
        <v>0</v>
      </c>
      <c r="AD163">
        <v>0.34980633401686034</v>
      </c>
      <c r="AE163">
        <v>0</v>
      </c>
      <c r="AF163">
        <v>0.6179</v>
      </c>
      <c r="AG163">
        <v>0.42899999999999999</v>
      </c>
      <c r="AH163">
        <v>0.38800000000000001</v>
      </c>
      <c r="AI163">
        <v>0.47599999999999998</v>
      </c>
      <c r="AJ163">
        <v>0.42399999999999999</v>
      </c>
      <c r="AK163">
        <v>0.26271116434678454</v>
      </c>
      <c r="AL163">
        <v>0.17519999999999999</v>
      </c>
      <c r="AM163">
        <v>16.073478760045901</v>
      </c>
      <c r="AN163">
        <v>0.77431289640591983</v>
      </c>
      <c r="AO163">
        <v>0.10358927760109041</v>
      </c>
      <c r="AP163">
        <v>413.03539713353433</v>
      </c>
      <c r="AQ163">
        <v>346.94973359216885</v>
      </c>
      <c r="AR163">
        <v>53.694601627359461</v>
      </c>
      <c r="AS163">
        <v>12.391061914006029</v>
      </c>
      <c r="AT163" s="93">
        <v>2312403</v>
      </c>
    </row>
    <row r="164" spans="1:46" x14ac:dyDescent="0.3">
      <c r="A164" t="s">
        <v>553</v>
      </c>
      <c r="B164">
        <v>151</v>
      </c>
      <c r="C164">
        <v>1975.14715500327</v>
      </c>
      <c r="D164">
        <v>3</v>
      </c>
      <c r="E164">
        <v>39.241334205362982</v>
      </c>
      <c r="F164">
        <v>1.9867549668874173E-2</v>
      </c>
      <c r="G164">
        <v>7645</v>
      </c>
      <c r="H164">
        <v>405048949.11706996</v>
      </c>
      <c r="I164">
        <v>2294432962.7207322</v>
      </c>
      <c r="J164">
        <v>279.45100000000002</v>
      </c>
      <c r="K164">
        <v>27.357211103198768</v>
      </c>
      <c r="L164">
        <v>11662.2</v>
      </c>
      <c r="M164">
        <v>0.65400000000000003</v>
      </c>
      <c r="N164">
        <v>14.24</v>
      </c>
      <c r="O164" s="89">
        <v>83250246.827992156</v>
      </c>
      <c r="P164" s="89">
        <v>70981998.691955522</v>
      </c>
      <c r="Q164">
        <v>5.7</v>
      </c>
      <c r="R164">
        <v>5.5</v>
      </c>
      <c r="S164">
        <v>4.5999999999999996</v>
      </c>
      <c r="T164">
        <v>100</v>
      </c>
      <c r="U164">
        <v>10947.52</v>
      </c>
      <c r="V164">
        <v>104.64</v>
      </c>
      <c r="W164">
        <v>29.03</v>
      </c>
      <c r="X164">
        <v>31.890540718326498</v>
      </c>
      <c r="Y164">
        <v>0.52</v>
      </c>
      <c r="Z164">
        <v>0</v>
      </c>
      <c r="AA164">
        <v>11.510791366899999</v>
      </c>
      <c r="AB164">
        <v>0</v>
      </c>
      <c r="AC164">
        <v>1</v>
      </c>
      <c r="AD164">
        <v>0.5988607594936709</v>
      </c>
      <c r="AE164">
        <v>0</v>
      </c>
      <c r="AF164">
        <v>0.54559999999999997</v>
      </c>
      <c r="AG164">
        <v>0.27300000000000002</v>
      </c>
      <c r="AH164">
        <v>0.104</v>
      </c>
      <c r="AI164">
        <v>0.36299999999999999</v>
      </c>
      <c r="AJ164">
        <v>0.35199999999999998</v>
      </c>
      <c r="AK164">
        <v>6.3701765860039242E-2</v>
      </c>
      <c r="AL164">
        <v>0.16370000000000001</v>
      </c>
      <c r="AM164">
        <v>25.6410256410256</v>
      </c>
      <c r="AN164">
        <v>0.83132530120481929</v>
      </c>
      <c r="AO164">
        <v>0.21635055591890123</v>
      </c>
      <c r="AP164">
        <v>562.45912361020271</v>
      </c>
      <c r="AQ164">
        <v>967.95291039895346</v>
      </c>
      <c r="AR164">
        <v>26.160889470241987</v>
      </c>
      <c r="AS164">
        <v>91.56311314584697</v>
      </c>
      <c r="AT164" s="93">
        <v>2312502</v>
      </c>
    </row>
    <row r="165" spans="1:46" x14ac:dyDescent="0.3">
      <c r="A165" t="s">
        <v>555</v>
      </c>
      <c r="B165">
        <v>135</v>
      </c>
      <c r="C165">
        <v>1038.4615384615383</v>
      </c>
      <c r="D165">
        <v>7</v>
      </c>
      <c r="E165">
        <v>53.846153846153847</v>
      </c>
      <c r="F165">
        <v>5.185185185185185E-2</v>
      </c>
      <c r="G165">
        <v>13000</v>
      </c>
      <c r="H165">
        <v>4717029.461538461</v>
      </c>
      <c r="I165">
        <v>110875384.61538461</v>
      </c>
      <c r="J165">
        <v>122.86499999999999</v>
      </c>
      <c r="K165">
        <v>105.80718674968462</v>
      </c>
      <c r="L165">
        <v>8042.9</v>
      </c>
      <c r="M165">
        <v>0.62</v>
      </c>
      <c r="N165">
        <v>21.21</v>
      </c>
      <c r="O165" s="89">
        <v>54145217.769230768</v>
      </c>
      <c r="P165" s="89">
        <v>73831354.461538464</v>
      </c>
      <c r="Q165">
        <v>4.9000000000000004</v>
      </c>
      <c r="R165">
        <v>4.4000000000000004</v>
      </c>
      <c r="S165">
        <v>4.0999999999999996</v>
      </c>
      <c r="T165">
        <v>98.665395614871301</v>
      </c>
      <c r="U165">
        <v>18239.18</v>
      </c>
      <c r="V165">
        <v>15.38</v>
      </c>
      <c r="W165">
        <v>33.33</v>
      </c>
      <c r="X165">
        <v>48.681386077890203</v>
      </c>
      <c r="Y165">
        <v>0.85</v>
      </c>
      <c r="Z165">
        <v>1.5384615385</v>
      </c>
      <c r="AA165">
        <v>8.2307692308</v>
      </c>
      <c r="AB165">
        <v>1</v>
      </c>
      <c r="AC165">
        <v>0</v>
      </c>
      <c r="AD165">
        <v>0.35444372364579957</v>
      </c>
      <c r="AE165">
        <v>1</v>
      </c>
      <c r="AF165">
        <v>0.61219999999999997</v>
      </c>
      <c r="AG165">
        <v>0.47899999999999998</v>
      </c>
      <c r="AH165">
        <v>0.33100000000000002</v>
      </c>
      <c r="AI165">
        <v>0.54500000000000004</v>
      </c>
      <c r="AJ165">
        <v>0.56100000000000005</v>
      </c>
      <c r="AK165">
        <v>5.969230769230769E-2</v>
      </c>
      <c r="AL165">
        <v>0.23960000000000001</v>
      </c>
      <c r="AM165">
        <v>5.81395348837209</v>
      </c>
      <c r="AN165">
        <v>0.384493670886076</v>
      </c>
      <c r="AO165">
        <v>0.14046153846153847</v>
      </c>
      <c r="AP165">
        <v>153.84615384615384</v>
      </c>
      <c r="AQ165">
        <v>146.15384615384616</v>
      </c>
      <c r="AR165">
        <v>38.46153846153846</v>
      </c>
      <c r="AS165">
        <v>0</v>
      </c>
      <c r="AT165" s="93">
        <v>2312601</v>
      </c>
    </row>
    <row r="166" spans="1:46" x14ac:dyDescent="0.3">
      <c r="A166" t="s">
        <v>253</v>
      </c>
      <c r="B166">
        <v>191</v>
      </c>
      <c r="C166">
        <v>749.13711954816438</v>
      </c>
      <c r="D166">
        <v>2</v>
      </c>
      <c r="E166">
        <v>7.844367743959836</v>
      </c>
      <c r="F166">
        <v>1.0471204188481676E-2</v>
      </c>
      <c r="G166">
        <v>25496</v>
      </c>
      <c r="H166">
        <v>12057635.550674615</v>
      </c>
      <c r="I166">
        <v>177740822.08973956</v>
      </c>
      <c r="J166">
        <v>956.88199999999995</v>
      </c>
      <c r="K166">
        <v>26.644873662583265</v>
      </c>
      <c r="L166">
        <v>11443.71</v>
      </c>
      <c r="M166">
        <v>0.61899999999999999</v>
      </c>
      <c r="N166">
        <v>24.74</v>
      </c>
      <c r="O166" s="89">
        <v>67228616.17508629</v>
      </c>
      <c r="P166" s="89">
        <v>75626229.565422028</v>
      </c>
      <c r="Q166">
        <v>6.4</v>
      </c>
      <c r="R166">
        <v>5</v>
      </c>
      <c r="S166">
        <v>4.5999999999999996</v>
      </c>
      <c r="T166">
        <v>98.546325878594303</v>
      </c>
      <c r="U166">
        <v>30038.77</v>
      </c>
      <c r="V166">
        <v>23.53</v>
      </c>
      <c r="W166">
        <v>30.88</v>
      </c>
      <c r="X166">
        <v>44.064267756128203</v>
      </c>
      <c r="Y166">
        <v>0.86</v>
      </c>
      <c r="Z166">
        <v>2.0787574521000001</v>
      </c>
      <c r="AA166">
        <v>10.825227486699999</v>
      </c>
      <c r="AB166">
        <v>0</v>
      </c>
      <c r="AC166">
        <v>1</v>
      </c>
      <c r="AD166">
        <v>0.40662661981941139</v>
      </c>
      <c r="AE166">
        <v>0</v>
      </c>
      <c r="AF166">
        <v>0.61499999999999999</v>
      </c>
      <c r="AG166">
        <v>0.434</v>
      </c>
      <c r="AH166">
        <v>0.18099999999999999</v>
      </c>
      <c r="AI166">
        <v>0.55700000000000005</v>
      </c>
      <c r="AJ166">
        <v>0.56499999999999995</v>
      </c>
      <c r="AK166">
        <v>0.11656730467524318</v>
      </c>
      <c r="AL166">
        <v>0.23100000000000001</v>
      </c>
      <c r="AM166">
        <v>21.739130434782599</v>
      </c>
      <c r="AN166">
        <v>0.80329153605015702</v>
      </c>
      <c r="AO166">
        <v>0.16500627549419516</v>
      </c>
      <c r="AP166">
        <v>545.18355820520867</v>
      </c>
      <c r="AQ166">
        <v>717.75964857232498</v>
      </c>
      <c r="AR166">
        <v>152.96517100721681</v>
      </c>
      <c r="AS166">
        <v>15.688735487919672</v>
      </c>
      <c r="AT166" s="93">
        <v>2312700</v>
      </c>
    </row>
    <row r="167" spans="1:46" x14ac:dyDescent="0.3">
      <c r="A167" t="s">
        <v>558</v>
      </c>
      <c r="B167">
        <v>337</v>
      </c>
      <c r="C167">
        <v>4420.8316935589664</v>
      </c>
      <c r="D167">
        <v>2</v>
      </c>
      <c r="E167">
        <v>26.236389872753509</v>
      </c>
      <c r="F167">
        <v>5.9347181008902079E-3</v>
      </c>
      <c r="G167">
        <v>7623</v>
      </c>
      <c r="H167">
        <v>43716856.618129343</v>
      </c>
      <c r="I167">
        <v>695655253.83707201</v>
      </c>
      <c r="J167">
        <v>424.642</v>
      </c>
      <c r="K167">
        <v>17.951592164694024</v>
      </c>
      <c r="L167">
        <v>6992.89</v>
      </c>
      <c r="M167">
        <v>0.60299999999999998</v>
      </c>
      <c r="N167">
        <v>20.85</v>
      </c>
      <c r="O167" s="89">
        <v>49658489.177489176</v>
      </c>
      <c r="P167" s="89">
        <v>118810647.51410206</v>
      </c>
      <c r="Q167">
        <v>7.1</v>
      </c>
      <c r="R167">
        <v>5.0999999999999996</v>
      </c>
      <c r="S167">
        <v>4.0999999999999996</v>
      </c>
      <c r="T167">
        <v>97.956168431420807</v>
      </c>
      <c r="U167">
        <v>5317.38</v>
      </c>
      <c r="V167">
        <v>26.24</v>
      </c>
      <c r="W167">
        <v>31.25</v>
      </c>
      <c r="X167">
        <v>51.631777402158399</v>
      </c>
      <c r="Y167">
        <v>0.66</v>
      </c>
      <c r="Z167">
        <v>0</v>
      </c>
      <c r="AA167">
        <v>6.2967335694999997</v>
      </c>
      <c r="AB167">
        <v>0</v>
      </c>
      <c r="AC167">
        <v>0</v>
      </c>
      <c r="AD167">
        <v>0.26036193812025687</v>
      </c>
      <c r="AE167">
        <v>1</v>
      </c>
      <c r="AF167">
        <v>0.50740000000000007</v>
      </c>
      <c r="AG167">
        <v>0.49299999999999999</v>
      </c>
      <c r="AH167">
        <v>0.46899999999999997</v>
      </c>
      <c r="AI167">
        <v>0.50700000000000001</v>
      </c>
      <c r="AJ167">
        <v>0.503</v>
      </c>
      <c r="AK167">
        <v>6.1786698150334517E-2</v>
      </c>
      <c r="AL167">
        <v>0.34020000000000006</v>
      </c>
      <c r="AM167">
        <v>9.2592592592592595</v>
      </c>
      <c r="AN167">
        <v>0.64325842696629199</v>
      </c>
      <c r="AO167">
        <v>0.11793257247802702</v>
      </c>
      <c r="AP167">
        <v>419.78223796405615</v>
      </c>
      <c r="AQ167">
        <v>367.30945821854914</v>
      </c>
      <c r="AR167">
        <v>65.590974681883779</v>
      </c>
      <c r="AS167">
        <v>13.118194936376755</v>
      </c>
      <c r="AT167" s="93">
        <v>2312809</v>
      </c>
    </row>
    <row r="168" spans="1:46" x14ac:dyDescent="0.3">
      <c r="A168" t="s">
        <v>255</v>
      </c>
      <c r="B168">
        <v>9851</v>
      </c>
      <c r="C168">
        <v>4714.8634742862614</v>
      </c>
      <c r="D168">
        <v>283</v>
      </c>
      <c r="E168">
        <v>135.44882379687462</v>
      </c>
      <c r="F168">
        <v>2.8728047913917368E-2</v>
      </c>
      <c r="G168">
        <v>208935</v>
      </c>
      <c r="H168">
        <v>327680.72367004096</v>
      </c>
      <c r="I168">
        <v>3128724.244382224</v>
      </c>
      <c r="J168">
        <v>2068.4740000000002</v>
      </c>
      <c r="K168">
        <v>101.00924642997687</v>
      </c>
      <c r="L168">
        <v>23104.7</v>
      </c>
      <c r="M168">
        <v>0.71399999999999997</v>
      </c>
      <c r="N168">
        <v>42.06</v>
      </c>
      <c r="O168" s="89">
        <v>121318509.07698567</v>
      </c>
      <c r="P168" s="89">
        <v>84258894.321200371</v>
      </c>
      <c r="Q168">
        <v>8.4</v>
      </c>
      <c r="R168">
        <v>6.9</v>
      </c>
      <c r="S168">
        <v>4.9000000000000004</v>
      </c>
      <c r="T168">
        <v>99.969437652811706</v>
      </c>
      <c r="U168">
        <v>318753.34999999998</v>
      </c>
      <c r="V168">
        <v>29.2</v>
      </c>
      <c r="W168">
        <v>32.950000000000003</v>
      </c>
      <c r="X168">
        <v>27.070727204559802</v>
      </c>
      <c r="Y168">
        <v>0.43</v>
      </c>
      <c r="Z168">
        <v>4.5133654006999997</v>
      </c>
      <c r="AA168">
        <v>13.9947830665</v>
      </c>
      <c r="AB168">
        <v>0</v>
      </c>
      <c r="AC168">
        <v>1</v>
      </c>
      <c r="AD168">
        <v>0.11646735694591277</v>
      </c>
      <c r="AE168">
        <v>0</v>
      </c>
      <c r="AF168">
        <v>0.51439999999999997</v>
      </c>
      <c r="AG168">
        <v>0.28599999999999998</v>
      </c>
      <c r="AH168">
        <v>9.8000000000000004E-2</v>
      </c>
      <c r="AI168">
        <v>0.38100000000000001</v>
      </c>
      <c r="AJ168">
        <v>0.379</v>
      </c>
      <c r="AK168">
        <v>0.21732596261995357</v>
      </c>
      <c r="AL168">
        <v>0.11840000000000001</v>
      </c>
      <c r="AM168">
        <v>6.4476512127724899</v>
      </c>
      <c r="AN168">
        <v>0.87034795763993955</v>
      </c>
      <c r="AO168">
        <v>9.747050518103717E-2</v>
      </c>
      <c r="AP168">
        <v>416.39744418120472</v>
      </c>
      <c r="AQ168">
        <v>404.91061813482668</v>
      </c>
      <c r="AR168">
        <v>33.503242635269338</v>
      </c>
      <c r="AS168">
        <v>9.0937372867159656</v>
      </c>
      <c r="AT168" s="93">
        <v>2312908</v>
      </c>
    </row>
    <row r="169" spans="1:46" x14ac:dyDescent="0.3">
      <c r="A169" t="s">
        <v>561</v>
      </c>
      <c r="B169">
        <v>257</v>
      </c>
      <c r="C169">
        <v>1402.5321982099979</v>
      </c>
      <c r="D169">
        <v>7</v>
      </c>
      <c r="E169">
        <v>38.201266099104998</v>
      </c>
      <c r="F169">
        <v>2.7237354085603113E-2</v>
      </c>
      <c r="G169">
        <v>18324</v>
      </c>
      <c r="H169">
        <v>1630315.4333115038</v>
      </c>
      <c r="I169">
        <v>74512115.25867714</v>
      </c>
      <c r="J169">
        <v>1535.855</v>
      </c>
      <c r="K169">
        <v>11.930813781248881</v>
      </c>
      <c r="L169">
        <v>10514.05</v>
      </c>
      <c r="M169">
        <v>0.625</v>
      </c>
      <c r="N169">
        <v>26.75</v>
      </c>
      <c r="O169" s="89">
        <v>75659303.099759877</v>
      </c>
      <c r="P169" s="89">
        <v>72871067.889107183</v>
      </c>
      <c r="Q169">
        <v>6.1</v>
      </c>
      <c r="R169">
        <v>5</v>
      </c>
      <c r="S169">
        <v>4</v>
      </c>
      <c r="T169">
        <v>99.076177495077999</v>
      </c>
      <c r="U169">
        <v>17913.849999999999</v>
      </c>
      <c r="V169">
        <v>27.29</v>
      </c>
      <c r="W169">
        <v>34.72</v>
      </c>
      <c r="X169">
        <v>35.980824753500002</v>
      </c>
      <c r="Y169">
        <v>1.04</v>
      </c>
      <c r="Z169">
        <v>1.4189041694</v>
      </c>
      <c r="AA169">
        <v>11.132940405999999</v>
      </c>
      <c r="AB169">
        <v>0</v>
      </c>
      <c r="AC169">
        <v>1</v>
      </c>
      <c r="AD169">
        <v>0.4845174073025757</v>
      </c>
      <c r="AE169">
        <v>0</v>
      </c>
      <c r="AF169">
        <v>0.5343</v>
      </c>
      <c r="AG169">
        <v>0.375</v>
      </c>
      <c r="AH169">
        <v>0.129</v>
      </c>
      <c r="AI169">
        <v>0.48499999999999999</v>
      </c>
      <c r="AJ169">
        <v>0.51100000000000001</v>
      </c>
      <c r="AK169">
        <v>8.8354071163501413E-2</v>
      </c>
      <c r="AL169">
        <v>0.26100000000000001</v>
      </c>
      <c r="AM169">
        <v>23.0414746543779</v>
      </c>
      <c r="AN169">
        <v>0.68990384615384603</v>
      </c>
      <c r="AO169">
        <v>0.17556210434402969</v>
      </c>
      <c r="AP169">
        <v>387.46998471949354</v>
      </c>
      <c r="AQ169">
        <v>633.04955249945431</v>
      </c>
      <c r="AR169">
        <v>147.34774066797644</v>
      </c>
      <c r="AS169">
        <v>0</v>
      </c>
      <c r="AT169" s="93">
        <v>2313005</v>
      </c>
    </row>
    <row r="170" spans="1:46" x14ac:dyDescent="0.3">
      <c r="A170" t="s">
        <v>257</v>
      </c>
      <c r="B170">
        <v>664</v>
      </c>
      <c r="C170">
        <v>2163.0778251946444</v>
      </c>
      <c r="D170">
        <v>13</v>
      </c>
      <c r="E170">
        <v>42.349415252304787</v>
      </c>
      <c r="F170">
        <v>1.9578313253012049E-2</v>
      </c>
      <c r="G170">
        <v>30697</v>
      </c>
      <c r="H170">
        <v>7651947.2912662467</v>
      </c>
      <c r="I170">
        <v>97360002.606117859</v>
      </c>
      <c r="J170">
        <v>849.14499999999998</v>
      </c>
      <c r="K170">
        <v>36.150480777723473</v>
      </c>
      <c r="L170">
        <v>10276.06</v>
      </c>
      <c r="M170">
        <v>0.64500000000000002</v>
      </c>
      <c r="N170">
        <v>24.7</v>
      </c>
      <c r="O170" s="89">
        <v>58262646.708147369</v>
      </c>
      <c r="P170" s="89">
        <v>64049959.051373094</v>
      </c>
      <c r="Q170">
        <v>6.4</v>
      </c>
      <c r="R170">
        <v>5.3</v>
      </c>
      <c r="S170">
        <v>4.5999999999999996</v>
      </c>
      <c r="T170">
        <v>98.275569627409993</v>
      </c>
      <c r="U170">
        <v>57116.37</v>
      </c>
      <c r="V170">
        <v>32.58</v>
      </c>
      <c r="W170">
        <v>31.37</v>
      </c>
      <c r="X170">
        <v>36.8455221215957</v>
      </c>
      <c r="Y170">
        <v>0.65</v>
      </c>
      <c r="Z170">
        <v>1.8242825032000001</v>
      </c>
      <c r="AA170">
        <v>9.8706714010999992</v>
      </c>
      <c r="AB170">
        <v>0</v>
      </c>
      <c r="AC170">
        <v>1</v>
      </c>
      <c r="AD170">
        <v>0.35604711683331053</v>
      </c>
      <c r="AE170">
        <v>1</v>
      </c>
      <c r="AF170">
        <v>0.54780000000000006</v>
      </c>
      <c r="AG170">
        <v>0.377</v>
      </c>
      <c r="AH170">
        <v>0.17199999999999999</v>
      </c>
      <c r="AI170">
        <v>0.47599999999999998</v>
      </c>
      <c r="AJ170">
        <v>0.48399999999999999</v>
      </c>
      <c r="AK170">
        <v>7.560999446199955E-2</v>
      </c>
      <c r="AL170">
        <v>0.1709</v>
      </c>
      <c r="AM170">
        <v>15.4639175257732</v>
      </c>
      <c r="AN170">
        <v>0.89507042253521119</v>
      </c>
      <c r="AO170">
        <v>0.1449978825292374</v>
      </c>
      <c r="AP170">
        <v>456.07062579405158</v>
      </c>
      <c r="AQ170">
        <v>830.70006841059387</v>
      </c>
      <c r="AR170">
        <v>29.318825943903313</v>
      </c>
      <c r="AS170">
        <v>13.030589308401472</v>
      </c>
      <c r="AT170" s="93">
        <v>2313104</v>
      </c>
    </row>
    <row r="171" spans="1:46" x14ac:dyDescent="0.3">
      <c r="A171" t="s">
        <v>258</v>
      </c>
      <c r="B171">
        <v>165</v>
      </c>
      <c r="C171">
        <v>628.54748390537497</v>
      </c>
      <c r="D171">
        <v>4</v>
      </c>
      <c r="E171">
        <v>15.237514761342425</v>
      </c>
      <c r="F171">
        <v>2.4242424242424242E-2</v>
      </c>
      <c r="G171">
        <v>26251</v>
      </c>
      <c r="H171">
        <v>8190122.623900041</v>
      </c>
      <c r="I171">
        <v>102332101.63422346</v>
      </c>
      <c r="J171">
        <v>2014.5429999999999</v>
      </c>
      <c r="K171">
        <v>13.030746923743996</v>
      </c>
      <c r="L171">
        <v>7947.74</v>
      </c>
      <c r="M171">
        <v>0.57999999999999996</v>
      </c>
      <c r="N171">
        <v>22.25</v>
      </c>
      <c r="O171" s="89">
        <v>75716374.042893603</v>
      </c>
      <c r="P171" s="89">
        <v>106133813.11188145</v>
      </c>
      <c r="Q171">
        <v>6.9</v>
      </c>
      <c r="R171">
        <v>4.9000000000000004</v>
      </c>
      <c r="S171">
        <v>4.3</v>
      </c>
      <c r="T171">
        <v>99.239391513210606</v>
      </c>
      <c r="U171">
        <v>20515</v>
      </c>
      <c r="V171">
        <v>15.24</v>
      </c>
      <c r="W171">
        <v>31.11</v>
      </c>
      <c r="X171">
        <v>54.367969494756899</v>
      </c>
      <c r="Y171">
        <v>0.65</v>
      </c>
      <c r="Z171">
        <v>1.4856576892</v>
      </c>
      <c r="AA171">
        <v>9.3329777912999994</v>
      </c>
      <c r="AB171">
        <v>0</v>
      </c>
      <c r="AC171">
        <v>1</v>
      </c>
      <c r="AD171">
        <v>0.44198656241405054</v>
      </c>
      <c r="AE171">
        <v>1</v>
      </c>
      <c r="AF171">
        <v>0.50979999999999992</v>
      </c>
      <c r="AG171">
        <v>0.48599999999999999</v>
      </c>
      <c r="AH171">
        <v>0.35</v>
      </c>
      <c r="AI171">
        <v>0.53700000000000003</v>
      </c>
      <c r="AJ171">
        <v>0.56999999999999995</v>
      </c>
      <c r="AK171">
        <v>4.6893451678031314E-2</v>
      </c>
      <c r="AL171">
        <v>0.36799999999999999</v>
      </c>
      <c r="AM171">
        <v>11.834319526627199</v>
      </c>
      <c r="AN171">
        <v>0.97989510489510512</v>
      </c>
      <c r="AO171">
        <v>0.16677459906289285</v>
      </c>
      <c r="AP171">
        <v>419.03165593691671</v>
      </c>
      <c r="AQ171">
        <v>788.54138889947046</v>
      </c>
      <c r="AR171">
        <v>76.187573806712123</v>
      </c>
      <c r="AS171">
        <v>11.428136071006818</v>
      </c>
      <c r="AT171" s="93">
        <v>2313203</v>
      </c>
    </row>
    <row r="172" spans="1:46" x14ac:dyDescent="0.3">
      <c r="A172" t="s">
        <v>259</v>
      </c>
      <c r="B172">
        <v>32</v>
      </c>
      <c r="C172">
        <v>372.43947858472995</v>
      </c>
      <c r="D172">
        <v>2</v>
      </c>
      <c r="E172">
        <v>23.277467411545622</v>
      </c>
      <c r="F172">
        <v>6.25E-2</v>
      </c>
      <c r="G172">
        <v>8592</v>
      </c>
      <c r="H172">
        <v>5308921.4385474864</v>
      </c>
      <c r="I172">
        <v>97702513.966480449</v>
      </c>
      <c r="J172">
        <v>412.71899999999999</v>
      </c>
      <c r="K172">
        <v>20.81803842323712</v>
      </c>
      <c r="L172">
        <v>6788.95</v>
      </c>
      <c r="M172">
        <v>0.57599999999999996</v>
      </c>
      <c r="N172">
        <v>11.89</v>
      </c>
      <c r="O172" s="89">
        <v>64265097.64897579</v>
      </c>
      <c r="P172" s="89">
        <v>106412647.46275605</v>
      </c>
      <c r="Q172">
        <v>6.3</v>
      </c>
      <c r="R172">
        <v>5.0999999999999996</v>
      </c>
      <c r="S172">
        <v>4.5</v>
      </c>
      <c r="T172">
        <v>98.656126482213395</v>
      </c>
      <c r="U172">
        <v>6370.61</v>
      </c>
      <c r="V172">
        <v>23.28</v>
      </c>
      <c r="W172">
        <v>29.17</v>
      </c>
      <c r="X172">
        <v>47.194680975154597</v>
      </c>
      <c r="Y172">
        <v>0.57999999999999996</v>
      </c>
      <c r="Z172">
        <v>1.8621973929</v>
      </c>
      <c r="AA172">
        <v>8.9618249534000007</v>
      </c>
      <c r="AB172">
        <v>0</v>
      </c>
      <c r="AC172">
        <v>1</v>
      </c>
      <c r="AD172">
        <v>0.70549943883277222</v>
      </c>
      <c r="AE172">
        <v>1</v>
      </c>
      <c r="AF172">
        <v>0.53670000000000007</v>
      </c>
      <c r="AG172">
        <v>0.435</v>
      </c>
      <c r="AH172">
        <v>0.115</v>
      </c>
      <c r="AI172">
        <v>0.55800000000000005</v>
      </c>
      <c r="AJ172">
        <v>0.63200000000000001</v>
      </c>
      <c r="AK172">
        <v>9.5204841713221605E-2</v>
      </c>
      <c r="AL172">
        <v>0.3533</v>
      </c>
      <c r="AM172">
        <v>20.202020202020201</v>
      </c>
      <c r="AN172">
        <v>0.9707207207207208</v>
      </c>
      <c r="AO172">
        <v>0.16294227188081936</v>
      </c>
      <c r="AP172">
        <v>314.24581005586595</v>
      </c>
      <c r="AQ172">
        <v>418.99441340782124</v>
      </c>
      <c r="AR172">
        <v>58.193668528864066</v>
      </c>
      <c r="AS172">
        <v>0</v>
      </c>
      <c r="AT172" s="93">
        <v>2313252</v>
      </c>
    </row>
    <row r="173" spans="1:46" x14ac:dyDescent="0.3">
      <c r="A173" t="s">
        <v>566</v>
      </c>
      <c r="B173">
        <v>802</v>
      </c>
      <c r="C173">
        <v>1362.5783652457567</v>
      </c>
      <c r="D173">
        <v>15</v>
      </c>
      <c r="E173">
        <v>25.484632766441838</v>
      </c>
      <c r="F173">
        <v>1.8703241895261846E-2</v>
      </c>
      <c r="G173">
        <v>58859</v>
      </c>
      <c r="H173">
        <v>15825290.524813537</v>
      </c>
      <c r="I173">
        <v>82112506.158786252</v>
      </c>
      <c r="J173">
        <v>4010.6179999999999</v>
      </c>
      <c r="K173">
        <v>14.675793107196945</v>
      </c>
      <c r="L173">
        <v>10253.799999999999</v>
      </c>
      <c r="M173">
        <v>0.63300000000000001</v>
      </c>
      <c r="N173">
        <v>26.74</v>
      </c>
      <c r="O173" s="89">
        <v>61431574.372653291</v>
      </c>
      <c r="P173" s="89">
        <v>88235119.913692042</v>
      </c>
      <c r="Q173">
        <v>6.1</v>
      </c>
      <c r="R173">
        <v>5.2</v>
      </c>
      <c r="S173">
        <v>4.5</v>
      </c>
      <c r="T173">
        <v>99.677560205555395</v>
      </c>
      <c r="U173">
        <v>58065.25</v>
      </c>
      <c r="V173">
        <v>8.49</v>
      </c>
      <c r="W173">
        <v>32.08</v>
      </c>
      <c r="X173">
        <v>29.0389759913311</v>
      </c>
      <c r="Y173">
        <v>0.61</v>
      </c>
      <c r="Z173">
        <v>2.2086681731</v>
      </c>
      <c r="AA173">
        <v>11.213238417199999</v>
      </c>
      <c r="AB173">
        <v>0</v>
      </c>
      <c r="AC173">
        <v>1</v>
      </c>
      <c r="AD173">
        <v>0.42101012276545335</v>
      </c>
      <c r="AE173">
        <v>1</v>
      </c>
      <c r="AF173">
        <v>0.50139999999999996</v>
      </c>
      <c r="AG173">
        <v>0.44</v>
      </c>
      <c r="AH173">
        <v>0.29099999999999998</v>
      </c>
      <c r="AI173">
        <v>0.47699999999999998</v>
      </c>
      <c r="AJ173">
        <v>0.55300000000000005</v>
      </c>
      <c r="AK173">
        <v>7.9817869824495832E-2</v>
      </c>
      <c r="AL173">
        <v>0.2606</v>
      </c>
      <c r="AM173">
        <v>12.9533678756477</v>
      </c>
      <c r="AN173">
        <v>0.94031377899045021</v>
      </c>
      <c r="AO173">
        <v>0.15853140556244585</v>
      </c>
      <c r="AP173">
        <v>948.0283389116363</v>
      </c>
      <c r="AQ173">
        <v>1467.9148473470498</v>
      </c>
      <c r="AR173">
        <v>188.58628247166959</v>
      </c>
      <c r="AS173">
        <v>20.387706213153468</v>
      </c>
      <c r="AT173" s="93">
        <v>2313302</v>
      </c>
    </row>
    <row r="174" spans="1:46" x14ac:dyDescent="0.3">
      <c r="A174" t="s">
        <v>568</v>
      </c>
      <c r="B174">
        <v>399</v>
      </c>
      <c r="C174">
        <v>2079.5330171470264</v>
      </c>
      <c r="D174">
        <v>10</v>
      </c>
      <c r="E174">
        <v>52.118621983634753</v>
      </c>
      <c r="F174">
        <v>2.5062656641604009E-2</v>
      </c>
      <c r="G174">
        <v>19187</v>
      </c>
      <c r="H174">
        <v>3988917.8089331319</v>
      </c>
      <c r="I174">
        <v>105793506.01970084</v>
      </c>
      <c r="J174">
        <v>758.70699999999999</v>
      </c>
      <c r="K174">
        <v>25.289077338155572</v>
      </c>
      <c r="L174">
        <v>5555.49</v>
      </c>
      <c r="M174">
        <v>0.58399999999999996</v>
      </c>
      <c r="N174">
        <v>12.89</v>
      </c>
      <c r="O174" s="89">
        <v>75075957.262729973</v>
      </c>
      <c r="P174" s="89">
        <v>94970590.920936063</v>
      </c>
      <c r="Q174">
        <v>5.5</v>
      </c>
      <c r="R174">
        <v>4.5</v>
      </c>
      <c r="S174">
        <v>4.0999999999999996</v>
      </c>
      <c r="T174">
        <v>97.936849659131695</v>
      </c>
      <c r="U174">
        <v>10393.74</v>
      </c>
      <c r="V174">
        <v>10.42</v>
      </c>
      <c r="W174">
        <v>34.67</v>
      </c>
      <c r="X174">
        <v>59.542615249599898</v>
      </c>
      <c r="Y174">
        <v>0.83</v>
      </c>
      <c r="Z174">
        <v>0.83389795170000003</v>
      </c>
      <c r="AA174">
        <v>7.4529629437000002</v>
      </c>
      <c r="AB174">
        <v>0</v>
      </c>
      <c r="AC174">
        <v>1</v>
      </c>
      <c r="AD174">
        <v>0.62352172104356096</v>
      </c>
      <c r="AE174">
        <v>1</v>
      </c>
      <c r="AF174">
        <v>0.54090000000000005</v>
      </c>
      <c r="AG174">
        <v>0.50700000000000001</v>
      </c>
      <c r="AH174">
        <v>0.41799999999999998</v>
      </c>
      <c r="AI174">
        <v>0.56399999999999995</v>
      </c>
      <c r="AJ174">
        <v>0.53900000000000003</v>
      </c>
      <c r="AK174">
        <v>6.8535987908479701E-2</v>
      </c>
      <c r="AL174">
        <v>0.33429999999999999</v>
      </c>
      <c r="AM174">
        <v>31.531531531531499</v>
      </c>
      <c r="AN174">
        <v>0.94911504424778759</v>
      </c>
      <c r="AO174">
        <v>0.11356647730234012</v>
      </c>
      <c r="AP174">
        <v>135.50841715745037</v>
      </c>
      <c r="AQ174">
        <v>166.7795903476312</v>
      </c>
      <c r="AR174">
        <v>15.635586595090425</v>
      </c>
      <c r="AS174">
        <v>10.42372439672695</v>
      </c>
      <c r="AT174" s="93">
        <v>2313351</v>
      </c>
    </row>
    <row r="175" spans="1:46" x14ac:dyDescent="0.3">
      <c r="A175" t="s">
        <v>570</v>
      </c>
      <c r="B175">
        <v>2606</v>
      </c>
      <c r="C175">
        <v>3431.3854580886418</v>
      </c>
      <c r="D175">
        <v>61</v>
      </c>
      <c r="E175">
        <v>80.320227530087166</v>
      </c>
      <c r="F175">
        <v>2.3407521105141979E-2</v>
      </c>
      <c r="G175">
        <v>75946</v>
      </c>
      <c r="H175">
        <v>13027345.824664894</v>
      </c>
      <c r="I175">
        <v>106811945.32957627</v>
      </c>
      <c r="J175">
        <v>909.85299999999995</v>
      </c>
      <c r="K175">
        <v>83.470626573743232</v>
      </c>
      <c r="L175">
        <v>17463.86</v>
      </c>
      <c r="M175">
        <v>0.65700000000000003</v>
      </c>
      <c r="N175">
        <v>47.37</v>
      </c>
      <c r="O175" s="89">
        <v>56125496.128828377</v>
      </c>
      <c r="P175" s="89">
        <v>95191828.101545826</v>
      </c>
      <c r="Q175">
        <v>6.4</v>
      </c>
      <c r="R175">
        <v>5.2</v>
      </c>
      <c r="S175">
        <v>4.4000000000000004</v>
      </c>
      <c r="T175">
        <v>99.333858301232297</v>
      </c>
      <c r="U175">
        <v>79545.679999999993</v>
      </c>
      <c r="V175">
        <v>15.8</v>
      </c>
      <c r="W175">
        <v>31.82</v>
      </c>
      <c r="X175">
        <v>50.784587846401102</v>
      </c>
      <c r="Y175">
        <v>0.62</v>
      </c>
      <c r="Z175">
        <v>1.6985753035</v>
      </c>
      <c r="AA175">
        <v>8.7562215257999991</v>
      </c>
      <c r="AB175">
        <v>0</v>
      </c>
      <c r="AC175">
        <v>0</v>
      </c>
      <c r="AD175">
        <v>0.33491551994426061</v>
      </c>
      <c r="AE175">
        <v>1</v>
      </c>
      <c r="AF175">
        <v>0.49869999999999998</v>
      </c>
      <c r="AG175">
        <v>0.378</v>
      </c>
      <c r="AH175">
        <v>0.22600000000000001</v>
      </c>
      <c r="AI175">
        <v>0.47799999999999998</v>
      </c>
      <c r="AJ175">
        <v>0.42899999999999999</v>
      </c>
      <c r="AK175">
        <v>0.11509493587549048</v>
      </c>
      <c r="AL175">
        <v>0.18010000000000001</v>
      </c>
      <c r="AM175">
        <v>11.572498298161999</v>
      </c>
      <c r="AN175">
        <v>0.87133105802047783</v>
      </c>
      <c r="AO175">
        <v>0.1038369367708635</v>
      </c>
      <c r="AP175">
        <v>441.10288889474094</v>
      </c>
      <c r="AQ175">
        <v>786.08484976167279</v>
      </c>
      <c r="AR175">
        <v>39.501751244305161</v>
      </c>
      <c r="AS175">
        <v>15.800700497722067</v>
      </c>
      <c r="AT175" s="93">
        <v>2313401</v>
      </c>
    </row>
    <row r="176" spans="1:46" x14ac:dyDescent="0.3">
      <c r="A176" t="s">
        <v>263</v>
      </c>
      <c r="B176">
        <v>667</v>
      </c>
      <c r="C176">
        <v>1192.8180550091206</v>
      </c>
      <c r="D176">
        <v>40</v>
      </c>
      <c r="E176">
        <v>71.533316642226112</v>
      </c>
      <c r="F176">
        <v>5.9970014992503748E-2</v>
      </c>
      <c r="G176">
        <v>55918</v>
      </c>
      <c r="H176">
        <v>5249231.6069959588</v>
      </c>
      <c r="I176">
        <v>117792839.51500411</v>
      </c>
      <c r="J176">
        <v>928.72500000000002</v>
      </c>
      <c r="K176">
        <v>60.209426902473822</v>
      </c>
      <c r="L176">
        <v>14855.42</v>
      </c>
      <c r="M176">
        <v>0.60599999999999998</v>
      </c>
      <c r="N176">
        <v>28.3</v>
      </c>
      <c r="O176" s="89">
        <v>50407852.909617655</v>
      </c>
      <c r="P176" s="89">
        <v>97719320.469258547</v>
      </c>
      <c r="Q176">
        <v>6.2</v>
      </c>
      <c r="R176">
        <v>5.0999999999999996</v>
      </c>
      <c r="S176">
        <v>4.5</v>
      </c>
      <c r="T176">
        <v>92.239427691750393</v>
      </c>
      <c r="U176">
        <v>51010.879999999997</v>
      </c>
      <c r="V176">
        <v>53.65</v>
      </c>
      <c r="W176">
        <v>30.87</v>
      </c>
      <c r="X176">
        <v>63.333392549430599</v>
      </c>
      <c r="Y176">
        <v>0.38</v>
      </c>
      <c r="Z176">
        <v>0.2324832791</v>
      </c>
      <c r="AA176">
        <v>6.1876318896000004</v>
      </c>
      <c r="AB176">
        <v>1</v>
      </c>
      <c r="AC176">
        <v>0</v>
      </c>
      <c r="AD176">
        <v>0.63470887946793197</v>
      </c>
      <c r="AE176">
        <v>1</v>
      </c>
      <c r="AF176">
        <v>0.51560000000000006</v>
      </c>
      <c r="AG176">
        <v>0.53500000000000003</v>
      </c>
      <c r="AH176">
        <v>0.502</v>
      </c>
      <c r="AI176">
        <v>0.55300000000000005</v>
      </c>
      <c r="AJ176">
        <v>0.54900000000000004</v>
      </c>
      <c r="AK176">
        <v>6.1375585679030009E-2</v>
      </c>
      <c r="AL176">
        <v>0.35700000000000004</v>
      </c>
      <c r="AM176">
        <v>12.8755364806867</v>
      </c>
      <c r="AN176">
        <v>0.95618247298919568</v>
      </c>
      <c r="AO176">
        <v>0.11786902249722808</v>
      </c>
      <c r="AP176">
        <v>259.30827282806968</v>
      </c>
      <c r="AQ176">
        <v>286.13326656890445</v>
      </c>
      <c r="AR176">
        <v>21.459994992667834</v>
      </c>
      <c r="AS176">
        <v>14.306663328445223</v>
      </c>
      <c r="AT176" s="93">
        <v>2313500</v>
      </c>
    </row>
    <row r="177" spans="1:46" x14ac:dyDescent="0.3">
      <c r="A177" t="s">
        <v>264</v>
      </c>
      <c r="B177">
        <v>309</v>
      </c>
      <c r="C177">
        <v>1899.0842603404831</v>
      </c>
      <c r="D177">
        <v>15</v>
      </c>
      <c r="E177">
        <v>92.18855632720792</v>
      </c>
      <c r="F177">
        <v>4.8543689320388349E-2</v>
      </c>
      <c r="G177">
        <v>16271</v>
      </c>
      <c r="H177">
        <v>3746843.4023723193</v>
      </c>
      <c r="I177">
        <v>114667813.9020343</v>
      </c>
      <c r="J177">
        <v>201.27</v>
      </c>
      <c r="K177">
        <v>80.841655487653398</v>
      </c>
      <c r="L177">
        <v>6539.47</v>
      </c>
      <c r="M177">
        <v>0.60599999999999998</v>
      </c>
      <c r="N177">
        <v>22.45</v>
      </c>
      <c r="O177" s="89">
        <v>53757207.362792701</v>
      </c>
      <c r="P177" s="89">
        <v>100760617.04873702</v>
      </c>
      <c r="Q177">
        <v>6</v>
      </c>
      <c r="R177">
        <v>4.8</v>
      </c>
      <c r="S177">
        <v>4</v>
      </c>
      <c r="T177">
        <v>98.771441817338896</v>
      </c>
      <c r="U177">
        <v>11242.08</v>
      </c>
      <c r="V177">
        <v>24.58</v>
      </c>
      <c r="W177">
        <v>31.25</v>
      </c>
      <c r="X177">
        <v>57.628872253666799</v>
      </c>
      <c r="Y177">
        <v>0.61</v>
      </c>
      <c r="Z177">
        <v>0.79896748819999996</v>
      </c>
      <c r="AA177">
        <v>8.5428062196999992</v>
      </c>
      <c r="AB177">
        <v>0</v>
      </c>
      <c r="AC177">
        <v>0</v>
      </c>
      <c r="AD177">
        <v>0.63298167684619655</v>
      </c>
      <c r="AE177">
        <v>0</v>
      </c>
      <c r="AF177">
        <v>0.4511</v>
      </c>
      <c r="AG177">
        <v>0.51200000000000001</v>
      </c>
      <c r="AH177">
        <v>0.28999999999999998</v>
      </c>
      <c r="AI177">
        <v>0.59899999999999998</v>
      </c>
      <c r="AJ177">
        <v>0.64600000000000002</v>
      </c>
      <c r="AK177">
        <v>5.4452707270604139E-2</v>
      </c>
      <c r="AL177">
        <v>0.35850000000000004</v>
      </c>
      <c r="AM177">
        <v>27.272727272727298</v>
      </c>
      <c r="AN177">
        <v>0.83801498127340823</v>
      </c>
      <c r="AO177">
        <v>0.12525351852989983</v>
      </c>
      <c r="AP177">
        <v>399.4837440845676</v>
      </c>
      <c r="AQ177">
        <v>485.52639665662838</v>
      </c>
      <c r="AR177">
        <v>73.750845061766327</v>
      </c>
      <c r="AS177">
        <v>6.1459037551471933</v>
      </c>
      <c r="AT177" s="93">
        <v>2313559</v>
      </c>
    </row>
    <row r="178" spans="1:46" x14ac:dyDescent="0.3">
      <c r="A178" t="s">
        <v>265</v>
      </c>
      <c r="B178">
        <v>805</v>
      </c>
      <c r="C178">
        <v>2313.750287422396</v>
      </c>
      <c r="D178">
        <v>25</v>
      </c>
      <c r="E178">
        <v>71.855598988273158</v>
      </c>
      <c r="F178">
        <v>3.1055900621118012E-2</v>
      </c>
      <c r="G178">
        <v>34792</v>
      </c>
      <c r="H178">
        <v>3075340.4518280062</v>
      </c>
      <c r="I178">
        <v>94561393.423775569</v>
      </c>
      <c r="J178">
        <v>423.673</v>
      </c>
      <c r="K178">
        <v>82.119936838080307</v>
      </c>
      <c r="L178">
        <v>16719.18</v>
      </c>
      <c r="M178">
        <v>0.64800000000000002</v>
      </c>
      <c r="N178">
        <v>36.340000000000003</v>
      </c>
      <c r="O178" s="89">
        <v>65559000.229937918</v>
      </c>
      <c r="P178" s="89">
        <v>97816960.565647274</v>
      </c>
      <c r="Q178">
        <v>6.8</v>
      </c>
      <c r="R178">
        <v>5.5</v>
      </c>
      <c r="S178">
        <v>4.4000000000000004</v>
      </c>
      <c r="T178">
        <v>98.761048575961297</v>
      </c>
      <c r="U178">
        <v>32587.73</v>
      </c>
      <c r="V178">
        <v>8.6199999999999992</v>
      </c>
      <c r="W178">
        <v>30.65</v>
      </c>
      <c r="X178">
        <v>46.968356778040899</v>
      </c>
      <c r="Y178">
        <v>0.66</v>
      </c>
      <c r="Z178">
        <v>0.68981375030000003</v>
      </c>
      <c r="AA178">
        <v>7.9328581283000004</v>
      </c>
      <c r="AB178">
        <v>0</v>
      </c>
      <c r="AC178">
        <v>0</v>
      </c>
      <c r="AD178">
        <v>0.51709818479252523</v>
      </c>
      <c r="AE178">
        <v>0</v>
      </c>
      <c r="AF178">
        <v>0.53469999999999995</v>
      </c>
      <c r="AG178">
        <v>0.35099999999999998</v>
      </c>
      <c r="AH178">
        <v>0.188</v>
      </c>
      <c r="AI178">
        <v>0.40699999999999997</v>
      </c>
      <c r="AJ178">
        <v>0.45800000000000002</v>
      </c>
      <c r="AK178">
        <v>8.5536905035640376E-2</v>
      </c>
      <c r="AL178">
        <v>0.1656</v>
      </c>
      <c r="AM178">
        <v>13.445378151260501</v>
      </c>
      <c r="AN178">
        <v>0.95860566448801743</v>
      </c>
      <c r="AO178">
        <v>0.11844676937226949</v>
      </c>
      <c r="AP178">
        <v>321.91308346746376</v>
      </c>
      <c r="AQ178">
        <v>646.70039089445856</v>
      </c>
      <c r="AR178">
        <v>63.232927109680389</v>
      </c>
      <c r="AS178">
        <v>2.8742239595309269</v>
      </c>
      <c r="AT178" s="93">
        <v>2313609</v>
      </c>
    </row>
    <row r="179" spans="1:46" x14ac:dyDescent="0.3">
      <c r="A179" t="s">
        <v>266</v>
      </c>
      <c r="B179">
        <v>57</v>
      </c>
      <c r="C179">
        <v>737.10073710073709</v>
      </c>
      <c r="D179">
        <v>0</v>
      </c>
      <c r="E179">
        <v>0</v>
      </c>
      <c r="F179">
        <v>0</v>
      </c>
      <c r="G179">
        <v>7733</v>
      </c>
      <c r="H179">
        <v>3282714.3411353938</v>
      </c>
      <c r="I179">
        <v>93829044.35536015</v>
      </c>
      <c r="J179">
        <v>263.18299999999999</v>
      </c>
      <c r="K179">
        <v>29.382596900255717</v>
      </c>
      <c r="L179">
        <v>6863.11</v>
      </c>
      <c r="M179">
        <v>0.59099999999999997</v>
      </c>
      <c r="N179">
        <v>11.89</v>
      </c>
      <c r="O179" s="89">
        <v>65584668.04603646</v>
      </c>
      <c r="P179" s="89">
        <v>93129288.374498904</v>
      </c>
      <c r="Q179">
        <v>6.3</v>
      </c>
      <c r="R179">
        <v>4.9000000000000004</v>
      </c>
      <c r="S179">
        <v>4.2</v>
      </c>
      <c r="T179">
        <v>99.866354827931801</v>
      </c>
      <c r="U179">
        <v>5412.05</v>
      </c>
      <c r="V179">
        <v>0</v>
      </c>
      <c r="W179">
        <v>35.14</v>
      </c>
      <c r="X179">
        <v>50.827300930713498</v>
      </c>
      <c r="Y179">
        <v>0.52</v>
      </c>
      <c r="Z179">
        <v>2.5863183757999999</v>
      </c>
      <c r="AA179">
        <v>9.6986939091999993</v>
      </c>
      <c r="AB179">
        <v>0</v>
      </c>
      <c r="AC179">
        <v>1</v>
      </c>
      <c r="AD179">
        <v>0.48071570576540756</v>
      </c>
      <c r="AE179">
        <v>0</v>
      </c>
      <c r="AF179">
        <v>0.50039999999999996</v>
      </c>
      <c r="AG179">
        <v>0.46700000000000003</v>
      </c>
      <c r="AH179">
        <v>0.33300000000000002</v>
      </c>
      <c r="AI179">
        <v>0.52200000000000002</v>
      </c>
      <c r="AJ179">
        <v>0.54600000000000004</v>
      </c>
      <c r="AK179">
        <v>7.2675546359756885E-2</v>
      </c>
      <c r="AL179">
        <v>0.31090000000000001</v>
      </c>
      <c r="AN179">
        <v>0.89772727272727282</v>
      </c>
      <c r="AO179">
        <v>0.17768007241691453</v>
      </c>
      <c r="AP179">
        <v>206.90547006336482</v>
      </c>
      <c r="AQ179">
        <v>982.80098280098275</v>
      </c>
      <c r="AR179">
        <v>90.521143152722104</v>
      </c>
      <c r="AS179">
        <v>155.1791025475236</v>
      </c>
      <c r="AT179" s="93">
        <v>2313708</v>
      </c>
    </row>
    <row r="180" spans="1:46" x14ac:dyDescent="0.3">
      <c r="A180" t="s">
        <v>267</v>
      </c>
      <c r="B180">
        <v>254</v>
      </c>
      <c r="C180">
        <v>1281.2105926860024</v>
      </c>
      <c r="D180">
        <v>23</v>
      </c>
      <c r="E180">
        <v>116.01513240857503</v>
      </c>
      <c r="F180">
        <v>9.055118110236221E-2</v>
      </c>
      <c r="G180">
        <v>19825</v>
      </c>
      <c r="H180">
        <v>1381350.1639344261</v>
      </c>
      <c r="I180">
        <v>99087011.349306434</v>
      </c>
      <c r="J180">
        <v>315.64800000000002</v>
      </c>
      <c r="K180">
        <v>62.807304339010535</v>
      </c>
      <c r="L180">
        <v>7754.01</v>
      </c>
      <c r="M180">
        <v>0.58699999999999997</v>
      </c>
      <c r="N180">
        <v>22.01</v>
      </c>
      <c r="O180" s="89">
        <v>62161330.340479195</v>
      </c>
      <c r="P180" s="89">
        <v>155601177.75535938</v>
      </c>
      <c r="Q180">
        <v>5.3</v>
      </c>
      <c r="R180">
        <v>4.4000000000000004</v>
      </c>
      <c r="S180">
        <v>3.8</v>
      </c>
      <c r="T180">
        <v>98.489737963082504</v>
      </c>
      <c r="U180">
        <v>11618.28</v>
      </c>
      <c r="V180">
        <v>10.09</v>
      </c>
      <c r="W180">
        <v>34</v>
      </c>
      <c r="X180">
        <v>55.7453650203487</v>
      </c>
      <c r="Y180">
        <v>0.55000000000000004</v>
      </c>
      <c r="Z180">
        <v>0.65573770490000005</v>
      </c>
      <c r="AA180">
        <v>5.6998738965999998</v>
      </c>
      <c r="AB180">
        <v>0</v>
      </c>
      <c r="AC180">
        <v>0</v>
      </c>
      <c r="AD180">
        <v>0.4101159451122221</v>
      </c>
      <c r="AE180">
        <v>1</v>
      </c>
      <c r="AF180">
        <v>0.51290000000000002</v>
      </c>
      <c r="AG180">
        <v>0.496</v>
      </c>
      <c r="AH180">
        <v>0.318</v>
      </c>
      <c r="AI180">
        <v>0.58299999999999996</v>
      </c>
      <c r="AJ180">
        <v>0.58599999999999997</v>
      </c>
      <c r="AK180">
        <v>6.3404791929382087E-2</v>
      </c>
      <c r="AL180">
        <v>0.33409999999999995</v>
      </c>
      <c r="AM180">
        <v>19.157088122605401</v>
      </c>
      <c r="AN180">
        <v>0.64324817518248167</v>
      </c>
      <c r="AO180">
        <v>0.1144514501891551</v>
      </c>
      <c r="AP180">
        <v>277.42749054224464</v>
      </c>
      <c r="AQ180">
        <v>418.66330390920552</v>
      </c>
      <c r="AR180">
        <v>25.220680958385877</v>
      </c>
      <c r="AS180">
        <v>5.0441361916771754</v>
      </c>
      <c r="AT180" s="93">
        <v>2313757</v>
      </c>
    </row>
    <row r="181" spans="1:46" x14ac:dyDescent="0.3">
      <c r="A181" t="s">
        <v>268</v>
      </c>
      <c r="B181">
        <v>688</v>
      </c>
      <c r="C181">
        <v>3148.7414187643017</v>
      </c>
      <c r="D181">
        <v>17</v>
      </c>
      <c r="E181">
        <v>77.803203661327231</v>
      </c>
      <c r="F181">
        <v>2.4709302325581394E-2</v>
      </c>
      <c r="G181">
        <v>21850</v>
      </c>
      <c r="H181">
        <v>2053496.8421052631</v>
      </c>
      <c r="I181">
        <v>109812356.97940503</v>
      </c>
      <c r="J181">
        <v>99.4</v>
      </c>
      <c r="K181">
        <v>219.8189134808853</v>
      </c>
      <c r="L181">
        <v>16358.24</v>
      </c>
      <c r="M181">
        <v>0.63900000000000001</v>
      </c>
      <c r="N181">
        <v>34.5</v>
      </c>
      <c r="O181" s="89">
        <v>56643969.244851254</v>
      </c>
      <c r="P181" s="89">
        <v>90163452.860411897</v>
      </c>
      <c r="Q181">
        <v>5.8</v>
      </c>
      <c r="R181">
        <v>5</v>
      </c>
      <c r="S181">
        <v>4.5999999999999996</v>
      </c>
      <c r="T181">
        <v>99.579078112061794</v>
      </c>
      <c r="U181">
        <v>14453.04</v>
      </c>
      <c r="V181">
        <v>18.309999999999999</v>
      </c>
      <c r="W181">
        <v>29.63</v>
      </c>
      <c r="X181">
        <v>58.684210526315802</v>
      </c>
      <c r="Y181">
        <v>0.73</v>
      </c>
      <c r="Z181">
        <v>1.2356979404999999</v>
      </c>
      <c r="AA181">
        <v>7.9176201373000001</v>
      </c>
      <c r="AB181">
        <v>0</v>
      </c>
      <c r="AC181">
        <v>0</v>
      </c>
      <c r="AD181">
        <v>0.25681760688084998</v>
      </c>
      <c r="AE181">
        <v>0</v>
      </c>
      <c r="AF181">
        <v>0.76469999999999994</v>
      </c>
      <c r="AG181">
        <v>0.45900000000000002</v>
      </c>
      <c r="AH181">
        <v>0.253</v>
      </c>
      <c r="AI181">
        <v>0.55700000000000005</v>
      </c>
      <c r="AJ181">
        <v>0.56799999999999995</v>
      </c>
      <c r="AK181">
        <v>0.11624713958810069</v>
      </c>
      <c r="AL181">
        <v>0.24260000000000001</v>
      </c>
      <c r="AM181">
        <v>31.25</v>
      </c>
      <c r="AN181">
        <v>0.98323615160349842</v>
      </c>
      <c r="AO181">
        <v>0.10297482837528604</v>
      </c>
      <c r="AP181">
        <v>247.1395881006865</v>
      </c>
      <c r="AQ181">
        <v>421.05263157894734</v>
      </c>
      <c r="AR181">
        <v>41.189931350114421</v>
      </c>
      <c r="AS181">
        <v>9.1533180778032044</v>
      </c>
      <c r="AT181" s="93">
        <v>2313807</v>
      </c>
    </row>
    <row r="182" spans="1:46" x14ac:dyDescent="0.3">
      <c r="A182" t="s">
        <v>269</v>
      </c>
      <c r="B182">
        <v>454</v>
      </c>
      <c r="C182">
        <v>3280.3468208092481</v>
      </c>
      <c r="D182">
        <v>15</v>
      </c>
      <c r="E182">
        <v>108.38150289017339</v>
      </c>
      <c r="F182">
        <v>3.3039647577092511E-2</v>
      </c>
      <c r="G182">
        <v>13840</v>
      </c>
      <c r="H182">
        <v>10934148.121387284</v>
      </c>
      <c r="I182">
        <v>97989884.39306359</v>
      </c>
      <c r="J182">
        <v>697.68299999999999</v>
      </c>
      <c r="K182">
        <v>19.837089337134486</v>
      </c>
      <c r="L182">
        <v>12289.43</v>
      </c>
      <c r="M182">
        <v>0.56599999999999995</v>
      </c>
      <c r="N182">
        <v>25.71</v>
      </c>
      <c r="O182" s="89">
        <v>57361081.575144507</v>
      </c>
      <c r="P182" s="89">
        <v>117668535.33236992</v>
      </c>
      <c r="Q182">
        <v>8.3000000000000007</v>
      </c>
      <c r="R182">
        <v>5.2</v>
      </c>
      <c r="S182">
        <v>4</v>
      </c>
      <c r="T182">
        <v>95.397076254444897</v>
      </c>
      <c r="U182">
        <v>11914.79</v>
      </c>
      <c r="V182">
        <v>28.9</v>
      </c>
      <c r="W182">
        <v>33.33</v>
      </c>
      <c r="X182">
        <v>49.349622709306502</v>
      </c>
      <c r="Y182">
        <v>0.72</v>
      </c>
      <c r="Z182">
        <v>1.1560693641999999</v>
      </c>
      <c r="AA182">
        <v>8.9595375723000004</v>
      </c>
      <c r="AB182">
        <v>0</v>
      </c>
      <c r="AC182">
        <v>0</v>
      </c>
      <c r="AD182">
        <v>0.40456415431188386</v>
      </c>
      <c r="AE182">
        <v>0</v>
      </c>
      <c r="AF182">
        <v>0.54</v>
      </c>
      <c r="AG182">
        <v>0.48199999999999998</v>
      </c>
      <c r="AH182">
        <v>0.22500000000000001</v>
      </c>
      <c r="AI182">
        <v>0.61899999999999999</v>
      </c>
      <c r="AJ182">
        <v>0.60099999999999998</v>
      </c>
      <c r="AK182">
        <v>8.7716763005780352E-2</v>
      </c>
      <c r="AL182">
        <v>0.39979999999999999</v>
      </c>
      <c r="AM182">
        <v>10.050251256281401</v>
      </c>
      <c r="AN182">
        <v>0.8411949685534591</v>
      </c>
      <c r="AO182">
        <v>0.11885838150289017</v>
      </c>
      <c r="AP182">
        <v>231.21387283236996</v>
      </c>
      <c r="AQ182">
        <v>281.79190751445088</v>
      </c>
      <c r="AR182">
        <v>28.901734104046245</v>
      </c>
      <c r="AS182">
        <v>0</v>
      </c>
      <c r="AT182" s="93">
        <v>2313906</v>
      </c>
    </row>
    <row r="183" spans="1:46" x14ac:dyDescent="0.3">
      <c r="A183" t="s">
        <v>270</v>
      </c>
      <c r="B183">
        <v>630</v>
      </c>
      <c r="C183">
        <v>3420.1954397394138</v>
      </c>
      <c r="D183">
        <v>10</v>
      </c>
      <c r="E183">
        <v>54.28881650380022</v>
      </c>
      <c r="F183">
        <v>1.5873015873015872E-2</v>
      </c>
      <c r="G183">
        <v>18420</v>
      </c>
      <c r="H183">
        <v>12551847.882736156</v>
      </c>
      <c r="I183">
        <v>94110749.185667753</v>
      </c>
      <c r="J183">
        <v>179.239</v>
      </c>
      <c r="K183">
        <v>102.76781280859635</v>
      </c>
      <c r="L183">
        <v>14244.64</v>
      </c>
      <c r="M183">
        <v>0.61099999999999999</v>
      </c>
      <c r="N183">
        <v>28.34</v>
      </c>
      <c r="O183" s="89">
        <v>75104150.542888165</v>
      </c>
      <c r="P183" s="89">
        <v>97252986.482084692</v>
      </c>
      <c r="Q183">
        <v>6.8</v>
      </c>
      <c r="R183">
        <v>5.2</v>
      </c>
      <c r="S183">
        <v>4.3</v>
      </c>
      <c r="T183">
        <v>98.431095406360399</v>
      </c>
      <c r="U183">
        <v>20423.080000000002</v>
      </c>
      <c r="V183">
        <v>32.57</v>
      </c>
      <c r="W183">
        <v>32.5</v>
      </c>
      <c r="X183">
        <v>39.331925721401099</v>
      </c>
      <c r="Y183">
        <v>0.54</v>
      </c>
      <c r="Z183">
        <v>1.0314875135999999</v>
      </c>
      <c r="AA183">
        <v>9.8262757872000002</v>
      </c>
      <c r="AB183">
        <v>0</v>
      </c>
      <c r="AC183">
        <v>1</v>
      </c>
      <c r="AD183">
        <v>0.18058318649462854</v>
      </c>
      <c r="AE183">
        <v>1</v>
      </c>
      <c r="AF183">
        <v>0.54</v>
      </c>
      <c r="AG183">
        <v>0.40100000000000002</v>
      </c>
      <c r="AH183">
        <v>0.17199999999999999</v>
      </c>
      <c r="AI183">
        <v>0.497</v>
      </c>
      <c r="AJ183">
        <v>0.53300000000000003</v>
      </c>
      <c r="AK183">
        <v>8.0618892508143317E-2</v>
      </c>
      <c r="AL183">
        <v>0.23760000000000001</v>
      </c>
      <c r="AM183">
        <v>3.6630036630036602</v>
      </c>
      <c r="AN183">
        <v>0.9074803149606302</v>
      </c>
      <c r="AO183">
        <v>0.15819761129207383</v>
      </c>
      <c r="AP183">
        <v>352.87730727470142</v>
      </c>
      <c r="AQ183">
        <v>863.19218241042347</v>
      </c>
      <c r="AR183">
        <v>38.002171552660151</v>
      </c>
      <c r="AS183">
        <v>16.286644951140065</v>
      </c>
      <c r="AT183" s="93">
        <v>2313955</v>
      </c>
    </row>
    <row r="184" spans="1:46" x14ac:dyDescent="0.3">
      <c r="A184" t="s">
        <v>580</v>
      </c>
      <c r="B184">
        <v>554</v>
      </c>
      <c r="C184">
        <v>1360.4773949559196</v>
      </c>
      <c r="D184">
        <v>15</v>
      </c>
      <c r="E184">
        <v>36.836030549348003</v>
      </c>
      <c r="F184">
        <v>2.7075812274368231E-2</v>
      </c>
      <c r="G184">
        <v>40721</v>
      </c>
      <c r="H184">
        <v>2773471.6485351538</v>
      </c>
      <c r="I184">
        <v>155583605.51067016</v>
      </c>
      <c r="J184">
        <v>829.976</v>
      </c>
      <c r="K184">
        <v>49.062864468370172</v>
      </c>
      <c r="L184">
        <v>8756.89</v>
      </c>
      <c r="M184">
        <v>0.629</v>
      </c>
      <c r="N184">
        <v>25.47</v>
      </c>
      <c r="O184" s="89">
        <v>64104655.435770236</v>
      </c>
      <c r="P184" s="89">
        <v>73673131.160826102</v>
      </c>
      <c r="Q184">
        <v>6.1</v>
      </c>
      <c r="R184">
        <v>5</v>
      </c>
      <c r="S184">
        <v>4.0999999999999996</v>
      </c>
      <c r="T184">
        <v>98.712464710411496</v>
      </c>
      <c r="U184">
        <v>43333.36</v>
      </c>
      <c r="V184">
        <v>4.91</v>
      </c>
      <c r="W184">
        <v>30</v>
      </c>
      <c r="X184">
        <v>47.2581473241572</v>
      </c>
      <c r="Y184">
        <v>0.44</v>
      </c>
      <c r="Z184">
        <v>1.3015397461</v>
      </c>
      <c r="AA184">
        <v>7.4163208172999999</v>
      </c>
      <c r="AB184">
        <v>0</v>
      </c>
      <c r="AC184">
        <v>1</v>
      </c>
      <c r="AD184">
        <v>0.37825883332466048</v>
      </c>
      <c r="AE184">
        <v>1</v>
      </c>
      <c r="AF184">
        <v>0.57630000000000003</v>
      </c>
      <c r="AG184">
        <v>0.39200000000000002</v>
      </c>
      <c r="AH184">
        <v>0.16400000000000001</v>
      </c>
      <c r="AI184">
        <v>0.503</v>
      </c>
      <c r="AJ184">
        <v>0.50800000000000001</v>
      </c>
      <c r="AK184">
        <v>8.1162053977063428E-2</v>
      </c>
      <c r="AL184">
        <v>0.29120000000000001</v>
      </c>
      <c r="AM184">
        <v>4.0080160320641296</v>
      </c>
      <c r="AN184">
        <v>0.94604700854700852</v>
      </c>
      <c r="AO184">
        <v>0.16696544780334471</v>
      </c>
      <c r="AP184">
        <v>650.76987303848136</v>
      </c>
      <c r="AQ184">
        <v>1075.6120920409617</v>
      </c>
      <c r="AR184">
        <v>51.570442769087208</v>
      </c>
      <c r="AS184">
        <v>51.570442769087208</v>
      </c>
      <c r="AT184" s="93">
        <v>2314003</v>
      </c>
    </row>
    <row r="185" spans="1:46" x14ac:dyDescent="0.3">
      <c r="A185" t="s">
        <v>582</v>
      </c>
      <c r="B185">
        <v>1309</v>
      </c>
      <c r="C185">
        <v>2149.8135952306657</v>
      </c>
      <c r="D185">
        <v>37</v>
      </c>
      <c r="E185">
        <v>60.76631247023272</v>
      </c>
      <c r="F185">
        <v>2.8265851795263561E-2</v>
      </c>
      <c r="G185">
        <v>60889</v>
      </c>
      <c r="H185">
        <v>5098518.9443084961</v>
      </c>
      <c r="I185">
        <v>64200758.757739492</v>
      </c>
      <c r="J185">
        <v>1310.91</v>
      </c>
      <c r="K185">
        <v>46.447887345431795</v>
      </c>
      <c r="L185">
        <v>7202.63</v>
      </c>
      <c r="M185">
        <v>0.57099999999999995</v>
      </c>
      <c r="N185">
        <v>28.76</v>
      </c>
      <c r="O185" s="89">
        <v>39919519.683358245</v>
      </c>
      <c r="P185" s="89">
        <v>92882562.515396878</v>
      </c>
      <c r="Q185">
        <v>6.1</v>
      </c>
      <c r="R185">
        <v>5.4</v>
      </c>
      <c r="S185">
        <v>4.4000000000000004</v>
      </c>
      <c r="T185">
        <v>99.882269837532405</v>
      </c>
      <c r="U185">
        <v>35957.230000000003</v>
      </c>
      <c r="V185">
        <v>8.2100000000000009</v>
      </c>
      <c r="W185">
        <v>30</v>
      </c>
      <c r="X185">
        <v>58.049177658361799</v>
      </c>
      <c r="Y185">
        <v>0.41</v>
      </c>
      <c r="Z185">
        <v>1.1332096109000001</v>
      </c>
      <c r="AA185">
        <v>5.2883115177000004</v>
      </c>
      <c r="AB185">
        <v>0</v>
      </c>
      <c r="AC185">
        <v>0</v>
      </c>
      <c r="AD185">
        <v>0.67560731507597127</v>
      </c>
      <c r="AE185">
        <v>1</v>
      </c>
      <c r="AF185">
        <v>0.55930000000000002</v>
      </c>
      <c r="AG185">
        <v>0.497</v>
      </c>
      <c r="AH185">
        <v>0.33800000000000002</v>
      </c>
      <c r="AI185">
        <v>0.56299999999999994</v>
      </c>
      <c r="AJ185">
        <v>0.59</v>
      </c>
      <c r="AK185">
        <v>5.2390415345957397E-2</v>
      </c>
      <c r="AL185">
        <v>0.40110000000000001</v>
      </c>
      <c r="AM185">
        <v>7.0993914807302199</v>
      </c>
      <c r="AN185">
        <v>0.96021505376344085</v>
      </c>
      <c r="AO185">
        <v>0.11034833878040369</v>
      </c>
      <c r="AP185">
        <v>290.69290019543757</v>
      </c>
      <c r="AQ185">
        <v>786.6773965740939</v>
      </c>
      <c r="AR185">
        <v>62.408645239698473</v>
      </c>
      <c r="AS185">
        <v>106.7516300152737</v>
      </c>
      <c r="AT185" s="93">
        <v>2314102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52"/>
  <sheetViews>
    <sheetView showGridLines="0" workbookViewId="0"/>
  </sheetViews>
  <sheetFormatPr defaultRowHeight="14.4" x14ac:dyDescent="0.3"/>
  <cols>
    <col min="1" max="3" width="18" customWidth="1"/>
    <col min="4" max="4" width="24" customWidth="1"/>
    <col min="5" max="6" width="18" customWidth="1"/>
    <col min="7" max="7" width="45" customWidth="1"/>
    <col min="8" max="8" width="18" customWidth="1"/>
  </cols>
  <sheetData>
    <row r="1" spans="1:8" x14ac:dyDescent="0.3">
      <c r="A1" s="87" t="s">
        <v>584</v>
      </c>
      <c r="B1" s="87" t="s">
        <v>585</v>
      </c>
      <c r="C1" s="87" t="s">
        <v>586</v>
      </c>
      <c r="D1" s="87" t="s">
        <v>587</v>
      </c>
      <c r="E1" s="87" t="s">
        <v>588</v>
      </c>
      <c r="F1" s="87" t="s">
        <v>589</v>
      </c>
      <c r="G1" s="87" t="s">
        <v>590</v>
      </c>
      <c r="H1" s="87" t="s">
        <v>591</v>
      </c>
    </row>
    <row r="2" spans="1:8" x14ac:dyDescent="0.3">
      <c r="A2" s="88" t="s">
        <v>592</v>
      </c>
      <c r="B2" s="88">
        <v>159</v>
      </c>
      <c r="C2" s="88">
        <v>2</v>
      </c>
      <c r="D2" s="88" t="s">
        <v>246</v>
      </c>
      <c r="E2" s="88" t="s">
        <v>593</v>
      </c>
      <c r="F2" s="88" t="s">
        <v>594</v>
      </c>
      <c r="G2" s="88" t="s">
        <v>595</v>
      </c>
      <c r="H2" s="88" t="s">
        <v>596</v>
      </c>
    </row>
    <row r="3" spans="1:8" ht="28.8" x14ac:dyDescent="0.3">
      <c r="A3" s="88" t="s">
        <v>592</v>
      </c>
      <c r="B3" s="88">
        <v>159</v>
      </c>
      <c r="C3" s="88">
        <v>3</v>
      </c>
      <c r="D3" s="88" t="s">
        <v>246</v>
      </c>
      <c r="E3" s="88" t="s">
        <v>597</v>
      </c>
      <c r="F3" s="88" t="s">
        <v>598</v>
      </c>
      <c r="G3" s="88" t="s">
        <v>595</v>
      </c>
      <c r="H3" s="88" t="s">
        <v>596</v>
      </c>
    </row>
    <row r="4" spans="1:8" x14ac:dyDescent="0.3">
      <c r="A4" s="88" t="s">
        <v>592</v>
      </c>
      <c r="B4" s="88">
        <v>159</v>
      </c>
      <c r="C4" s="88">
        <v>4</v>
      </c>
      <c r="D4" s="88" t="s">
        <v>246</v>
      </c>
      <c r="E4" s="88" t="s">
        <v>599</v>
      </c>
      <c r="F4" s="88" t="s">
        <v>600</v>
      </c>
      <c r="G4" s="88" t="s">
        <v>595</v>
      </c>
      <c r="H4" s="88" t="s">
        <v>596</v>
      </c>
    </row>
    <row r="5" spans="1:8" x14ac:dyDescent="0.3">
      <c r="A5" s="88" t="s">
        <v>592</v>
      </c>
      <c r="B5" s="88">
        <v>159</v>
      </c>
      <c r="C5" s="88">
        <v>5</v>
      </c>
      <c r="D5" s="88" t="s">
        <v>246</v>
      </c>
      <c r="E5" s="88" t="s">
        <v>601</v>
      </c>
      <c r="F5" s="88" t="s">
        <v>602</v>
      </c>
      <c r="G5" s="88" t="s">
        <v>595</v>
      </c>
      <c r="H5" s="88" t="s">
        <v>596</v>
      </c>
    </row>
    <row r="6" spans="1:8" ht="28.8" x14ac:dyDescent="0.3">
      <c r="A6" s="88" t="s">
        <v>592</v>
      </c>
      <c r="B6" s="88">
        <v>159</v>
      </c>
      <c r="C6" s="88">
        <v>6</v>
      </c>
      <c r="D6" s="88" t="s">
        <v>246</v>
      </c>
      <c r="E6" s="88" t="s">
        <v>603</v>
      </c>
      <c r="F6" s="88" t="s">
        <v>604</v>
      </c>
      <c r="G6" s="88" t="s">
        <v>595</v>
      </c>
      <c r="H6" s="88" t="s">
        <v>596</v>
      </c>
    </row>
    <row r="7" spans="1:8" x14ac:dyDescent="0.3">
      <c r="A7" s="88" t="s">
        <v>592</v>
      </c>
      <c r="B7" s="88">
        <v>159</v>
      </c>
      <c r="C7" s="88">
        <v>7</v>
      </c>
      <c r="D7" s="88" t="s">
        <v>246</v>
      </c>
      <c r="E7" s="88" t="s">
        <v>605</v>
      </c>
      <c r="F7" s="88" t="s">
        <v>606</v>
      </c>
      <c r="G7" s="88" t="s">
        <v>595</v>
      </c>
      <c r="H7" s="88" t="s">
        <v>596</v>
      </c>
    </row>
    <row r="8" spans="1:8" ht="28.8" x14ac:dyDescent="0.3">
      <c r="A8" s="88" t="s">
        <v>592</v>
      </c>
      <c r="B8" s="88">
        <v>159</v>
      </c>
      <c r="C8" s="88">
        <v>8</v>
      </c>
      <c r="D8" s="88" t="s">
        <v>246</v>
      </c>
      <c r="E8" s="88" t="s">
        <v>607</v>
      </c>
      <c r="F8" s="88" t="s">
        <v>608</v>
      </c>
      <c r="G8" s="88" t="s">
        <v>595</v>
      </c>
      <c r="H8" s="88" t="s">
        <v>596</v>
      </c>
    </row>
    <row r="9" spans="1:8" ht="28.8" x14ac:dyDescent="0.3">
      <c r="A9" s="88" t="s">
        <v>592</v>
      </c>
      <c r="B9" s="88">
        <v>159</v>
      </c>
      <c r="C9" s="88">
        <v>9</v>
      </c>
      <c r="D9" s="88" t="s">
        <v>246</v>
      </c>
      <c r="E9" s="88" t="s">
        <v>609</v>
      </c>
      <c r="F9" s="88" t="s">
        <v>610</v>
      </c>
      <c r="G9" s="88" t="s">
        <v>595</v>
      </c>
      <c r="H9" s="88" t="s">
        <v>596</v>
      </c>
    </row>
    <row r="10" spans="1:8" x14ac:dyDescent="0.3">
      <c r="A10" s="88" t="s">
        <v>592</v>
      </c>
      <c r="B10" s="88">
        <v>159</v>
      </c>
      <c r="C10" s="88">
        <v>10</v>
      </c>
      <c r="D10" s="88" t="s">
        <v>246</v>
      </c>
      <c r="E10" s="88" t="s">
        <v>611</v>
      </c>
      <c r="F10" s="88" t="s">
        <v>612</v>
      </c>
      <c r="G10" s="88" t="s">
        <v>595</v>
      </c>
      <c r="H10" s="88" t="s">
        <v>596</v>
      </c>
    </row>
    <row r="11" spans="1:8" x14ac:dyDescent="0.3">
      <c r="A11" s="88" t="s">
        <v>592</v>
      </c>
      <c r="B11" s="88">
        <v>159</v>
      </c>
      <c r="C11" s="88">
        <v>11</v>
      </c>
      <c r="D11" s="88" t="s">
        <v>246</v>
      </c>
      <c r="E11" s="88" t="s">
        <v>613</v>
      </c>
      <c r="F11" s="88" t="s">
        <v>614</v>
      </c>
      <c r="G11" s="88" t="s">
        <v>595</v>
      </c>
      <c r="H11" s="88" t="s">
        <v>596</v>
      </c>
    </row>
    <row r="12" spans="1:8" x14ac:dyDescent="0.3">
      <c r="A12" s="88" t="s">
        <v>592</v>
      </c>
      <c r="B12" s="88">
        <v>159</v>
      </c>
      <c r="C12" s="88">
        <v>12</v>
      </c>
      <c r="D12" s="88" t="s">
        <v>246</v>
      </c>
      <c r="E12" s="88" t="s">
        <v>615</v>
      </c>
      <c r="F12" s="88" t="s">
        <v>616</v>
      </c>
      <c r="G12" s="88" t="s">
        <v>595</v>
      </c>
      <c r="H12" s="88" t="s">
        <v>596</v>
      </c>
    </row>
    <row r="13" spans="1:8" x14ac:dyDescent="0.3">
      <c r="A13" s="88" t="s">
        <v>592</v>
      </c>
      <c r="B13" s="88">
        <v>159</v>
      </c>
      <c r="C13" s="88">
        <v>13</v>
      </c>
      <c r="D13" s="88" t="s">
        <v>246</v>
      </c>
      <c r="E13" s="88" t="s">
        <v>617</v>
      </c>
      <c r="F13" s="88" t="s">
        <v>618</v>
      </c>
      <c r="G13" s="88" t="s">
        <v>595</v>
      </c>
      <c r="H13" s="88" t="s">
        <v>596</v>
      </c>
    </row>
    <row r="14" spans="1:8" x14ac:dyDescent="0.3">
      <c r="A14" s="88" t="s">
        <v>592</v>
      </c>
      <c r="B14" s="88">
        <v>159</v>
      </c>
      <c r="C14" s="88">
        <v>14</v>
      </c>
      <c r="D14" s="88" t="s">
        <v>246</v>
      </c>
      <c r="E14" s="88" t="s">
        <v>619</v>
      </c>
      <c r="F14" s="88" t="s">
        <v>620</v>
      </c>
      <c r="G14" s="88" t="s">
        <v>595</v>
      </c>
      <c r="H14" s="88" t="s">
        <v>596</v>
      </c>
    </row>
    <row r="15" spans="1:8" x14ac:dyDescent="0.3">
      <c r="A15" s="88" t="s">
        <v>592</v>
      </c>
      <c r="B15" s="88">
        <v>159</v>
      </c>
      <c r="C15" s="88">
        <v>15</v>
      </c>
      <c r="D15" s="88" t="s">
        <v>246</v>
      </c>
      <c r="E15" s="88" t="s">
        <v>621</v>
      </c>
      <c r="F15" s="88" t="s">
        <v>622</v>
      </c>
      <c r="G15" s="88" t="s">
        <v>595</v>
      </c>
      <c r="H15" s="88" t="s">
        <v>596</v>
      </c>
    </row>
    <row r="16" spans="1:8" x14ac:dyDescent="0.3">
      <c r="A16" s="88" t="s">
        <v>592</v>
      </c>
      <c r="B16" s="88">
        <v>159</v>
      </c>
      <c r="C16" s="88">
        <v>16</v>
      </c>
      <c r="D16" s="88" t="s">
        <v>246</v>
      </c>
      <c r="E16" s="88" t="s">
        <v>623</v>
      </c>
      <c r="F16" s="88" t="s">
        <v>624</v>
      </c>
      <c r="G16" s="88" t="s">
        <v>595</v>
      </c>
      <c r="H16" s="88" t="s">
        <v>596</v>
      </c>
    </row>
    <row r="17" spans="1:8" x14ac:dyDescent="0.3">
      <c r="A17" s="88" t="s">
        <v>592</v>
      </c>
      <c r="B17" s="88">
        <v>159</v>
      </c>
      <c r="C17" s="88">
        <v>17</v>
      </c>
      <c r="D17" s="88" t="s">
        <v>246</v>
      </c>
      <c r="E17" s="88" t="s">
        <v>625</v>
      </c>
      <c r="F17" s="88" t="s">
        <v>626</v>
      </c>
      <c r="G17" s="88" t="s">
        <v>595</v>
      </c>
      <c r="H17" s="88" t="s">
        <v>596</v>
      </c>
    </row>
    <row r="18" spans="1:8" x14ac:dyDescent="0.3">
      <c r="A18" s="88" t="s">
        <v>592</v>
      </c>
      <c r="B18" s="88">
        <v>159</v>
      </c>
      <c r="C18" s="88">
        <v>18</v>
      </c>
      <c r="D18" s="88" t="s">
        <v>246</v>
      </c>
      <c r="E18" s="88" t="s">
        <v>627</v>
      </c>
      <c r="F18" s="88" t="s">
        <v>628</v>
      </c>
      <c r="G18" s="88" t="s">
        <v>595</v>
      </c>
      <c r="H18" s="88" t="s">
        <v>596</v>
      </c>
    </row>
    <row r="19" spans="1:8" x14ac:dyDescent="0.3">
      <c r="A19" s="88" t="s">
        <v>592</v>
      </c>
      <c r="B19" s="88">
        <v>159</v>
      </c>
      <c r="C19" s="88">
        <v>19</v>
      </c>
      <c r="D19" s="88" t="s">
        <v>246</v>
      </c>
      <c r="E19" s="88" t="s">
        <v>629</v>
      </c>
      <c r="F19" s="88" t="s">
        <v>630</v>
      </c>
      <c r="G19" s="88" t="s">
        <v>595</v>
      </c>
      <c r="H19" s="88" t="s">
        <v>596</v>
      </c>
    </row>
    <row r="20" spans="1:8" x14ac:dyDescent="0.3">
      <c r="A20" s="88" t="s">
        <v>592</v>
      </c>
      <c r="B20" s="88">
        <v>159</v>
      </c>
      <c r="C20" s="88">
        <v>20</v>
      </c>
      <c r="D20" s="88" t="s">
        <v>246</v>
      </c>
      <c r="E20" s="88" t="s">
        <v>631</v>
      </c>
      <c r="F20" s="88" t="s">
        <v>632</v>
      </c>
      <c r="G20" s="88" t="s">
        <v>595</v>
      </c>
      <c r="H20" s="88" t="s">
        <v>596</v>
      </c>
    </row>
    <row r="21" spans="1:8" x14ac:dyDescent="0.3">
      <c r="A21" s="88" t="s">
        <v>592</v>
      </c>
      <c r="B21" s="88">
        <v>159</v>
      </c>
      <c r="C21" s="88">
        <v>21</v>
      </c>
      <c r="D21" s="88" t="s">
        <v>246</v>
      </c>
      <c r="E21" s="88" t="s">
        <v>633</v>
      </c>
      <c r="F21" s="88" t="s">
        <v>634</v>
      </c>
      <c r="G21" s="88" t="s">
        <v>595</v>
      </c>
      <c r="H21" s="88" t="s">
        <v>596</v>
      </c>
    </row>
    <row r="22" spans="1:8" x14ac:dyDescent="0.3">
      <c r="A22" s="88" t="s">
        <v>592</v>
      </c>
      <c r="B22" s="88">
        <v>159</v>
      </c>
      <c r="C22" s="88">
        <v>22</v>
      </c>
      <c r="D22" s="88" t="s">
        <v>246</v>
      </c>
      <c r="E22" s="88" t="s">
        <v>635</v>
      </c>
      <c r="F22" s="88" t="s">
        <v>636</v>
      </c>
      <c r="G22" s="88" t="s">
        <v>595</v>
      </c>
      <c r="H22" s="88" t="s">
        <v>596</v>
      </c>
    </row>
    <row r="23" spans="1:8" x14ac:dyDescent="0.3">
      <c r="A23" s="88" t="s">
        <v>592</v>
      </c>
      <c r="B23" s="88">
        <v>159</v>
      </c>
      <c r="C23" s="88">
        <v>23</v>
      </c>
      <c r="D23" s="88" t="s">
        <v>246</v>
      </c>
      <c r="E23" s="88" t="s">
        <v>637</v>
      </c>
      <c r="F23" s="88" t="s">
        <v>638</v>
      </c>
      <c r="G23" s="88" t="s">
        <v>595</v>
      </c>
      <c r="H23" s="88" t="s">
        <v>596</v>
      </c>
    </row>
    <row r="24" spans="1:8" x14ac:dyDescent="0.3">
      <c r="A24" s="88" t="s">
        <v>592</v>
      </c>
      <c r="B24" s="88">
        <v>159</v>
      </c>
      <c r="C24" s="88">
        <v>24</v>
      </c>
      <c r="D24" s="88" t="s">
        <v>246</v>
      </c>
      <c r="E24" s="88" t="s">
        <v>639</v>
      </c>
      <c r="F24" s="88" t="s">
        <v>640</v>
      </c>
      <c r="G24" s="88" t="s">
        <v>595</v>
      </c>
      <c r="H24" s="88" t="s">
        <v>596</v>
      </c>
    </row>
    <row r="25" spans="1:8" x14ac:dyDescent="0.3">
      <c r="A25" s="88" t="s">
        <v>592</v>
      </c>
      <c r="B25" s="88">
        <v>159</v>
      </c>
      <c r="C25" s="88">
        <v>25</v>
      </c>
      <c r="D25" s="88" t="s">
        <v>246</v>
      </c>
      <c r="E25" s="88" t="s">
        <v>641</v>
      </c>
      <c r="F25" s="88" t="s">
        <v>642</v>
      </c>
      <c r="G25" s="88" t="s">
        <v>595</v>
      </c>
      <c r="H25" s="88" t="s">
        <v>596</v>
      </c>
    </row>
    <row r="26" spans="1:8" x14ac:dyDescent="0.3">
      <c r="A26" s="88" t="s">
        <v>592</v>
      </c>
      <c r="B26" s="88">
        <v>159</v>
      </c>
      <c r="C26" s="88">
        <v>26</v>
      </c>
      <c r="D26" s="88" t="s">
        <v>246</v>
      </c>
      <c r="E26" s="88" t="s">
        <v>643</v>
      </c>
      <c r="F26" s="88" t="s">
        <v>644</v>
      </c>
      <c r="G26" s="88" t="s">
        <v>595</v>
      </c>
      <c r="H26" s="88" t="s">
        <v>596</v>
      </c>
    </row>
    <row r="27" spans="1:8" x14ac:dyDescent="0.3">
      <c r="A27" s="88" t="s">
        <v>592</v>
      </c>
      <c r="B27" s="88">
        <v>159</v>
      </c>
      <c r="C27" s="88">
        <v>27</v>
      </c>
      <c r="D27" s="88" t="s">
        <v>246</v>
      </c>
      <c r="E27" s="88" t="s">
        <v>645</v>
      </c>
      <c r="F27" s="88" t="s">
        <v>646</v>
      </c>
      <c r="G27" s="88" t="s">
        <v>595</v>
      </c>
      <c r="H27" s="88" t="s">
        <v>596</v>
      </c>
    </row>
    <row r="28" spans="1:8" ht="28.8" x14ac:dyDescent="0.3">
      <c r="A28" s="88" t="s">
        <v>592</v>
      </c>
      <c r="B28" s="88">
        <v>159</v>
      </c>
      <c r="C28" s="88">
        <v>30</v>
      </c>
      <c r="D28" s="88" t="s">
        <v>246</v>
      </c>
      <c r="E28" s="88" t="s">
        <v>647</v>
      </c>
      <c r="F28" s="88" t="s">
        <v>648</v>
      </c>
      <c r="G28" s="88" t="s">
        <v>595</v>
      </c>
      <c r="H28" s="88" t="s">
        <v>596</v>
      </c>
    </row>
    <row r="29" spans="1:8" x14ac:dyDescent="0.3">
      <c r="A29" s="88" t="s">
        <v>592</v>
      </c>
      <c r="B29" s="88">
        <v>159</v>
      </c>
      <c r="C29" s="88">
        <v>32</v>
      </c>
      <c r="D29" s="88" t="s">
        <v>246</v>
      </c>
      <c r="E29" s="88" t="s">
        <v>649</v>
      </c>
      <c r="F29" s="88" t="s">
        <v>650</v>
      </c>
      <c r="G29" s="88" t="s">
        <v>595</v>
      </c>
      <c r="H29" s="88" t="s">
        <v>596</v>
      </c>
    </row>
    <row r="30" spans="1:8" x14ac:dyDescent="0.3">
      <c r="A30" s="88" t="s">
        <v>592</v>
      </c>
      <c r="B30" s="88">
        <v>159</v>
      </c>
      <c r="C30" s="88">
        <v>33</v>
      </c>
      <c r="D30" s="88" t="s">
        <v>246</v>
      </c>
      <c r="E30" s="88" t="s">
        <v>651</v>
      </c>
      <c r="F30" s="88" t="s">
        <v>652</v>
      </c>
      <c r="G30" s="88" t="s">
        <v>595</v>
      </c>
      <c r="H30" s="88" t="s">
        <v>596</v>
      </c>
    </row>
    <row r="31" spans="1:8" x14ac:dyDescent="0.3">
      <c r="A31" s="88" t="s">
        <v>592</v>
      </c>
      <c r="B31" s="88">
        <v>159</v>
      </c>
      <c r="C31" s="88">
        <v>34</v>
      </c>
      <c r="D31" s="88" t="s">
        <v>246</v>
      </c>
      <c r="E31" s="88" t="s">
        <v>653</v>
      </c>
      <c r="F31" s="88" t="s">
        <v>654</v>
      </c>
      <c r="G31" s="88" t="s">
        <v>595</v>
      </c>
      <c r="H31" s="88" t="s">
        <v>596</v>
      </c>
    </row>
    <row r="32" spans="1:8" x14ac:dyDescent="0.3">
      <c r="A32" s="88" t="s">
        <v>592</v>
      </c>
      <c r="B32" s="88">
        <v>159</v>
      </c>
      <c r="C32" s="88">
        <v>35</v>
      </c>
      <c r="D32" s="88" t="s">
        <v>246</v>
      </c>
      <c r="E32" s="88" t="s">
        <v>655</v>
      </c>
      <c r="F32" s="88" t="s">
        <v>656</v>
      </c>
      <c r="G32" s="88" t="s">
        <v>595</v>
      </c>
      <c r="H32" s="88" t="s">
        <v>596</v>
      </c>
    </row>
    <row r="33" spans="1:8" x14ac:dyDescent="0.3">
      <c r="A33" s="88" t="s">
        <v>592</v>
      </c>
      <c r="B33" s="88">
        <v>159</v>
      </c>
      <c r="C33" s="88">
        <v>36</v>
      </c>
      <c r="D33" s="88" t="s">
        <v>246</v>
      </c>
      <c r="E33" s="88" t="s">
        <v>657</v>
      </c>
      <c r="F33" s="88" t="s">
        <v>658</v>
      </c>
      <c r="G33" s="88" t="s">
        <v>595</v>
      </c>
      <c r="H33" s="88" t="s">
        <v>596</v>
      </c>
    </row>
    <row r="34" spans="1:8" ht="28.8" x14ac:dyDescent="0.3">
      <c r="A34" s="88" t="s">
        <v>592</v>
      </c>
      <c r="B34" s="88">
        <v>159</v>
      </c>
      <c r="C34" s="88">
        <v>37</v>
      </c>
      <c r="D34" s="88" t="s">
        <v>246</v>
      </c>
      <c r="E34" s="88" t="s">
        <v>659</v>
      </c>
      <c r="F34" s="88" t="s">
        <v>660</v>
      </c>
      <c r="G34" s="88" t="s">
        <v>595</v>
      </c>
      <c r="H34" s="88" t="s">
        <v>596</v>
      </c>
    </row>
    <row r="35" spans="1:8" ht="28.8" x14ac:dyDescent="0.3">
      <c r="A35" s="88" t="s">
        <v>592</v>
      </c>
      <c r="B35" s="88">
        <v>159</v>
      </c>
      <c r="C35" s="88">
        <v>38</v>
      </c>
      <c r="D35" s="88" t="s">
        <v>246</v>
      </c>
      <c r="E35" s="88" t="s">
        <v>661</v>
      </c>
      <c r="F35" s="88" t="s">
        <v>662</v>
      </c>
      <c r="G35" s="88" t="s">
        <v>595</v>
      </c>
      <c r="H35" s="88" t="s">
        <v>596</v>
      </c>
    </row>
    <row r="36" spans="1:8" x14ac:dyDescent="0.3">
      <c r="A36" s="88" t="s">
        <v>592</v>
      </c>
      <c r="B36" s="88">
        <v>159</v>
      </c>
      <c r="C36" s="88">
        <v>39</v>
      </c>
      <c r="D36" s="88" t="s">
        <v>246</v>
      </c>
      <c r="E36" s="88" t="s">
        <v>663</v>
      </c>
      <c r="F36" s="88" t="s">
        <v>664</v>
      </c>
      <c r="G36" s="88" t="s">
        <v>595</v>
      </c>
      <c r="H36" s="88" t="s">
        <v>596</v>
      </c>
    </row>
    <row r="37" spans="1:8" ht="28.8" x14ac:dyDescent="0.3">
      <c r="A37" s="88" t="s">
        <v>592</v>
      </c>
      <c r="B37" s="88">
        <v>159</v>
      </c>
      <c r="C37" s="88">
        <v>40</v>
      </c>
      <c r="D37" s="88" t="s">
        <v>246</v>
      </c>
      <c r="E37" s="88" t="s">
        <v>665</v>
      </c>
      <c r="F37" s="88" t="s">
        <v>666</v>
      </c>
      <c r="G37" s="88" t="s">
        <v>595</v>
      </c>
      <c r="H37" s="88" t="s">
        <v>596</v>
      </c>
    </row>
    <row r="38" spans="1:8" ht="28.8" x14ac:dyDescent="0.3">
      <c r="A38" s="88" t="s">
        <v>592</v>
      </c>
      <c r="B38" s="88">
        <v>159</v>
      </c>
      <c r="C38" s="88">
        <v>41</v>
      </c>
      <c r="D38" s="88" t="s">
        <v>246</v>
      </c>
      <c r="E38" s="88" t="s">
        <v>667</v>
      </c>
      <c r="F38" s="88" t="s">
        <v>668</v>
      </c>
      <c r="G38" s="88" t="s">
        <v>595</v>
      </c>
      <c r="H38" s="88" t="s">
        <v>596</v>
      </c>
    </row>
    <row r="39" spans="1:8" x14ac:dyDescent="0.3">
      <c r="A39" s="88" t="s">
        <v>592</v>
      </c>
      <c r="B39" s="88">
        <v>159</v>
      </c>
      <c r="C39" s="88">
        <v>42</v>
      </c>
      <c r="D39" s="88" t="s">
        <v>246</v>
      </c>
      <c r="E39" s="88" t="s">
        <v>669</v>
      </c>
      <c r="F39" s="88" t="s">
        <v>670</v>
      </c>
      <c r="G39" s="88" t="s">
        <v>595</v>
      </c>
      <c r="H39" s="88" t="s">
        <v>596</v>
      </c>
    </row>
    <row r="40" spans="1:8" ht="28.8" x14ac:dyDescent="0.3">
      <c r="A40" s="88" t="s">
        <v>592</v>
      </c>
      <c r="B40" s="88">
        <v>159</v>
      </c>
      <c r="C40" s="88">
        <v>43</v>
      </c>
      <c r="D40" s="88" t="s">
        <v>246</v>
      </c>
      <c r="E40" s="88" t="s">
        <v>671</v>
      </c>
      <c r="F40" s="88" t="s">
        <v>672</v>
      </c>
      <c r="G40" s="88" t="s">
        <v>595</v>
      </c>
      <c r="H40" s="88" t="s">
        <v>596</v>
      </c>
    </row>
    <row r="41" spans="1:8" x14ac:dyDescent="0.3">
      <c r="A41" s="88" t="s">
        <v>592</v>
      </c>
      <c r="B41" s="88">
        <v>159</v>
      </c>
      <c r="C41" s="88">
        <v>44</v>
      </c>
      <c r="D41" s="88" t="s">
        <v>246</v>
      </c>
      <c r="E41" s="88" t="s">
        <v>673</v>
      </c>
      <c r="F41" s="88" t="s">
        <v>674</v>
      </c>
      <c r="G41" s="88" t="s">
        <v>595</v>
      </c>
      <c r="H41" s="88" t="s">
        <v>596</v>
      </c>
    </row>
    <row r="42" spans="1:8" ht="28.8" x14ac:dyDescent="0.3">
      <c r="A42" s="88" t="s">
        <v>592</v>
      </c>
      <c r="B42" s="88">
        <v>159</v>
      </c>
      <c r="C42" s="88">
        <v>45</v>
      </c>
      <c r="D42" s="88" t="s">
        <v>246</v>
      </c>
      <c r="E42" s="88" t="s">
        <v>675</v>
      </c>
      <c r="F42" s="88" t="s">
        <v>676</v>
      </c>
      <c r="G42" s="88" t="s">
        <v>595</v>
      </c>
      <c r="H42" s="88" t="s">
        <v>596</v>
      </c>
    </row>
    <row r="43" spans="1:8" x14ac:dyDescent="0.3">
      <c r="A43" s="88" t="s">
        <v>592</v>
      </c>
      <c r="B43" s="88">
        <v>160</v>
      </c>
      <c r="C43" s="88">
        <v>2</v>
      </c>
      <c r="D43" s="88" t="s">
        <v>247</v>
      </c>
      <c r="E43" s="88" t="s">
        <v>677</v>
      </c>
      <c r="F43" s="88" t="s">
        <v>593</v>
      </c>
      <c r="G43" s="88" t="s">
        <v>595</v>
      </c>
      <c r="H43" s="88" t="s">
        <v>596</v>
      </c>
    </row>
    <row r="44" spans="1:8" ht="28.8" x14ac:dyDescent="0.3">
      <c r="A44" s="88" t="s">
        <v>592</v>
      </c>
      <c r="B44" s="88">
        <v>160</v>
      </c>
      <c r="C44" s="88">
        <v>3</v>
      </c>
      <c r="D44" s="88" t="s">
        <v>247</v>
      </c>
      <c r="E44" s="88" t="s">
        <v>678</v>
      </c>
      <c r="F44" s="88" t="s">
        <v>597</v>
      </c>
      <c r="G44" s="88" t="s">
        <v>595</v>
      </c>
      <c r="H44" s="88" t="s">
        <v>596</v>
      </c>
    </row>
    <row r="45" spans="1:8" x14ac:dyDescent="0.3">
      <c r="A45" s="88" t="s">
        <v>592</v>
      </c>
      <c r="B45" s="88">
        <v>160</v>
      </c>
      <c r="C45" s="88">
        <v>4</v>
      </c>
      <c r="D45" s="88" t="s">
        <v>247</v>
      </c>
      <c r="E45" s="88" t="s">
        <v>679</v>
      </c>
      <c r="F45" s="88" t="s">
        <v>599</v>
      </c>
      <c r="G45" s="88" t="s">
        <v>595</v>
      </c>
      <c r="H45" s="88" t="s">
        <v>596</v>
      </c>
    </row>
    <row r="46" spans="1:8" ht="28.8" x14ac:dyDescent="0.3">
      <c r="A46" s="88" t="s">
        <v>592</v>
      </c>
      <c r="B46" s="88">
        <v>160</v>
      </c>
      <c r="C46" s="88">
        <v>5</v>
      </c>
      <c r="D46" s="88" t="s">
        <v>247</v>
      </c>
      <c r="E46" s="88" t="s">
        <v>680</v>
      </c>
      <c r="F46" s="88" t="s">
        <v>601</v>
      </c>
      <c r="G46" s="88" t="s">
        <v>595</v>
      </c>
      <c r="H46" s="88" t="s">
        <v>596</v>
      </c>
    </row>
    <row r="47" spans="1:8" ht="28.8" x14ac:dyDescent="0.3">
      <c r="A47" s="88" t="s">
        <v>592</v>
      </c>
      <c r="B47" s="88">
        <v>160</v>
      </c>
      <c r="C47" s="88">
        <v>6</v>
      </c>
      <c r="D47" s="88" t="s">
        <v>247</v>
      </c>
      <c r="E47" s="88" t="s">
        <v>681</v>
      </c>
      <c r="F47" s="88" t="s">
        <v>603</v>
      </c>
      <c r="G47" s="88" t="s">
        <v>595</v>
      </c>
      <c r="H47" s="88" t="s">
        <v>596</v>
      </c>
    </row>
    <row r="48" spans="1:8" x14ac:dyDescent="0.3">
      <c r="A48" s="88" t="s">
        <v>592</v>
      </c>
      <c r="B48" s="88">
        <v>160</v>
      </c>
      <c r="C48" s="88">
        <v>7</v>
      </c>
      <c r="D48" s="88" t="s">
        <v>247</v>
      </c>
      <c r="E48" s="88" t="s">
        <v>682</v>
      </c>
      <c r="F48" s="88" t="s">
        <v>605</v>
      </c>
      <c r="G48" s="88" t="s">
        <v>595</v>
      </c>
      <c r="H48" s="88" t="s">
        <v>596</v>
      </c>
    </row>
    <row r="49" spans="1:8" x14ac:dyDescent="0.3">
      <c r="A49" s="88" t="s">
        <v>592</v>
      </c>
      <c r="B49" s="88">
        <v>160</v>
      </c>
      <c r="C49" s="88">
        <v>8</v>
      </c>
      <c r="D49" s="88" t="s">
        <v>247</v>
      </c>
      <c r="E49" s="88" t="s">
        <v>683</v>
      </c>
      <c r="F49" s="88" t="s">
        <v>607</v>
      </c>
      <c r="G49" s="88" t="s">
        <v>595</v>
      </c>
      <c r="H49" s="88" t="s">
        <v>596</v>
      </c>
    </row>
    <row r="50" spans="1:8" ht="28.8" x14ac:dyDescent="0.3">
      <c r="A50" s="88" t="s">
        <v>592</v>
      </c>
      <c r="B50" s="88">
        <v>160</v>
      </c>
      <c r="C50" s="88">
        <v>9</v>
      </c>
      <c r="D50" s="88" t="s">
        <v>247</v>
      </c>
      <c r="E50" s="88" t="s">
        <v>684</v>
      </c>
      <c r="F50" s="88" t="s">
        <v>609</v>
      </c>
      <c r="G50" s="88" t="s">
        <v>595</v>
      </c>
      <c r="H50" s="88" t="s">
        <v>596</v>
      </c>
    </row>
    <row r="51" spans="1:8" x14ac:dyDescent="0.3">
      <c r="A51" s="88" t="s">
        <v>592</v>
      </c>
      <c r="B51" s="88">
        <v>160</v>
      </c>
      <c r="C51" s="88">
        <v>10</v>
      </c>
      <c r="D51" s="88" t="s">
        <v>247</v>
      </c>
      <c r="E51" s="88" t="s">
        <v>685</v>
      </c>
      <c r="F51" s="88" t="s">
        <v>611</v>
      </c>
      <c r="G51" s="88" t="s">
        <v>595</v>
      </c>
      <c r="H51" s="88" t="s">
        <v>596</v>
      </c>
    </row>
    <row r="52" spans="1:8" ht="28.8" x14ac:dyDescent="0.3">
      <c r="A52" s="88" t="s">
        <v>592</v>
      </c>
      <c r="B52" s="88">
        <v>160</v>
      </c>
      <c r="C52" s="88">
        <v>11</v>
      </c>
      <c r="D52" s="88" t="s">
        <v>247</v>
      </c>
      <c r="E52" s="88" t="s">
        <v>686</v>
      </c>
      <c r="F52" s="88" t="s">
        <v>613</v>
      </c>
      <c r="G52" s="88" t="s">
        <v>595</v>
      </c>
      <c r="H52" s="88" t="s">
        <v>596</v>
      </c>
    </row>
    <row r="53" spans="1:8" x14ac:dyDescent="0.3">
      <c r="A53" s="88" t="s">
        <v>592</v>
      </c>
      <c r="B53" s="88">
        <v>160</v>
      </c>
      <c r="C53" s="88">
        <v>12</v>
      </c>
      <c r="D53" s="88" t="s">
        <v>247</v>
      </c>
      <c r="E53" s="88" t="s">
        <v>687</v>
      </c>
      <c r="F53" s="88" t="s">
        <v>615</v>
      </c>
      <c r="G53" s="88" t="s">
        <v>595</v>
      </c>
      <c r="H53" s="88" t="s">
        <v>596</v>
      </c>
    </row>
    <row r="54" spans="1:8" x14ac:dyDescent="0.3">
      <c r="A54" s="88" t="s">
        <v>592</v>
      </c>
      <c r="B54" s="88">
        <v>160</v>
      </c>
      <c r="C54" s="88">
        <v>13</v>
      </c>
      <c r="D54" s="88" t="s">
        <v>247</v>
      </c>
      <c r="E54" s="88" t="s">
        <v>688</v>
      </c>
      <c r="F54" s="88" t="s">
        <v>617</v>
      </c>
      <c r="G54" s="88" t="s">
        <v>595</v>
      </c>
      <c r="H54" s="88" t="s">
        <v>596</v>
      </c>
    </row>
    <row r="55" spans="1:8" x14ac:dyDescent="0.3">
      <c r="A55" s="88" t="s">
        <v>592</v>
      </c>
      <c r="B55" s="88">
        <v>160</v>
      </c>
      <c r="C55" s="88">
        <v>14</v>
      </c>
      <c r="D55" s="88" t="s">
        <v>247</v>
      </c>
      <c r="E55" s="88" t="s">
        <v>689</v>
      </c>
      <c r="F55" s="88" t="s">
        <v>619</v>
      </c>
      <c r="G55" s="88" t="s">
        <v>595</v>
      </c>
      <c r="H55" s="88" t="s">
        <v>596</v>
      </c>
    </row>
    <row r="56" spans="1:8" x14ac:dyDescent="0.3">
      <c r="A56" s="88" t="s">
        <v>592</v>
      </c>
      <c r="B56" s="88">
        <v>160</v>
      </c>
      <c r="C56" s="88">
        <v>15</v>
      </c>
      <c r="D56" s="88" t="s">
        <v>247</v>
      </c>
      <c r="E56" s="88" t="s">
        <v>690</v>
      </c>
      <c r="F56" s="88" t="s">
        <v>621</v>
      </c>
      <c r="G56" s="88" t="s">
        <v>595</v>
      </c>
      <c r="H56" s="88" t="s">
        <v>596</v>
      </c>
    </row>
    <row r="57" spans="1:8" x14ac:dyDescent="0.3">
      <c r="A57" s="88" t="s">
        <v>592</v>
      </c>
      <c r="B57" s="88">
        <v>160</v>
      </c>
      <c r="C57" s="88">
        <v>16</v>
      </c>
      <c r="D57" s="88" t="s">
        <v>247</v>
      </c>
      <c r="E57" s="88" t="s">
        <v>691</v>
      </c>
      <c r="F57" s="88" t="s">
        <v>623</v>
      </c>
      <c r="G57" s="88" t="s">
        <v>595</v>
      </c>
      <c r="H57" s="88" t="s">
        <v>596</v>
      </c>
    </row>
    <row r="58" spans="1:8" x14ac:dyDescent="0.3">
      <c r="A58" s="88" t="s">
        <v>592</v>
      </c>
      <c r="B58" s="88">
        <v>160</v>
      </c>
      <c r="C58" s="88">
        <v>18</v>
      </c>
      <c r="D58" s="88" t="s">
        <v>247</v>
      </c>
      <c r="E58" s="88" t="s">
        <v>692</v>
      </c>
      <c r="F58" s="88" t="s">
        <v>627</v>
      </c>
      <c r="G58" s="88" t="s">
        <v>595</v>
      </c>
      <c r="H58" s="88" t="s">
        <v>596</v>
      </c>
    </row>
    <row r="59" spans="1:8" x14ac:dyDescent="0.3">
      <c r="A59" s="88" t="s">
        <v>592</v>
      </c>
      <c r="B59" s="88">
        <v>160</v>
      </c>
      <c r="C59" s="88">
        <v>19</v>
      </c>
      <c r="D59" s="88" t="s">
        <v>247</v>
      </c>
      <c r="E59" s="88" t="s">
        <v>693</v>
      </c>
      <c r="F59" s="88" t="s">
        <v>629</v>
      </c>
      <c r="G59" s="88" t="s">
        <v>595</v>
      </c>
      <c r="H59" s="88" t="s">
        <v>596</v>
      </c>
    </row>
    <row r="60" spans="1:8" x14ac:dyDescent="0.3">
      <c r="A60" s="88" t="s">
        <v>592</v>
      </c>
      <c r="B60" s="88">
        <v>160</v>
      </c>
      <c r="C60" s="88">
        <v>20</v>
      </c>
      <c r="D60" s="88" t="s">
        <v>247</v>
      </c>
      <c r="E60" s="88" t="s">
        <v>694</v>
      </c>
      <c r="F60" s="88" t="s">
        <v>631</v>
      </c>
      <c r="G60" s="88" t="s">
        <v>595</v>
      </c>
      <c r="H60" s="88" t="s">
        <v>596</v>
      </c>
    </row>
    <row r="61" spans="1:8" x14ac:dyDescent="0.3">
      <c r="A61" s="88" t="s">
        <v>592</v>
      </c>
      <c r="B61" s="88">
        <v>160</v>
      </c>
      <c r="C61" s="88">
        <v>21</v>
      </c>
      <c r="D61" s="88" t="s">
        <v>247</v>
      </c>
      <c r="E61" s="88" t="s">
        <v>695</v>
      </c>
      <c r="F61" s="88" t="s">
        <v>633</v>
      </c>
      <c r="G61" s="88" t="s">
        <v>595</v>
      </c>
      <c r="H61" s="88" t="s">
        <v>596</v>
      </c>
    </row>
    <row r="62" spans="1:8" x14ac:dyDescent="0.3">
      <c r="A62" s="88" t="s">
        <v>592</v>
      </c>
      <c r="B62" s="88">
        <v>160</v>
      </c>
      <c r="C62" s="88">
        <v>22</v>
      </c>
      <c r="D62" s="88" t="s">
        <v>247</v>
      </c>
      <c r="E62" s="88" t="s">
        <v>696</v>
      </c>
      <c r="F62" s="88" t="s">
        <v>635</v>
      </c>
      <c r="G62" s="88" t="s">
        <v>595</v>
      </c>
      <c r="H62" s="88" t="s">
        <v>596</v>
      </c>
    </row>
    <row r="63" spans="1:8" x14ac:dyDescent="0.3">
      <c r="A63" s="88" t="s">
        <v>592</v>
      </c>
      <c r="B63" s="88">
        <v>160</v>
      </c>
      <c r="C63" s="88">
        <v>24</v>
      </c>
      <c r="D63" s="88" t="s">
        <v>247</v>
      </c>
      <c r="E63" s="88" t="s">
        <v>697</v>
      </c>
      <c r="F63" s="88" t="s">
        <v>639</v>
      </c>
      <c r="G63" s="88" t="s">
        <v>595</v>
      </c>
      <c r="H63" s="88" t="s">
        <v>596</v>
      </c>
    </row>
    <row r="64" spans="1:8" x14ac:dyDescent="0.3">
      <c r="A64" s="88" t="s">
        <v>592</v>
      </c>
      <c r="B64" s="88">
        <v>160</v>
      </c>
      <c r="C64" s="88">
        <v>25</v>
      </c>
      <c r="D64" s="88" t="s">
        <v>247</v>
      </c>
      <c r="E64" s="88" t="s">
        <v>698</v>
      </c>
      <c r="F64" s="88" t="s">
        <v>641</v>
      </c>
      <c r="G64" s="88" t="s">
        <v>595</v>
      </c>
      <c r="H64" s="88" t="s">
        <v>596</v>
      </c>
    </row>
    <row r="65" spans="1:8" x14ac:dyDescent="0.3">
      <c r="A65" s="88" t="s">
        <v>592</v>
      </c>
      <c r="B65" s="88">
        <v>160</v>
      </c>
      <c r="C65" s="88">
        <v>26</v>
      </c>
      <c r="D65" s="88" t="s">
        <v>247</v>
      </c>
      <c r="E65" s="88" t="s">
        <v>699</v>
      </c>
      <c r="F65" s="88" t="s">
        <v>643</v>
      </c>
      <c r="G65" s="88" t="s">
        <v>595</v>
      </c>
      <c r="H65" s="88" t="s">
        <v>596</v>
      </c>
    </row>
    <row r="66" spans="1:8" x14ac:dyDescent="0.3">
      <c r="A66" s="88" t="s">
        <v>592</v>
      </c>
      <c r="B66" s="88">
        <v>160</v>
      </c>
      <c r="C66" s="88">
        <v>27</v>
      </c>
      <c r="D66" s="88" t="s">
        <v>247</v>
      </c>
      <c r="E66" s="88" t="s">
        <v>700</v>
      </c>
      <c r="F66" s="88" t="s">
        <v>645</v>
      </c>
      <c r="G66" s="88" t="s">
        <v>595</v>
      </c>
      <c r="H66" s="88" t="s">
        <v>596</v>
      </c>
    </row>
    <row r="67" spans="1:8" ht="28.8" x14ac:dyDescent="0.3">
      <c r="A67" s="88" t="s">
        <v>592</v>
      </c>
      <c r="B67" s="88">
        <v>160</v>
      </c>
      <c r="C67" s="88">
        <v>30</v>
      </c>
      <c r="D67" s="88" t="s">
        <v>247</v>
      </c>
      <c r="E67" s="88" t="s">
        <v>701</v>
      </c>
      <c r="F67" s="88" t="s">
        <v>647</v>
      </c>
      <c r="G67" s="88" t="s">
        <v>595</v>
      </c>
      <c r="H67" s="88" t="s">
        <v>596</v>
      </c>
    </row>
    <row r="68" spans="1:8" x14ac:dyDescent="0.3">
      <c r="A68" s="88" t="s">
        <v>592</v>
      </c>
      <c r="B68" s="88">
        <v>160</v>
      </c>
      <c r="C68" s="88">
        <v>32</v>
      </c>
      <c r="D68" s="88" t="s">
        <v>247</v>
      </c>
      <c r="E68" s="88" t="s">
        <v>702</v>
      </c>
      <c r="F68" s="88" t="s">
        <v>649</v>
      </c>
      <c r="G68" s="88" t="s">
        <v>595</v>
      </c>
      <c r="H68" s="88" t="s">
        <v>596</v>
      </c>
    </row>
    <row r="69" spans="1:8" x14ac:dyDescent="0.3">
      <c r="A69" s="88" t="s">
        <v>592</v>
      </c>
      <c r="B69" s="88">
        <v>160</v>
      </c>
      <c r="C69" s="88">
        <v>33</v>
      </c>
      <c r="D69" s="88" t="s">
        <v>247</v>
      </c>
      <c r="E69" s="88" t="s">
        <v>703</v>
      </c>
      <c r="F69" s="88" t="s">
        <v>651</v>
      </c>
      <c r="G69" s="88" t="s">
        <v>595</v>
      </c>
      <c r="H69" s="88" t="s">
        <v>596</v>
      </c>
    </row>
    <row r="70" spans="1:8" x14ac:dyDescent="0.3">
      <c r="A70" s="88" t="s">
        <v>592</v>
      </c>
      <c r="B70" s="88">
        <v>160</v>
      </c>
      <c r="C70" s="88">
        <v>34</v>
      </c>
      <c r="D70" s="88" t="s">
        <v>247</v>
      </c>
      <c r="E70" s="88" t="s">
        <v>704</v>
      </c>
      <c r="F70" s="88" t="s">
        <v>653</v>
      </c>
      <c r="G70" s="88" t="s">
        <v>595</v>
      </c>
      <c r="H70" s="88" t="s">
        <v>596</v>
      </c>
    </row>
    <row r="71" spans="1:8" x14ac:dyDescent="0.3">
      <c r="A71" s="88" t="s">
        <v>592</v>
      </c>
      <c r="B71" s="88">
        <v>160</v>
      </c>
      <c r="C71" s="88">
        <v>35</v>
      </c>
      <c r="D71" s="88" t="s">
        <v>247</v>
      </c>
      <c r="E71" s="88" t="s">
        <v>705</v>
      </c>
      <c r="F71" s="88" t="s">
        <v>655</v>
      </c>
      <c r="G71" s="88" t="s">
        <v>595</v>
      </c>
      <c r="H71" s="88" t="s">
        <v>596</v>
      </c>
    </row>
    <row r="72" spans="1:8" x14ac:dyDescent="0.3">
      <c r="A72" s="88" t="s">
        <v>592</v>
      </c>
      <c r="B72" s="88">
        <v>160</v>
      </c>
      <c r="C72" s="88">
        <v>36</v>
      </c>
      <c r="D72" s="88" t="s">
        <v>247</v>
      </c>
      <c r="E72" s="88" t="s">
        <v>706</v>
      </c>
      <c r="F72" s="88" t="s">
        <v>657</v>
      </c>
      <c r="G72" s="88" t="s">
        <v>595</v>
      </c>
      <c r="H72" s="88" t="s">
        <v>596</v>
      </c>
    </row>
    <row r="73" spans="1:8" ht="28.8" x14ac:dyDescent="0.3">
      <c r="A73" s="88" t="s">
        <v>592</v>
      </c>
      <c r="B73" s="88">
        <v>160</v>
      </c>
      <c r="C73" s="88">
        <v>37</v>
      </c>
      <c r="D73" s="88" t="s">
        <v>247</v>
      </c>
      <c r="E73" s="88" t="s">
        <v>707</v>
      </c>
      <c r="F73" s="88" t="s">
        <v>659</v>
      </c>
      <c r="G73" s="88" t="s">
        <v>595</v>
      </c>
      <c r="H73" s="88" t="s">
        <v>596</v>
      </c>
    </row>
    <row r="74" spans="1:8" ht="28.8" x14ac:dyDescent="0.3">
      <c r="A74" s="88" t="s">
        <v>592</v>
      </c>
      <c r="B74" s="88">
        <v>160</v>
      </c>
      <c r="C74" s="88">
        <v>38</v>
      </c>
      <c r="D74" s="88" t="s">
        <v>247</v>
      </c>
      <c r="E74" s="88" t="s">
        <v>708</v>
      </c>
      <c r="F74" s="88" t="s">
        <v>661</v>
      </c>
      <c r="G74" s="88" t="s">
        <v>595</v>
      </c>
      <c r="H74" s="88" t="s">
        <v>596</v>
      </c>
    </row>
    <row r="75" spans="1:8" x14ac:dyDescent="0.3">
      <c r="A75" s="88" t="s">
        <v>592</v>
      </c>
      <c r="B75" s="88">
        <v>160</v>
      </c>
      <c r="C75" s="88">
        <v>39</v>
      </c>
      <c r="D75" s="88" t="s">
        <v>247</v>
      </c>
      <c r="E75" s="88" t="s">
        <v>709</v>
      </c>
      <c r="F75" s="88" t="s">
        <v>663</v>
      </c>
      <c r="G75" s="88" t="s">
        <v>595</v>
      </c>
      <c r="H75" s="88" t="s">
        <v>596</v>
      </c>
    </row>
    <row r="76" spans="1:8" ht="28.8" x14ac:dyDescent="0.3">
      <c r="A76" s="88" t="s">
        <v>592</v>
      </c>
      <c r="B76" s="88">
        <v>160</v>
      </c>
      <c r="C76" s="88">
        <v>40</v>
      </c>
      <c r="D76" s="88" t="s">
        <v>247</v>
      </c>
      <c r="E76" s="88" t="s">
        <v>710</v>
      </c>
      <c r="F76" s="88" t="s">
        <v>665</v>
      </c>
      <c r="G76" s="88" t="s">
        <v>595</v>
      </c>
      <c r="H76" s="88" t="s">
        <v>596</v>
      </c>
    </row>
    <row r="77" spans="1:8" ht="28.8" x14ac:dyDescent="0.3">
      <c r="A77" s="88" t="s">
        <v>592</v>
      </c>
      <c r="B77" s="88">
        <v>160</v>
      </c>
      <c r="C77" s="88">
        <v>41</v>
      </c>
      <c r="D77" s="88" t="s">
        <v>247</v>
      </c>
      <c r="E77" s="88" t="s">
        <v>711</v>
      </c>
      <c r="F77" s="88" t="s">
        <v>667</v>
      </c>
      <c r="G77" s="88" t="s">
        <v>595</v>
      </c>
      <c r="H77" s="88" t="s">
        <v>596</v>
      </c>
    </row>
    <row r="78" spans="1:8" x14ac:dyDescent="0.3">
      <c r="A78" s="88" t="s">
        <v>592</v>
      </c>
      <c r="B78" s="88">
        <v>160</v>
      </c>
      <c r="C78" s="88">
        <v>42</v>
      </c>
      <c r="D78" s="88" t="s">
        <v>247</v>
      </c>
      <c r="E78" s="88" t="s">
        <v>712</v>
      </c>
      <c r="F78" s="88" t="s">
        <v>669</v>
      </c>
      <c r="G78" s="88" t="s">
        <v>595</v>
      </c>
      <c r="H78" s="88" t="s">
        <v>596</v>
      </c>
    </row>
    <row r="79" spans="1:8" ht="28.8" x14ac:dyDescent="0.3">
      <c r="A79" s="88" t="s">
        <v>592</v>
      </c>
      <c r="B79" s="88">
        <v>160</v>
      </c>
      <c r="C79" s="88">
        <v>43</v>
      </c>
      <c r="D79" s="88" t="s">
        <v>247</v>
      </c>
      <c r="E79" s="88" t="s">
        <v>713</v>
      </c>
      <c r="F79" s="88" t="s">
        <v>671</v>
      </c>
      <c r="G79" s="88" t="s">
        <v>595</v>
      </c>
      <c r="H79" s="88" t="s">
        <v>596</v>
      </c>
    </row>
    <row r="80" spans="1:8" ht="28.8" x14ac:dyDescent="0.3">
      <c r="A80" s="88" t="s">
        <v>592</v>
      </c>
      <c r="B80" s="88">
        <v>160</v>
      </c>
      <c r="C80" s="88">
        <v>44</v>
      </c>
      <c r="D80" s="88" t="s">
        <v>247</v>
      </c>
      <c r="E80" s="88" t="s">
        <v>714</v>
      </c>
      <c r="F80" s="88" t="s">
        <v>673</v>
      </c>
      <c r="G80" s="88" t="s">
        <v>595</v>
      </c>
      <c r="H80" s="88" t="s">
        <v>596</v>
      </c>
    </row>
    <row r="81" spans="1:8" ht="28.8" x14ac:dyDescent="0.3">
      <c r="A81" s="88" t="s">
        <v>592</v>
      </c>
      <c r="B81" s="88">
        <v>160</v>
      </c>
      <c r="C81" s="88">
        <v>45</v>
      </c>
      <c r="D81" s="88" t="s">
        <v>247</v>
      </c>
      <c r="E81" s="88" t="s">
        <v>715</v>
      </c>
      <c r="F81" s="88" t="s">
        <v>675</v>
      </c>
      <c r="G81" s="88" t="s">
        <v>595</v>
      </c>
      <c r="H81" s="88" t="s">
        <v>596</v>
      </c>
    </row>
    <row r="82" spans="1:8" x14ac:dyDescent="0.3">
      <c r="A82" s="88" t="s">
        <v>592</v>
      </c>
      <c r="B82" s="88">
        <v>161</v>
      </c>
      <c r="C82" s="88">
        <v>2</v>
      </c>
      <c r="D82" s="88" t="s">
        <v>248</v>
      </c>
      <c r="E82" s="88" t="s">
        <v>594</v>
      </c>
      <c r="F82" s="88" t="s">
        <v>677</v>
      </c>
      <c r="G82" s="88" t="s">
        <v>595</v>
      </c>
      <c r="H82" s="88" t="s">
        <v>596</v>
      </c>
    </row>
    <row r="83" spans="1:8" ht="28.8" x14ac:dyDescent="0.3">
      <c r="A83" s="88" t="s">
        <v>592</v>
      </c>
      <c r="B83" s="88">
        <v>161</v>
      </c>
      <c r="C83" s="88">
        <v>3</v>
      </c>
      <c r="D83" s="88" t="s">
        <v>248</v>
      </c>
      <c r="E83" s="88" t="s">
        <v>598</v>
      </c>
      <c r="F83" s="88" t="s">
        <v>678</v>
      </c>
      <c r="G83" s="88" t="s">
        <v>595</v>
      </c>
      <c r="H83" s="88" t="s">
        <v>596</v>
      </c>
    </row>
    <row r="84" spans="1:8" x14ac:dyDescent="0.3">
      <c r="A84" s="88" t="s">
        <v>592</v>
      </c>
      <c r="B84" s="88">
        <v>161</v>
      </c>
      <c r="C84" s="88">
        <v>4</v>
      </c>
      <c r="D84" s="88" t="s">
        <v>248</v>
      </c>
      <c r="E84" s="88" t="s">
        <v>600</v>
      </c>
      <c r="F84" s="88" t="s">
        <v>679</v>
      </c>
      <c r="G84" s="88" t="s">
        <v>595</v>
      </c>
      <c r="H84" s="88" t="s">
        <v>596</v>
      </c>
    </row>
    <row r="85" spans="1:8" ht="28.8" x14ac:dyDescent="0.3">
      <c r="A85" s="88" t="s">
        <v>592</v>
      </c>
      <c r="B85" s="88">
        <v>161</v>
      </c>
      <c r="C85" s="88">
        <v>5</v>
      </c>
      <c r="D85" s="88" t="s">
        <v>248</v>
      </c>
      <c r="E85" s="88" t="s">
        <v>602</v>
      </c>
      <c r="F85" s="88" t="s">
        <v>680</v>
      </c>
      <c r="G85" s="88" t="s">
        <v>595</v>
      </c>
      <c r="H85" s="88" t="s">
        <v>596</v>
      </c>
    </row>
    <row r="86" spans="1:8" ht="28.8" x14ac:dyDescent="0.3">
      <c r="A86" s="88" t="s">
        <v>592</v>
      </c>
      <c r="B86" s="88">
        <v>161</v>
      </c>
      <c r="C86" s="88">
        <v>6</v>
      </c>
      <c r="D86" s="88" t="s">
        <v>248</v>
      </c>
      <c r="E86" s="88" t="s">
        <v>604</v>
      </c>
      <c r="F86" s="88" t="s">
        <v>681</v>
      </c>
      <c r="G86" s="88" t="s">
        <v>595</v>
      </c>
      <c r="H86" s="88" t="s">
        <v>596</v>
      </c>
    </row>
    <row r="87" spans="1:8" x14ac:dyDescent="0.3">
      <c r="A87" s="88" t="s">
        <v>592</v>
      </c>
      <c r="B87" s="88">
        <v>161</v>
      </c>
      <c r="C87" s="88">
        <v>7</v>
      </c>
      <c r="D87" s="88" t="s">
        <v>248</v>
      </c>
      <c r="E87" s="88" t="s">
        <v>606</v>
      </c>
      <c r="F87" s="88" t="s">
        <v>682</v>
      </c>
      <c r="G87" s="88" t="s">
        <v>595</v>
      </c>
      <c r="H87" s="88" t="s">
        <v>596</v>
      </c>
    </row>
    <row r="88" spans="1:8" ht="28.8" x14ac:dyDescent="0.3">
      <c r="A88" s="88" t="s">
        <v>592</v>
      </c>
      <c r="B88" s="88">
        <v>161</v>
      </c>
      <c r="C88" s="88">
        <v>8</v>
      </c>
      <c r="D88" s="88" t="s">
        <v>248</v>
      </c>
      <c r="E88" s="88" t="s">
        <v>608</v>
      </c>
      <c r="F88" s="88" t="s">
        <v>683</v>
      </c>
      <c r="G88" s="88" t="s">
        <v>595</v>
      </c>
      <c r="H88" s="88" t="s">
        <v>596</v>
      </c>
    </row>
    <row r="89" spans="1:8" ht="28.8" x14ac:dyDescent="0.3">
      <c r="A89" s="88" t="s">
        <v>592</v>
      </c>
      <c r="B89" s="88">
        <v>161</v>
      </c>
      <c r="C89" s="88">
        <v>9</v>
      </c>
      <c r="D89" s="88" t="s">
        <v>248</v>
      </c>
      <c r="E89" s="88" t="s">
        <v>610</v>
      </c>
      <c r="F89" s="88" t="s">
        <v>684</v>
      </c>
      <c r="G89" s="88" t="s">
        <v>595</v>
      </c>
      <c r="H89" s="88" t="s">
        <v>596</v>
      </c>
    </row>
    <row r="90" spans="1:8" x14ac:dyDescent="0.3">
      <c r="A90" s="88" t="s">
        <v>592</v>
      </c>
      <c r="B90" s="88">
        <v>161</v>
      </c>
      <c r="C90" s="88">
        <v>10</v>
      </c>
      <c r="D90" s="88" t="s">
        <v>248</v>
      </c>
      <c r="E90" s="88" t="s">
        <v>612</v>
      </c>
      <c r="F90" s="88" t="s">
        <v>685</v>
      </c>
      <c r="G90" s="88" t="s">
        <v>595</v>
      </c>
      <c r="H90" s="88" t="s">
        <v>596</v>
      </c>
    </row>
    <row r="91" spans="1:8" ht="28.8" x14ac:dyDescent="0.3">
      <c r="A91" s="88" t="s">
        <v>592</v>
      </c>
      <c r="B91" s="88">
        <v>161</v>
      </c>
      <c r="C91" s="88">
        <v>11</v>
      </c>
      <c r="D91" s="88" t="s">
        <v>248</v>
      </c>
      <c r="E91" s="88" t="s">
        <v>614</v>
      </c>
      <c r="F91" s="88" t="s">
        <v>686</v>
      </c>
      <c r="G91" s="88" t="s">
        <v>595</v>
      </c>
      <c r="H91" s="88" t="s">
        <v>596</v>
      </c>
    </row>
    <row r="92" spans="1:8" x14ac:dyDescent="0.3">
      <c r="A92" s="88" t="s">
        <v>592</v>
      </c>
      <c r="B92" s="88">
        <v>161</v>
      </c>
      <c r="C92" s="88">
        <v>12</v>
      </c>
      <c r="D92" s="88" t="s">
        <v>248</v>
      </c>
      <c r="E92" s="88" t="s">
        <v>616</v>
      </c>
      <c r="F92" s="88" t="s">
        <v>687</v>
      </c>
      <c r="G92" s="88" t="s">
        <v>595</v>
      </c>
      <c r="H92" s="88" t="s">
        <v>596</v>
      </c>
    </row>
    <row r="93" spans="1:8" x14ac:dyDescent="0.3">
      <c r="A93" s="88" t="s">
        <v>592</v>
      </c>
      <c r="B93" s="88">
        <v>161</v>
      </c>
      <c r="C93" s="88">
        <v>13</v>
      </c>
      <c r="D93" s="88" t="s">
        <v>248</v>
      </c>
      <c r="E93" s="88" t="s">
        <v>618</v>
      </c>
      <c r="F93" s="88" t="s">
        <v>688</v>
      </c>
      <c r="G93" s="88" t="s">
        <v>595</v>
      </c>
      <c r="H93" s="88" t="s">
        <v>596</v>
      </c>
    </row>
    <row r="94" spans="1:8" x14ac:dyDescent="0.3">
      <c r="A94" s="88" t="s">
        <v>592</v>
      </c>
      <c r="B94" s="88">
        <v>161</v>
      </c>
      <c r="C94" s="88">
        <v>14</v>
      </c>
      <c r="D94" s="88" t="s">
        <v>248</v>
      </c>
      <c r="E94" s="88" t="s">
        <v>620</v>
      </c>
      <c r="F94" s="88" t="s">
        <v>689</v>
      </c>
      <c r="G94" s="88" t="s">
        <v>595</v>
      </c>
      <c r="H94" s="88" t="s">
        <v>596</v>
      </c>
    </row>
    <row r="95" spans="1:8" x14ac:dyDescent="0.3">
      <c r="A95" s="88" t="s">
        <v>592</v>
      </c>
      <c r="B95" s="88">
        <v>161</v>
      </c>
      <c r="C95" s="88">
        <v>15</v>
      </c>
      <c r="D95" s="88" t="s">
        <v>248</v>
      </c>
      <c r="E95" s="88" t="s">
        <v>622</v>
      </c>
      <c r="F95" s="88" t="s">
        <v>690</v>
      </c>
      <c r="G95" s="88" t="s">
        <v>595</v>
      </c>
      <c r="H95" s="88" t="s">
        <v>596</v>
      </c>
    </row>
    <row r="96" spans="1:8" x14ac:dyDescent="0.3">
      <c r="A96" s="88" t="s">
        <v>592</v>
      </c>
      <c r="B96" s="88">
        <v>161</v>
      </c>
      <c r="C96" s="88">
        <v>16</v>
      </c>
      <c r="D96" s="88" t="s">
        <v>248</v>
      </c>
      <c r="E96" s="88" t="s">
        <v>624</v>
      </c>
      <c r="F96" s="88" t="s">
        <v>691</v>
      </c>
      <c r="G96" s="88" t="s">
        <v>595</v>
      </c>
      <c r="H96" s="88" t="s">
        <v>596</v>
      </c>
    </row>
    <row r="97" spans="1:8" x14ac:dyDescent="0.3">
      <c r="A97" s="88" t="s">
        <v>592</v>
      </c>
      <c r="B97" s="88">
        <v>161</v>
      </c>
      <c r="C97" s="88">
        <v>17</v>
      </c>
      <c r="D97" s="88" t="s">
        <v>248</v>
      </c>
      <c r="E97" s="88" t="s">
        <v>626</v>
      </c>
      <c r="F97" s="88" t="s">
        <v>625</v>
      </c>
      <c r="G97" s="88" t="s">
        <v>595</v>
      </c>
      <c r="H97" s="88" t="s">
        <v>596</v>
      </c>
    </row>
    <row r="98" spans="1:8" x14ac:dyDescent="0.3">
      <c r="A98" s="88" t="s">
        <v>592</v>
      </c>
      <c r="B98" s="88">
        <v>161</v>
      </c>
      <c r="C98" s="88">
        <v>18</v>
      </c>
      <c r="D98" s="88" t="s">
        <v>248</v>
      </c>
      <c r="E98" s="88" t="s">
        <v>628</v>
      </c>
      <c r="F98" s="88" t="s">
        <v>692</v>
      </c>
      <c r="G98" s="88" t="s">
        <v>595</v>
      </c>
      <c r="H98" s="88" t="s">
        <v>596</v>
      </c>
    </row>
    <row r="99" spans="1:8" x14ac:dyDescent="0.3">
      <c r="A99" s="88" t="s">
        <v>592</v>
      </c>
      <c r="B99" s="88">
        <v>161</v>
      </c>
      <c r="C99" s="88">
        <v>19</v>
      </c>
      <c r="D99" s="88" t="s">
        <v>248</v>
      </c>
      <c r="E99" s="88" t="s">
        <v>630</v>
      </c>
      <c r="F99" s="88" t="s">
        <v>693</v>
      </c>
      <c r="G99" s="88" t="s">
        <v>595</v>
      </c>
      <c r="H99" s="88" t="s">
        <v>596</v>
      </c>
    </row>
    <row r="100" spans="1:8" x14ac:dyDescent="0.3">
      <c r="A100" s="88" t="s">
        <v>592</v>
      </c>
      <c r="B100" s="88">
        <v>161</v>
      </c>
      <c r="C100" s="88">
        <v>20</v>
      </c>
      <c r="D100" s="88" t="s">
        <v>248</v>
      </c>
      <c r="E100" s="88" t="s">
        <v>632</v>
      </c>
      <c r="F100" s="88" t="s">
        <v>694</v>
      </c>
      <c r="G100" s="88" t="s">
        <v>595</v>
      </c>
      <c r="H100" s="88" t="s">
        <v>596</v>
      </c>
    </row>
    <row r="101" spans="1:8" x14ac:dyDescent="0.3">
      <c r="A101" s="88" t="s">
        <v>592</v>
      </c>
      <c r="B101" s="88">
        <v>161</v>
      </c>
      <c r="C101" s="88">
        <v>21</v>
      </c>
      <c r="D101" s="88" t="s">
        <v>248</v>
      </c>
      <c r="E101" s="88" t="s">
        <v>634</v>
      </c>
      <c r="F101" s="88" t="s">
        <v>695</v>
      </c>
      <c r="G101" s="88" t="s">
        <v>595</v>
      </c>
      <c r="H101" s="88" t="s">
        <v>596</v>
      </c>
    </row>
    <row r="102" spans="1:8" x14ac:dyDescent="0.3">
      <c r="A102" s="88" t="s">
        <v>592</v>
      </c>
      <c r="B102" s="88">
        <v>161</v>
      </c>
      <c r="C102" s="88">
        <v>22</v>
      </c>
      <c r="D102" s="88" t="s">
        <v>248</v>
      </c>
      <c r="E102" s="88" t="s">
        <v>636</v>
      </c>
      <c r="F102" s="88" t="s">
        <v>696</v>
      </c>
      <c r="G102" s="88" t="s">
        <v>595</v>
      </c>
      <c r="H102" s="88" t="s">
        <v>596</v>
      </c>
    </row>
    <row r="103" spans="1:8" x14ac:dyDescent="0.3">
      <c r="A103" s="88" t="s">
        <v>592</v>
      </c>
      <c r="B103" s="88">
        <v>161</v>
      </c>
      <c r="C103" s="88">
        <v>23</v>
      </c>
      <c r="D103" s="88" t="s">
        <v>248</v>
      </c>
      <c r="E103" s="88" t="s">
        <v>638</v>
      </c>
      <c r="F103" s="88" t="s">
        <v>637</v>
      </c>
      <c r="G103" s="88" t="s">
        <v>595</v>
      </c>
      <c r="H103" s="88" t="s">
        <v>596</v>
      </c>
    </row>
    <row r="104" spans="1:8" x14ac:dyDescent="0.3">
      <c r="A104" s="88" t="s">
        <v>592</v>
      </c>
      <c r="B104" s="88">
        <v>161</v>
      </c>
      <c r="C104" s="88">
        <v>24</v>
      </c>
      <c r="D104" s="88" t="s">
        <v>248</v>
      </c>
      <c r="E104" s="88" t="s">
        <v>640</v>
      </c>
      <c r="F104" s="88" t="s">
        <v>697</v>
      </c>
      <c r="G104" s="88" t="s">
        <v>595</v>
      </c>
      <c r="H104" s="88" t="s">
        <v>596</v>
      </c>
    </row>
    <row r="105" spans="1:8" x14ac:dyDescent="0.3">
      <c r="A105" s="88" t="s">
        <v>592</v>
      </c>
      <c r="B105" s="88">
        <v>161</v>
      </c>
      <c r="C105" s="88">
        <v>25</v>
      </c>
      <c r="D105" s="88" t="s">
        <v>248</v>
      </c>
      <c r="E105" s="88" t="s">
        <v>642</v>
      </c>
      <c r="F105" s="88" t="s">
        <v>698</v>
      </c>
      <c r="G105" s="88" t="s">
        <v>595</v>
      </c>
      <c r="H105" s="88" t="s">
        <v>596</v>
      </c>
    </row>
    <row r="106" spans="1:8" x14ac:dyDescent="0.3">
      <c r="A106" s="88" t="s">
        <v>592</v>
      </c>
      <c r="B106" s="88">
        <v>161</v>
      </c>
      <c r="C106" s="88">
        <v>26</v>
      </c>
      <c r="D106" s="88" t="s">
        <v>248</v>
      </c>
      <c r="E106" s="88" t="s">
        <v>644</v>
      </c>
      <c r="F106" s="88" t="s">
        <v>699</v>
      </c>
      <c r="G106" s="88" t="s">
        <v>595</v>
      </c>
      <c r="H106" s="88" t="s">
        <v>596</v>
      </c>
    </row>
    <row r="107" spans="1:8" x14ac:dyDescent="0.3">
      <c r="A107" s="88" t="s">
        <v>592</v>
      </c>
      <c r="B107" s="88">
        <v>161</v>
      </c>
      <c r="C107" s="88">
        <v>27</v>
      </c>
      <c r="D107" s="88" t="s">
        <v>248</v>
      </c>
      <c r="E107" s="88" t="s">
        <v>646</v>
      </c>
      <c r="F107" s="88" t="s">
        <v>700</v>
      </c>
      <c r="G107" s="88" t="s">
        <v>595</v>
      </c>
      <c r="H107" s="88" t="s">
        <v>596</v>
      </c>
    </row>
    <row r="108" spans="1:8" ht="28.8" x14ac:dyDescent="0.3">
      <c r="A108" s="88" t="s">
        <v>592</v>
      </c>
      <c r="B108" s="88">
        <v>161</v>
      </c>
      <c r="C108" s="88">
        <v>30</v>
      </c>
      <c r="D108" s="88" t="s">
        <v>248</v>
      </c>
      <c r="E108" s="88" t="s">
        <v>648</v>
      </c>
      <c r="F108" s="88" t="s">
        <v>701</v>
      </c>
      <c r="G108" s="88" t="s">
        <v>595</v>
      </c>
      <c r="H108" s="88" t="s">
        <v>596</v>
      </c>
    </row>
    <row r="109" spans="1:8" x14ac:dyDescent="0.3">
      <c r="A109" s="88" t="s">
        <v>592</v>
      </c>
      <c r="B109" s="88">
        <v>161</v>
      </c>
      <c r="C109" s="88">
        <v>32</v>
      </c>
      <c r="D109" s="88" t="s">
        <v>248</v>
      </c>
      <c r="E109" s="88" t="s">
        <v>650</v>
      </c>
      <c r="F109" s="88" t="s">
        <v>702</v>
      </c>
      <c r="G109" s="88" t="s">
        <v>595</v>
      </c>
      <c r="H109" s="88" t="s">
        <v>596</v>
      </c>
    </row>
    <row r="110" spans="1:8" x14ac:dyDescent="0.3">
      <c r="A110" s="88" t="s">
        <v>592</v>
      </c>
      <c r="B110" s="88">
        <v>161</v>
      </c>
      <c r="C110" s="88">
        <v>33</v>
      </c>
      <c r="D110" s="88" t="s">
        <v>248</v>
      </c>
      <c r="E110" s="88" t="s">
        <v>652</v>
      </c>
      <c r="F110" s="88" t="s">
        <v>703</v>
      </c>
      <c r="G110" s="88" t="s">
        <v>595</v>
      </c>
      <c r="H110" s="88" t="s">
        <v>596</v>
      </c>
    </row>
    <row r="111" spans="1:8" x14ac:dyDescent="0.3">
      <c r="A111" s="88" t="s">
        <v>592</v>
      </c>
      <c r="B111" s="88">
        <v>161</v>
      </c>
      <c r="C111" s="88">
        <v>34</v>
      </c>
      <c r="D111" s="88" t="s">
        <v>248</v>
      </c>
      <c r="E111" s="88" t="s">
        <v>654</v>
      </c>
      <c r="F111" s="88" t="s">
        <v>704</v>
      </c>
      <c r="G111" s="88" t="s">
        <v>595</v>
      </c>
      <c r="H111" s="88" t="s">
        <v>596</v>
      </c>
    </row>
    <row r="112" spans="1:8" x14ac:dyDescent="0.3">
      <c r="A112" s="88" t="s">
        <v>592</v>
      </c>
      <c r="B112" s="88">
        <v>161</v>
      </c>
      <c r="C112" s="88">
        <v>35</v>
      </c>
      <c r="D112" s="88" t="s">
        <v>248</v>
      </c>
      <c r="E112" s="88" t="s">
        <v>656</v>
      </c>
      <c r="F112" s="88" t="s">
        <v>705</v>
      </c>
      <c r="G112" s="88" t="s">
        <v>595</v>
      </c>
      <c r="H112" s="88" t="s">
        <v>596</v>
      </c>
    </row>
    <row r="113" spans="1:8" x14ac:dyDescent="0.3">
      <c r="A113" s="88" t="s">
        <v>592</v>
      </c>
      <c r="B113" s="88">
        <v>161</v>
      </c>
      <c r="C113" s="88">
        <v>36</v>
      </c>
      <c r="D113" s="88" t="s">
        <v>248</v>
      </c>
      <c r="E113" s="88" t="s">
        <v>658</v>
      </c>
      <c r="F113" s="88" t="s">
        <v>706</v>
      </c>
      <c r="G113" s="88" t="s">
        <v>595</v>
      </c>
      <c r="H113" s="88" t="s">
        <v>596</v>
      </c>
    </row>
    <row r="114" spans="1:8" ht="28.8" x14ac:dyDescent="0.3">
      <c r="A114" s="88" t="s">
        <v>592</v>
      </c>
      <c r="B114" s="88">
        <v>161</v>
      </c>
      <c r="C114" s="88">
        <v>37</v>
      </c>
      <c r="D114" s="88" t="s">
        <v>248</v>
      </c>
      <c r="E114" s="88" t="s">
        <v>660</v>
      </c>
      <c r="F114" s="88" t="s">
        <v>707</v>
      </c>
      <c r="G114" s="88" t="s">
        <v>595</v>
      </c>
      <c r="H114" s="88" t="s">
        <v>596</v>
      </c>
    </row>
    <row r="115" spans="1:8" x14ac:dyDescent="0.3">
      <c r="A115" s="88" t="s">
        <v>592</v>
      </c>
      <c r="B115" s="88">
        <v>161</v>
      </c>
      <c r="C115" s="88">
        <v>38</v>
      </c>
      <c r="D115" s="88" t="s">
        <v>248</v>
      </c>
      <c r="E115" s="88" t="s">
        <v>662</v>
      </c>
      <c r="F115" s="88" t="s">
        <v>708</v>
      </c>
      <c r="G115" s="88" t="s">
        <v>595</v>
      </c>
      <c r="H115" s="88" t="s">
        <v>596</v>
      </c>
    </row>
    <row r="116" spans="1:8" x14ac:dyDescent="0.3">
      <c r="A116" s="88" t="s">
        <v>592</v>
      </c>
      <c r="B116" s="88">
        <v>161</v>
      </c>
      <c r="C116" s="88">
        <v>39</v>
      </c>
      <c r="D116" s="88" t="s">
        <v>248</v>
      </c>
      <c r="E116" s="88" t="s">
        <v>664</v>
      </c>
      <c r="F116" s="88" t="s">
        <v>709</v>
      </c>
      <c r="G116" s="88" t="s">
        <v>595</v>
      </c>
      <c r="H116" s="88" t="s">
        <v>596</v>
      </c>
    </row>
    <row r="117" spans="1:8" ht="28.8" x14ac:dyDescent="0.3">
      <c r="A117" s="88" t="s">
        <v>592</v>
      </c>
      <c r="B117" s="88">
        <v>161</v>
      </c>
      <c r="C117" s="88">
        <v>40</v>
      </c>
      <c r="D117" s="88" t="s">
        <v>248</v>
      </c>
      <c r="E117" s="88" t="s">
        <v>666</v>
      </c>
      <c r="F117" s="88" t="s">
        <v>710</v>
      </c>
      <c r="G117" s="88" t="s">
        <v>595</v>
      </c>
      <c r="H117" s="88" t="s">
        <v>596</v>
      </c>
    </row>
    <row r="118" spans="1:8" ht="28.8" x14ac:dyDescent="0.3">
      <c r="A118" s="88" t="s">
        <v>592</v>
      </c>
      <c r="B118" s="88">
        <v>161</v>
      </c>
      <c r="C118" s="88">
        <v>41</v>
      </c>
      <c r="D118" s="88" t="s">
        <v>248</v>
      </c>
      <c r="E118" s="88" t="s">
        <v>668</v>
      </c>
      <c r="F118" s="88" t="s">
        <v>711</v>
      </c>
      <c r="G118" s="88" t="s">
        <v>595</v>
      </c>
      <c r="H118" s="88" t="s">
        <v>596</v>
      </c>
    </row>
    <row r="119" spans="1:8" x14ac:dyDescent="0.3">
      <c r="A119" s="88" t="s">
        <v>592</v>
      </c>
      <c r="B119" s="88">
        <v>161</v>
      </c>
      <c r="C119" s="88">
        <v>42</v>
      </c>
      <c r="D119" s="88" t="s">
        <v>248</v>
      </c>
      <c r="E119" s="88" t="s">
        <v>670</v>
      </c>
      <c r="F119" s="88" t="s">
        <v>712</v>
      </c>
      <c r="G119" s="88" t="s">
        <v>595</v>
      </c>
      <c r="H119" s="88" t="s">
        <v>596</v>
      </c>
    </row>
    <row r="120" spans="1:8" ht="28.8" x14ac:dyDescent="0.3">
      <c r="A120" s="88" t="s">
        <v>592</v>
      </c>
      <c r="B120" s="88">
        <v>161</v>
      </c>
      <c r="C120" s="88">
        <v>43</v>
      </c>
      <c r="D120" s="88" t="s">
        <v>248</v>
      </c>
      <c r="E120" s="88" t="s">
        <v>672</v>
      </c>
      <c r="F120" s="88" t="s">
        <v>713</v>
      </c>
      <c r="G120" s="88" t="s">
        <v>595</v>
      </c>
      <c r="H120" s="88" t="s">
        <v>596</v>
      </c>
    </row>
    <row r="121" spans="1:8" ht="28.8" x14ac:dyDescent="0.3">
      <c r="A121" s="88" t="s">
        <v>592</v>
      </c>
      <c r="B121" s="88">
        <v>161</v>
      </c>
      <c r="C121" s="88">
        <v>44</v>
      </c>
      <c r="D121" s="88" t="s">
        <v>248</v>
      </c>
      <c r="E121" s="88" t="s">
        <v>674</v>
      </c>
      <c r="F121" s="88" t="s">
        <v>714</v>
      </c>
      <c r="G121" s="88" t="s">
        <v>595</v>
      </c>
      <c r="H121" s="88" t="s">
        <v>596</v>
      </c>
    </row>
    <row r="122" spans="1:8" ht="28.8" x14ac:dyDescent="0.3">
      <c r="A122" s="88" t="s">
        <v>592</v>
      </c>
      <c r="B122" s="88">
        <v>161</v>
      </c>
      <c r="C122" s="88">
        <v>45</v>
      </c>
      <c r="D122" s="88" t="s">
        <v>248</v>
      </c>
      <c r="E122" s="88" t="s">
        <v>676</v>
      </c>
      <c r="F122" s="88" t="s">
        <v>715</v>
      </c>
      <c r="G122" s="88" t="s">
        <v>595</v>
      </c>
      <c r="H122" s="88" t="s">
        <v>596</v>
      </c>
    </row>
    <row r="123" spans="1:8" x14ac:dyDescent="0.3">
      <c r="A123" s="88" t="s">
        <v>716</v>
      </c>
      <c r="B123" s="88">
        <v>162</v>
      </c>
      <c r="C123" s="88">
        <v>2</v>
      </c>
      <c r="D123" s="88" t="s">
        <v>246</v>
      </c>
      <c r="E123" s="88" t="s">
        <v>593</v>
      </c>
      <c r="F123" s="88" t="s">
        <v>594</v>
      </c>
      <c r="G123" s="88" t="s">
        <v>595</v>
      </c>
      <c r="H123" s="88" t="s">
        <v>596</v>
      </c>
    </row>
    <row r="124" spans="1:8" ht="28.8" x14ac:dyDescent="0.3">
      <c r="A124" s="88" t="s">
        <v>716</v>
      </c>
      <c r="B124" s="88">
        <v>162</v>
      </c>
      <c r="C124" s="88">
        <v>3</v>
      </c>
      <c r="D124" s="88" t="s">
        <v>246</v>
      </c>
      <c r="E124" s="88" t="s">
        <v>597</v>
      </c>
      <c r="F124" s="88" t="s">
        <v>598</v>
      </c>
      <c r="G124" s="88" t="s">
        <v>595</v>
      </c>
      <c r="H124" s="88" t="s">
        <v>596</v>
      </c>
    </row>
    <row r="125" spans="1:8" x14ac:dyDescent="0.3">
      <c r="A125" s="88" t="s">
        <v>716</v>
      </c>
      <c r="B125" s="88">
        <v>162</v>
      </c>
      <c r="C125" s="88">
        <v>4</v>
      </c>
      <c r="D125" s="88" t="s">
        <v>246</v>
      </c>
      <c r="E125" s="88" t="s">
        <v>599</v>
      </c>
      <c r="F125" s="88" t="s">
        <v>600</v>
      </c>
      <c r="G125" s="88" t="s">
        <v>595</v>
      </c>
      <c r="H125" s="88" t="s">
        <v>596</v>
      </c>
    </row>
    <row r="126" spans="1:8" x14ac:dyDescent="0.3">
      <c r="A126" s="88" t="s">
        <v>716</v>
      </c>
      <c r="B126" s="88">
        <v>162</v>
      </c>
      <c r="C126" s="88">
        <v>5</v>
      </c>
      <c r="D126" s="88" t="s">
        <v>246</v>
      </c>
      <c r="E126" s="88" t="s">
        <v>601</v>
      </c>
      <c r="F126" s="88" t="s">
        <v>602</v>
      </c>
      <c r="G126" s="88" t="s">
        <v>595</v>
      </c>
      <c r="H126" s="88" t="s">
        <v>596</v>
      </c>
    </row>
    <row r="127" spans="1:8" ht="28.8" x14ac:dyDescent="0.3">
      <c r="A127" s="88" t="s">
        <v>716</v>
      </c>
      <c r="B127" s="88">
        <v>162</v>
      </c>
      <c r="C127" s="88">
        <v>6</v>
      </c>
      <c r="D127" s="88" t="s">
        <v>246</v>
      </c>
      <c r="E127" s="88" t="s">
        <v>603</v>
      </c>
      <c r="F127" s="88" t="s">
        <v>604</v>
      </c>
      <c r="G127" s="88" t="s">
        <v>595</v>
      </c>
      <c r="H127" s="88" t="s">
        <v>596</v>
      </c>
    </row>
    <row r="128" spans="1:8" x14ac:dyDescent="0.3">
      <c r="A128" s="88" t="s">
        <v>716</v>
      </c>
      <c r="B128" s="88">
        <v>162</v>
      </c>
      <c r="C128" s="88">
        <v>7</v>
      </c>
      <c r="D128" s="88" t="s">
        <v>246</v>
      </c>
      <c r="E128" s="88" t="s">
        <v>605</v>
      </c>
      <c r="F128" s="88" t="s">
        <v>606</v>
      </c>
      <c r="G128" s="88" t="s">
        <v>595</v>
      </c>
      <c r="H128" s="88" t="s">
        <v>596</v>
      </c>
    </row>
    <row r="129" spans="1:8" ht="28.8" x14ac:dyDescent="0.3">
      <c r="A129" s="88" t="s">
        <v>716</v>
      </c>
      <c r="B129" s="88">
        <v>162</v>
      </c>
      <c r="C129" s="88">
        <v>8</v>
      </c>
      <c r="D129" s="88" t="s">
        <v>246</v>
      </c>
      <c r="E129" s="88" t="s">
        <v>607</v>
      </c>
      <c r="F129" s="88" t="s">
        <v>608</v>
      </c>
      <c r="G129" s="88" t="s">
        <v>595</v>
      </c>
      <c r="H129" s="88" t="s">
        <v>596</v>
      </c>
    </row>
    <row r="130" spans="1:8" ht="28.8" x14ac:dyDescent="0.3">
      <c r="A130" s="88" t="s">
        <v>716</v>
      </c>
      <c r="B130" s="88">
        <v>162</v>
      </c>
      <c r="C130" s="88">
        <v>9</v>
      </c>
      <c r="D130" s="88" t="s">
        <v>246</v>
      </c>
      <c r="E130" s="88" t="s">
        <v>609</v>
      </c>
      <c r="F130" s="88" t="s">
        <v>610</v>
      </c>
      <c r="G130" s="88" t="s">
        <v>595</v>
      </c>
      <c r="H130" s="88" t="s">
        <v>596</v>
      </c>
    </row>
    <row r="131" spans="1:8" x14ac:dyDescent="0.3">
      <c r="A131" s="88" t="s">
        <v>716</v>
      </c>
      <c r="B131" s="88">
        <v>162</v>
      </c>
      <c r="C131" s="88">
        <v>10</v>
      </c>
      <c r="D131" s="88" t="s">
        <v>246</v>
      </c>
      <c r="E131" s="88" t="s">
        <v>611</v>
      </c>
      <c r="F131" s="88" t="s">
        <v>612</v>
      </c>
      <c r="G131" s="88" t="s">
        <v>595</v>
      </c>
      <c r="H131" s="88" t="s">
        <v>596</v>
      </c>
    </row>
    <row r="132" spans="1:8" x14ac:dyDescent="0.3">
      <c r="A132" s="88" t="s">
        <v>716</v>
      </c>
      <c r="B132" s="88">
        <v>162</v>
      </c>
      <c r="C132" s="88">
        <v>11</v>
      </c>
      <c r="D132" s="88" t="s">
        <v>246</v>
      </c>
      <c r="E132" s="88" t="s">
        <v>613</v>
      </c>
      <c r="F132" s="88" t="s">
        <v>614</v>
      </c>
      <c r="G132" s="88" t="s">
        <v>595</v>
      </c>
      <c r="H132" s="88" t="s">
        <v>596</v>
      </c>
    </row>
    <row r="133" spans="1:8" x14ac:dyDescent="0.3">
      <c r="A133" s="88" t="s">
        <v>716</v>
      </c>
      <c r="B133" s="88">
        <v>162</v>
      </c>
      <c r="C133" s="88">
        <v>12</v>
      </c>
      <c r="D133" s="88" t="s">
        <v>246</v>
      </c>
      <c r="E133" s="88" t="s">
        <v>615</v>
      </c>
      <c r="F133" s="88" t="s">
        <v>616</v>
      </c>
      <c r="G133" s="88" t="s">
        <v>595</v>
      </c>
      <c r="H133" s="88" t="s">
        <v>596</v>
      </c>
    </row>
    <row r="134" spans="1:8" x14ac:dyDescent="0.3">
      <c r="A134" s="88" t="s">
        <v>716</v>
      </c>
      <c r="B134" s="88">
        <v>162</v>
      </c>
      <c r="C134" s="88">
        <v>13</v>
      </c>
      <c r="D134" s="88" t="s">
        <v>246</v>
      </c>
      <c r="E134" s="88" t="s">
        <v>617</v>
      </c>
      <c r="F134" s="88" t="s">
        <v>618</v>
      </c>
      <c r="G134" s="88" t="s">
        <v>595</v>
      </c>
      <c r="H134" s="88" t="s">
        <v>596</v>
      </c>
    </row>
    <row r="135" spans="1:8" x14ac:dyDescent="0.3">
      <c r="A135" s="88" t="s">
        <v>716</v>
      </c>
      <c r="B135" s="88">
        <v>162</v>
      </c>
      <c r="C135" s="88">
        <v>14</v>
      </c>
      <c r="D135" s="88" t="s">
        <v>246</v>
      </c>
      <c r="E135" s="88" t="s">
        <v>619</v>
      </c>
      <c r="F135" s="88" t="s">
        <v>620</v>
      </c>
      <c r="G135" s="88" t="s">
        <v>595</v>
      </c>
      <c r="H135" s="88" t="s">
        <v>596</v>
      </c>
    </row>
    <row r="136" spans="1:8" x14ac:dyDescent="0.3">
      <c r="A136" s="88" t="s">
        <v>716</v>
      </c>
      <c r="B136" s="88">
        <v>162</v>
      </c>
      <c r="C136" s="88">
        <v>15</v>
      </c>
      <c r="D136" s="88" t="s">
        <v>246</v>
      </c>
      <c r="E136" s="88" t="s">
        <v>621</v>
      </c>
      <c r="F136" s="88" t="s">
        <v>622</v>
      </c>
      <c r="G136" s="88" t="s">
        <v>595</v>
      </c>
      <c r="H136" s="88" t="s">
        <v>596</v>
      </c>
    </row>
    <row r="137" spans="1:8" x14ac:dyDescent="0.3">
      <c r="A137" s="88" t="s">
        <v>716</v>
      </c>
      <c r="B137" s="88">
        <v>162</v>
      </c>
      <c r="C137" s="88">
        <v>16</v>
      </c>
      <c r="D137" s="88" t="s">
        <v>246</v>
      </c>
      <c r="E137" s="88" t="s">
        <v>623</v>
      </c>
      <c r="F137" s="88" t="s">
        <v>624</v>
      </c>
      <c r="G137" s="88" t="s">
        <v>595</v>
      </c>
      <c r="H137" s="88" t="s">
        <v>596</v>
      </c>
    </row>
    <row r="138" spans="1:8" x14ac:dyDescent="0.3">
      <c r="A138" s="88" t="s">
        <v>716</v>
      </c>
      <c r="B138" s="88">
        <v>162</v>
      </c>
      <c r="C138" s="88">
        <v>17</v>
      </c>
      <c r="D138" s="88" t="s">
        <v>246</v>
      </c>
      <c r="E138" s="88" t="s">
        <v>625</v>
      </c>
      <c r="F138" s="88" t="s">
        <v>626</v>
      </c>
      <c r="G138" s="88" t="s">
        <v>595</v>
      </c>
      <c r="H138" s="88" t="s">
        <v>596</v>
      </c>
    </row>
    <row r="139" spans="1:8" x14ac:dyDescent="0.3">
      <c r="A139" s="88" t="s">
        <v>716</v>
      </c>
      <c r="B139" s="88">
        <v>162</v>
      </c>
      <c r="C139" s="88">
        <v>18</v>
      </c>
      <c r="D139" s="88" t="s">
        <v>246</v>
      </c>
      <c r="E139" s="88" t="s">
        <v>627</v>
      </c>
      <c r="F139" s="88" t="s">
        <v>628</v>
      </c>
      <c r="G139" s="88" t="s">
        <v>595</v>
      </c>
      <c r="H139" s="88" t="s">
        <v>596</v>
      </c>
    </row>
    <row r="140" spans="1:8" x14ac:dyDescent="0.3">
      <c r="A140" s="88" t="s">
        <v>716</v>
      </c>
      <c r="B140" s="88">
        <v>162</v>
      </c>
      <c r="C140" s="88">
        <v>19</v>
      </c>
      <c r="D140" s="88" t="s">
        <v>246</v>
      </c>
      <c r="E140" s="88" t="s">
        <v>629</v>
      </c>
      <c r="F140" s="88" t="s">
        <v>630</v>
      </c>
      <c r="G140" s="88" t="s">
        <v>595</v>
      </c>
      <c r="H140" s="88" t="s">
        <v>596</v>
      </c>
    </row>
    <row r="141" spans="1:8" x14ac:dyDescent="0.3">
      <c r="A141" s="88" t="s">
        <v>716</v>
      </c>
      <c r="B141" s="88">
        <v>162</v>
      </c>
      <c r="C141" s="88">
        <v>20</v>
      </c>
      <c r="D141" s="88" t="s">
        <v>246</v>
      </c>
      <c r="E141" s="88" t="s">
        <v>631</v>
      </c>
      <c r="F141" s="88" t="s">
        <v>632</v>
      </c>
      <c r="G141" s="88" t="s">
        <v>595</v>
      </c>
      <c r="H141" s="88" t="s">
        <v>596</v>
      </c>
    </row>
    <row r="142" spans="1:8" x14ac:dyDescent="0.3">
      <c r="A142" s="88" t="s">
        <v>716</v>
      </c>
      <c r="B142" s="88">
        <v>162</v>
      </c>
      <c r="C142" s="88">
        <v>21</v>
      </c>
      <c r="D142" s="88" t="s">
        <v>246</v>
      </c>
      <c r="E142" s="88" t="s">
        <v>633</v>
      </c>
      <c r="F142" s="88" t="s">
        <v>634</v>
      </c>
      <c r="G142" s="88" t="s">
        <v>595</v>
      </c>
      <c r="H142" s="88" t="s">
        <v>596</v>
      </c>
    </row>
    <row r="143" spans="1:8" x14ac:dyDescent="0.3">
      <c r="A143" s="88" t="s">
        <v>716</v>
      </c>
      <c r="B143" s="88">
        <v>162</v>
      </c>
      <c r="C143" s="88">
        <v>22</v>
      </c>
      <c r="D143" s="88" t="s">
        <v>246</v>
      </c>
      <c r="E143" s="88" t="s">
        <v>635</v>
      </c>
      <c r="F143" s="88" t="s">
        <v>636</v>
      </c>
      <c r="G143" s="88" t="s">
        <v>595</v>
      </c>
      <c r="H143" s="88" t="s">
        <v>596</v>
      </c>
    </row>
    <row r="144" spans="1:8" x14ac:dyDescent="0.3">
      <c r="A144" s="88" t="s">
        <v>716</v>
      </c>
      <c r="B144" s="88">
        <v>162</v>
      </c>
      <c r="C144" s="88">
        <v>23</v>
      </c>
      <c r="D144" s="88" t="s">
        <v>246</v>
      </c>
      <c r="E144" s="88" t="s">
        <v>637</v>
      </c>
      <c r="F144" s="88" t="s">
        <v>638</v>
      </c>
      <c r="G144" s="88" t="s">
        <v>595</v>
      </c>
      <c r="H144" s="88" t="s">
        <v>596</v>
      </c>
    </row>
    <row r="145" spans="1:8" x14ac:dyDescent="0.3">
      <c r="A145" s="88" t="s">
        <v>716</v>
      </c>
      <c r="B145" s="88">
        <v>162</v>
      </c>
      <c r="C145" s="88">
        <v>24</v>
      </c>
      <c r="D145" s="88" t="s">
        <v>246</v>
      </c>
      <c r="E145" s="88" t="s">
        <v>639</v>
      </c>
      <c r="F145" s="88" t="s">
        <v>640</v>
      </c>
      <c r="G145" s="88" t="s">
        <v>595</v>
      </c>
      <c r="H145" s="88" t="s">
        <v>596</v>
      </c>
    </row>
    <row r="146" spans="1:8" x14ac:dyDescent="0.3">
      <c r="A146" s="88" t="s">
        <v>716</v>
      </c>
      <c r="B146" s="88">
        <v>162</v>
      </c>
      <c r="C146" s="88">
        <v>25</v>
      </c>
      <c r="D146" s="88" t="s">
        <v>246</v>
      </c>
      <c r="E146" s="88" t="s">
        <v>641</v>
      </c>
      <c r="F146" s="88" t="s">
        <v>642</v>
      </c>
      <c r="G146" s="88" t="s">
        <v>595</v>
      </c>
      <c r="H146" s="88" t="s">
        <v>596</v>
      </c>
    </row>
    <row r="147" spans="1:8" x14ac:dyDescent="0.3">
      <c r="A147" s="88" t="s">
        <v>716</v>
      </c>
      <c r="B147" s="88">
        <v>162</v>
      </c>
      <c r="C147" s="88">
        <v>26</v>
      </c>
      <c r="D147" s="88" t="s">
        <v>246</v>
      </c>
      <c r="E147" s="88" t="s">
        <v>643</v>
      </c>
      <c r="F147" s="88" t="s">
        <v>644</v>
      </c>
      <c r="G147" s="88" t="s">
        <v>595</v>
      </c>
      <c r="H147" s="88" t="s">
        <v>596</v>
      </c>
    </row>
    <row r="148" spans="1:8" x14ac:dyDescent="0.3">
      <c r="A148" s="88" t="s">
        <v>716</v>
      </c>
      <c r="B148" s="88">
        <v>162</v>
      </c>
      <c r="C148" s="88">
        <v>27</v>
      </c>
      <c r="D148" s="88" t="s">
        <v>246</v>
      </c>
      <c r="E148" s="88" t="s">
        <v>645</v>
      </c>
      <c r="F148" s="88" t="s">
        <v>646</v>
      </c>
      <c r="G148" s="88" t="s">
        <v>595</v>
      </c>
      <c r="H148" s="88" t="s">
        <v>596</v>
      </c>
    </row>
    <row r="149" spans="1:8" ht="28.8" x14ac:dyDescent="0.3">
      <c r="A149" s="88" t="s">
        <v>716</v>
      </c>
      <c r="B149" s="88">
        <v>162</v>
      </c>
      <c r="C149" s="88">
        <v>30</v>
      </c>
      <c r="D149" s="88" t="s">
        <v>246</v>
      </c>
      <c r="E149" s="88" t="s">
        <v>647</v>
      </c>
      <c r="F149" s="88" t="s">
        <v>648</v>
      </c>
      <c r="G149" s="88" t="s">
        <v>595</v>
      </c>
      <c r="H149" s="88" t="s">
        <v>596</v>
      </c>
    </row>
    <row r="150" spans="1:8" x14ac:dyDescent="0.3">
      <c r="A150" s="88" t="s">
        <v>716</v>
      </c>
      <c r="B150" s="88">
        <v>162</v>
      </c>
      <c r="C150" s="88">
        <v>32</v>
      </c>
      <c r="D150" s="88" t="s">
        <v>246</v>
      </c>
      <c r="E150" s="88" t="s">
        <v>649</v>
      </c>
      <c r="F150" s="88" t="s">
        <v>650</v>
      </c>
      <c r="G150" s="88" t="s">
        <v>595</v>
      </c>
      <c r="H150" s="88" t="s">
        <v>596</v>
      </c>
    </row>
    <row r="151" spans="1:8" x14ac:dyDescent="0.3">
      <c r="A151" s="88" t="s">
        <v>716</v>
      </c>
      <c r="B151" s="88">
        <v>162</v>
      </c>
      <c r="C151" s="88">
        <v>33</v>
      </c>
      <c r="D151" s="88" t="s">
        <v>246</v>
      </c>
      <c r="E151" s="88" t="s">
        <v>651</v>
      </c>
      <c r="F151" s="88" t="s">
        <v>652</v>
      </c>
      <c r="G151" s="88" t="s">
        <v>595</v>
      </c>
      <c r="H151" s="88" t="s">
        <v>596</v>
      </c>
    </row>
    <row r="152" spans="1:8" x14ac:dyDescent="0.3">
      <c r="A152" s="88" t="s">
        <v>716</v>
      </c>
      <c r="B152" s="88">
        <v>162</v>
      </c>
      <c r="C152" s="88">
        <v>34</v>
      </c>
      <c r="D152" s="88" t="s">
        <v>246</v>
      </c>
      <c r="E152" s="88" t="s">
        <v>653</v>
      </c>
      <c r="F152" s="88" t="s">
        <v>654</v>
      </c>
      <c r="G152" s="88" t="s">
        <v>595</v>
      </c>
      <c r="H152" s="88" t="s">
        <v>596</v>
      </c>
    </row>
    <row r="153" spans="1:8" x14ac:dyDescent="0.3">
      <c r="A153" s="88" t="s">
        <v>716</v>
      </c>
      <c r="B153" s="88">
        <v>162</v>
      </c>
      <c r="C153" s="88">
        <v>35</v>
      </c>
      <c r="D153" s="88" t="s">
        <v>246</v>
      </c>
      <c r="E153" s="88" t="s">
        <v>655</v>
      </c>
      <c r="F153" s="88" t="s">
        <v>656</v>
      </c>
      <c r="G153" s="88" t="s">
        <v>595</v>
      </c>
      <c r="H153" s="88" t="s">
        <v>596</v>
      </c>
    </row>
    <row r="154" spans="1:8" x14ac:dyDescent="0.3">
      <c r="A154" s="88" t="s">
        <v>716</v>
      </c>
      <c r="B154" s="88">
        <v>162</v>
      </c>
      <c r="C154" s="88">
        <v>36</v>
      </c>
      <c r="D154" s="88" t="s">
        <v>246</v>
      </c>
      <c r="E154" s="88" t="s">
        <v>657</v>
      </c>
      <c r="F154" s="88" t="s">
        <v>658</v>
      </c>
      <c r="G154" s="88" t="s">
        <v>595</v>
      </c>
      <c r="H154" s="88" t="s">
        <v>596</v>
      </c>
    </row>
    <row r="155" spans="1:8" ht="28.8" x14ac:dyDescent="0.3">
      <c r="A155" s="88" t="s">
        <v>716</v>
      </c>
      <c r="B155" s="88">
        <v>162</v>
      </c>
      <c r="C155" s="88">
        <v>37</v>
      </c>
      <c r="D155" s="88" t="s">
        <v>246</v>
      </c>
      <c r="E155" s="88" t="s">
        <v>659</v>
      </c>
      <c r="F155" s="88" t="s">
        <v>660</v>
      </c>
      <c r="G155" s="88" t="s">
        <v>595</v>
      </c>
      <c r="H155" s="88" t="s">
        <v>596</v>
      </c>
    </row>
    <row r="156" spans="1:8" ht="28.8" x14ac:dyDescent="0.3">
      <c r="A156" s="88" t="s">
        <v>716</v>
      </c>
      <c r="B156" s="88">
        <v>162</v>
      </c>
      <c r="C156" s="88">
        <v>38</v>
      </c>
      <c r="D156" s="88" t="s">
        <v>246</v>
      </c>
      <c r="E156" s="88" t="s">
        <v>661</v>
      </c>
      <c r="F156" s="88" t="s">
        <v>662</v>
      </c>
      <c r="G156" s="88" t="s">
        <v>595</v>
      </c>
      <c r="H156" s="88" t="s">
        <v>596</v>
      </c>
    </row>
    <row r="157" spans="1:8" x14ac:dyDescent="0.3">
      <c r="A157" s="88" t="s">
        <v>716</v>
      </c>
      <c r="B157" s="88">
        <v>162</v>
      </c>
      <c r="C157" s="88">
        <v>39</v>
      </c>
      <c r="D157" s="88" t="s">
        <v>246</v>
      </c>
      <c r="E157" s="88" t="s">
        <v>663</v>
      </c>
      <c r="F157" s="88" t="s">
        <v>664</v>
      </c>
      <c r="G157" s="88" t="s">
        <v>595</v>
      </c>
      <c r="H157" s="88" t="s">
        <v>596</v>
      </c>
    </row>
    <row r="158" spans="1:8" ht="28.8" x14ac:dyDescent="0.3">
      <c r="A158" s="88" t="s">
        <v>716</v>
      </c>
      <c r="B158" s="88">
        <v>162</v>
      </c>
      <c r="C158" s="88">
        <v>40</v>
      </c>
      <c r="D158" s="88" t="s">
        <v>246</v>
      </c>
      <c r="E158" s="88" t="s">
        <v>665</v>
      </c>
      <c r="F158" s="88" t="s">
        <v>666</v>
      </c>
      <c r="G158" s="88" t="s">
        <v>595</v>
      </c>
      <c r="H158" s="88" t="s">
        <v>596</v>
      </c>
    </row>
    <row r="159" spans="1:8" ht="28.8" x14ac:dyDescent="0.3">
      <c r="A159" s="88" t="s">
        <v>716</v>
      </c>
      <c r="B159" s="88">
        <v>162</v>
      </c>
      <c r="C159" s="88">
        <v>41</v>
      </c>
      <c r="D159" s="88" t="s">
        <v>246</v>
      </c>
      <c r="E159" s="88" t="s">
        <v>667</v>
      </c>
      <c r="F159" s="88" t="s">
        <v>668</v>
      </c>
      <c r="G159" s="88" t="s">
        <v>595</v>
      </c>
      <c r="H159" s="88" t="s">
        <v>596</v>
      </c>
    </row>
    <row r="160" spans="1:8" x14ac:dyDescent="0.3">
      <c r="A160" s="88" t="s">
        <v>716</v>
      </c>
      <c r="B160" s="88">
        <v>162</v>
      </c>
      <c r="C160" s="88">
        <v>42</v>
      </c>
      <c r="D160" s="88" t="s">
        <v>246</v>
      </c>
      <c r="E160" s="88" t="s">
        <v>669</v>
      </c>
      <c r="F160" s="88" t="s">
        <v>670</v>
      </c>
      <c r="G160" s="88" t="s">
        <v>595</v>
      </c>
      <c r="H160" s="88" t="s">
        <v>596</v>
      </c>
    </row>
    <row r="161" spans="1:8" ht="28.8" x14ac:dyDescent="0.3">
      <c r="A161" s="88" t="s">
        <v>716</v>
      </c>
      <c r="B161" s="88">
        <v>162</v>
      </c>
      <c r="C161" s="88">
        <v>43</v>
      </c>
      <c r="D161" s="88" t="s">
        <v>246</v>
      </c>
      <c r="E161" s="88" t="s">
        <v>671</v>
      </c>
      <c r="F161" s="88" t="s">
        <v>672</v>
      </c>
      <c r="G161" s="88" t="s">
        <v>595</v>
      </c>
      <c r="H161" s="88" t="s">
        <v>596</v>
      </c>
    </row>
    <row r="162" spans="1:8" x14ac:dyDescent="0.3">
      <c r="A162" s="88" t="s">
        <v>716</v>
      </c>
      <c r="B162" s="88">
        <v>162</v>
      </c>
      <c r="C162" s="88">
        <v>44</v>
      </c>
      <c r="D162" s="88" t="s">
        <v>246</v>
      </c>
      <c r="E162" s="88" t="s">
        <v>673</v>
      </c>
      <c r="F162" s="88" t="s">
        <v>674</v>
      </c>
      <c r="G162" s="88" t="s">
        <v>595</v>
      </c>
      <c r="H162" s="88" t="s">
        <v>596</v>
      </c>
    </row>
    <row r="163" spans="1:8" ht="28.8" x14ac:dyDescent="0.3">
      <c r="A163" s="88" t="s">
        <v>716</v>
      </c>
      <c r="B163" s="88">
        <v>162</v>
      </c>
      <c r="C163" s="88">
        <v>45</v>
      </c>
      <c r="D163" s="88" t="s">
        <v>246</v>
      </c>
      <c r="E163" s="88" t="s">
        <v>675</v>
      </c>
      <c r="F163" s="88" t="s">
        <v>676</v>
      </c>
      <c r="G163" s="88" t="s">
        <v>595</v>
      </c>
      <c r="H163" s="88" t="s">
        <v>596</v>
      </c>
    </row>
    <row r="164" spans="1:8" x14ac:dyDescent="0.3">
      <c r="A164" s="88" t="s">
        <v>716</v>
      </c>
      <c r="B164" s="88">
        <v>163</v>
      </c>
      <c r="C164" s="88">
        <v>2</v>
      </c>
      <c r="D164" s="88" t="s">
        <v>247</v>
      </c>
      <c r="E164" s="88" t="s">
        <v>677</v>
      </c>
      <c r="F164" s="88" t="s">
        <v>593</v>
      </c>
      <c r="G164" s="88" t="s">
        <v>595</v>
      </c>
      <c r="H164" s="88" t="s">
        <v>596</v>
      </c>
    </row>
    <row r="165" spans="1:8" ht="28.8" x14ac:dyDescent="0.3">
      <c r="A165" s="88" t="s">
        <v>716</v>
      </c>
      <c r="B165" s="88">
        <v>163</v>
      </c>
      <c r="C165" s="88">
        <v>3</v>
      </c>
      <c r="D165" s="88" t="s">
        <v>247</v>
      </c>
      <c r="E165" s="88" t="s">
        <v>678</v>
      </c>
      <c r="F165" s="88" t="s">
        <v>597</v>
      </c>
      <c r="G165" s="88" t="s">
        <v>595</v>
      </c>
      <c r="H165" s="88" t="s">
        <v>596</v>
      </c>
    </row>
    <row r="166" spans="1:8" x14ac:dyDescent="0.3">
      <c r="A166" s="88" t="s">
        <v>716</v>
      </c>
      <c r="B166" s="88">
        <v>163</v>
      </c>
      <c r="C166" s="88">
        <v>4</v>
      </c>
      <c r="D166" s="88" t="s">
        <v>247</v>
      </c>
      <c r="E166" s="88" t="s">
        <v>679</v>
      </c>
      <c r="F166" s="88" t="s">
        <v>599</v>
      </c>
      <c r="G166" s="88" t="s">
        <v>595</v>
      </c>
      <c r="H166" s="88" t="s">
        <v>596</v>
      </c>
    </row>
    <row r="167" spans="1:8" ht="28.8" x14ac:dyDescent="0.3">
      <c r="A167" s="88" t="s">
        <v>716</v>
      </c>
      <c r="B167" s="88">
        <v>163</v>
      </c>
      <c r="C167" s="88">
        <v>5</v>
      </c>
      <c r="D167" s="88" t="s">
        <v>247</v>
      </c>
      <c r="E167" s="88" t="s">
        <v>680</v>
      </c>
      <c r="F167" s="88" t="s">
        <v>601</v>
      </c>
      <c r="G167" s="88" t="s">
        <v>595</v>
      </c>
      <c r="H167" s="88" t="s">
        <v>596</v>
      </c>
    </row>
    <row r="168" spans="1:8" ht="28.8" x14ac:dyDescent="0.3">
      <c r="A168" s="88" t="s">
        <v>716</v>
      </c>
      <c r="B168" s="88">
        <v>163</v>
      </c>
      <c r="C168" s="88">
        <v>6</v>
      </c>
      <c r="D168" s="88" t="s">
        <v>247</v>
      </c>
      <c r="E168" s="88" t="s">
        <v>681</v>
      </c>
      <c r="F168" s="88" t="s">
        <v>603</v>
      </c>
      <c r="G168" s="88" t="s">
        <v>595</v>
      </c>
      <c r="H168" s="88" t="s">
        <v>596</v>
      </c>
    </row>
    <row r="169" spans="1:8" x14ac:dyDescent="0.3">
      <c r="A169" s="88" t="s">
        <v>716</v>
      </c>
      <c r="B169" s="88">
        <v>163</v>
      </c>
      <c r="C169" s="88">
        <v>7</v>
      </c>
      <c r="D169" s="88" t="s">
        <v>247</v>
      </c>
      <c r="E169" s="88" t="s">
        <v>682</v>
      </c>
      <c r="F169" s="88" t="s">
        <v>605</v>
      </c>
      <c r="G169" s="88" t="s">
        <v>595</v>
      </c>
      <c r="H169" s="88" t="s">
        <v>596</v>
      </c>
    </row>
    <row r="170" spans="1:8" x14ac:dyDescent="0.3">
      <c r="A170" s="88" t="s">
        <v>716</v>
      </c>
      <c r="B170" s="88">
        <v>163</v>
      </c>
      <c r="C170" s="88">
        <v>8</v>
      </c>
      <c r="D170" s="88" t="s">
        <v>247</v>
      </c>
      <c r="E170" s="88" t="s">
        <v>683</v>
      </c>
      <c r="F170" s="88" t="s">
        <v>607</v>
      </c>
      <c r="G170" s="88" t="s">
        <v>595</v>
      </c>
      <c r="H170" s="88" t="s">
        <v>596</v>
      </c>
    </row>
    <row r="171" spans="1:8" ht="28.8" x14ac:dyDescent="0.3">
      <c r="A171" s="88" t="s">
        <v>716</v>
      </c>
      <c r="B171" s="88">
        <v>163</v>
      </c>
      <c r="C171" s="88">
        <v>9</v>
      </c>
      <c r="D171" s="88" t="s">
        <v>247</v>
      </c>
      <c r="E171" s="88" t="s">
        <v>684</v>
      </c>
      <c r="F171" s="88" t="s">
        <v>609</v>
      </c>
      <c r="G171" s="88" t="s">
        <v>595</v>
      </c>
      <c r="H171" s="88" t="s">
        <v>596</v>
      </c>
    </row>
    <row r="172" spans="1:8" x14ac:dyDescent="0.3">
      <c r="A172" s="88" t="s">
        <v>716</v>
      </c>
      <c r="B172" s="88">
        <v>163</v>
      </c>
      <c r="C172" s="88">
        <v>10</v>
      </c>
      <c r="D172" s="88" t="s">
        <v>247</v>
      </c>
      <c r="E172" s="88" t="s">
        <v>685</v>
      </c>
      <c r="F172" s="88" t="s">
        <v>611</v>
      </c>
      <c r="G172" s="88" t="s">
        <v>595</v>
      </c>
      <c r="H172" s="88" t="s">
        <v>596</v>
      </c>
    </row>
    <row r="173" spans="1:8" ht="28.8" x14ac:dyDescent="0.3">
      <c r="A173" s="88" t="s">
        <v>716</v>
      </c>
      <c r="B173" s="88">
        <v>163</v>
      </c>
      <c r="C173" s="88">
        <v>11</v>
      </c>
      <c r="D173" s="88" t="s">
        <v>247</v>
      </c>
      <c r="E173" s="88" t="s">
        <v>686</v>
      </c>
      <c r="F173" s="88" t="s">
        <v>613</v>
      </c>
      <c r="G173" s="88" t="s">
        <v>595</v>
      </c>
      <c r="H173" s="88" t="s">
        <v>596</v>
      </c>
    </row>
    <row r="174" spans="1:8" x14ac:dyDescent="0.3">
      <c r="A174" s="88" t="s">
        <v>716</v>
      </c>
      <c r="B174" s="88">
        <v>163</v>
      </c>
      <c r="C174" s="88">
        <v>12</v>
      </c>
      <c r="D174" s="88" t="s">
        <v>247</v>
      </c>
      <c r="E174" s="88" t="s">
        <v>687</v>
      </c>
      <c r="F174" s="88" t="s">
        <v>615</v>
      </c>
      <c r="G174" s="88" t="s">
        <v>595</v>
      </c>
      <c r="H174" s="88" t="s">
        <v>596</v>
      </c>
    </row>
    <row r="175" spans="1:8" x14ac:dyDescent="0.3">
      <c r="A175" s="88" t="s">
        <v>716</v>
      </c>
      <c r="B175" s="88">
        <v>163</v>
      </c>
      <c r="C175" s="88">
        <v>13</v>
      </c>
      <c r="D175" s="88" t="s">
        <v>247</v>
      </c>
      <c r="E175" s="88" t="s">
        <v>688</v>
      </c>
      <c r="F175" s="88" t="s">
        <v>617</v>
      </c>
      <c r="G175" s="88" t="s">
        <v>595</v>
      </c>
      <c r="H175" s="88" t="s">
        <v>596</v>
      </c>
    </row>
    <row r="176" spans="1:8" x14ac:dyDescent="0.3">
      <c r="A176" s="88" t="s">
        <v>716</v>
      </c>
      <c r="B176" s="88">
        <v>163</v>
      </c>
      <c r="C176" s="88">
        <v>14</v>
      </c>
      <c r="D176" s="88" t="s">
        <v>247</v>
      </c>
      <c r="E176" s="88" t="s">
        <v>689</v>
      </c>
      <c r="F176" s="88" t="s">
        <v>619</v>
      </c>
      <c r="G176" s="88" t="s">
        <v>595</v>
      </c>
      <c r="H176" s="88" t="s">
        <v>596</v>
      </c>
    </row>
    <row r="177" spans="1:8" x14ac:dyDescent="0.3">
      <c r="A177" s="88" t="s">
        <v>716</v>
      </c>
      <c r="B177" s="88">
        <v>163</v>
      </c>
      <c r="C177" s="88">
        <v>15</v>
      </c>
      <c r="D177" s="88" t="s">
        <v>247</v>
      </c>
      <c r="E177" s="88" t="s">
        <v>690</v>
      </c>
      <c r="F177" s="88" t="s">
        <v>621</v>
      </c>
      <c r="G177" s="88" t="s">
        <v>595</v>
      </c>
      <c r="H177" s="88" t="s">
        <v>596</v>
      </c>
    </row>
    <row r="178" spans="1:8" x14ac:dyDescent="0.3">
      <c r="A178" s="88" t="s">
        <v>716</v>
      </c>
      <c r="B178" s="88">
        <v>163</v>
      </c>
      <c r="C178" s="88">
        <v>16</v>
      </c>
      <c r="D178" s="88" t="s">
        <v>247</v>
      </c>
      <c r="E178" s="88" t="s">
        <v>691</v>
      </c>
      <c r="F178" s="88" t="s">
        <v>623</v>
      </c>
      <c r="G178" s="88" t="s">
        <v>595</v>
      </c>
      <c r="H178" s="88" t="s">
        <v>596</v>
      </c>
    </row>
    <row r="179" spans="1:8" x14ac:dyDescent="0.3">
      <c r="A179" s="88" t="s">
        <v>716</v>
      </c>
      <c r="B179" s="88">
        <v>163</v>
      </c>
      <c r="C179" s="88">
        <v>18</v>
      </c>
      <c r="D179" s="88" t="s">
        <v>247</v>
      </c>
      <c r="E179" s="88" t="s">
        <v>692</v>
      </c>
      <c r="F179" s="88" t="s">
        <v>627</v>
      </c>
      <c r="G179" s="88" t="s">
        <v>595</v>
      </c>
      <c r="H179" s="88" t="s">
        <v>596</v>
      </c>
    </row>
    <row r="180" spans="1:8" x14ac:dyDescent="0.3">
      <c r="A180" s="88" t="s">
        <v>716</v>
      </c>
      <c r="B180" s="88">
        <v>163</v>
      </c>
      <c r="C180" s="88">
        <v>19</v>
      </c>
      <c r="D180" s="88" t="s">
        <v>247</v>
      </c>
      <c r="E180" s="88" t="s">
        <v>693</v>
      </c>
      <c r="F180" s="88" t="s">
        <v>629</v>
      </c>
      <c r="G180" s="88" t="s">
        <v>595</v>
      </c>
      <c r="H180" s="88" t="s">
        <v>596</v>
      </c>
    </row>
    <row r="181" spans="1:8" x14ac:dyDescent="0.3">
      <c r="A181" s="88" t="s">
        <v>716</v>
      </c>
      <c r="B181" s="88">
        <v>163</v>
      </c>
      <c r="C181" s="88">
        <v>20</v>
      </c>
      <c r="D181" s="88" t="s">
        <v>247</v>
      </c>
      <c r="E181" s="88" t="s">
        <v>694</v>
      </c>
      <c r="F181" s="88" t="s">
        <v>631</v>
      </c>
      <c r="G181" s="88" t="s">
        <v>595</v>
      </c>
      <c r="H181" s="88" t="s">
        <v>596</v>
      </c>
    </row>
    <row r="182" spans="1:8" x14ac:dyDescent="0.3">
      <c r="A182" s="88" t="s">
        <v>716</v>
      </c>
      <c r="B182" s="88">
        <v>163</v>
      </c>
      <c r="C182" s="88">
        <v>21</v>
      </c>
      <c r="D182" s="88" t="s">
        <v>247</v>
      </c>
      <c r="E182" s="88" t="s">
        <v>695</v>
      </c>
      <c r="F182" s="88" t="s">
        <v>633</v>
      </c>
      <c r="G182" s="88" t="s">
        <v>595</v>
      </c>
      <c r="H182" s="88" t="s">
        <v>596</v>
      </c>
    </row>
    <row r="183" spans="1:8" x14ac:dyDescent="0.3">
      <c r="A183" s="88" t="s">
        <v>716</v>
      </c>
      <c r="B183" s="88">
        <v>163</v>
      </c>
      <c r="C183" s="88">
        <v>22</v>
      </c>
      <c r="D183" s="88" t="s">
        <v>247</v>
      </c>
      <c r="E183" s="88" t="s">
        <v>696</v>
      </c>
      <c r="F183" s="88" t="s">
        <v>635</v>
      </c>
      <c r="G183" s="88" t="s">
        <v>595</v>
      </c>
      <c r="H183" s="88" t="s">
        <v>596</v>
      </c>
    </row>
    <row r="184" spans="1:8" x14ac:dyDescent="0.3">
      <c r="A184" s="88" t="s">
        <v>716</v>
      </c>
      <c r="B184" s="88">
        <v>163</v>
      </c>
      <c r="C184" s="88">
        <v>24</v>
      </c>
      <c r="D184" s="88" t="s">
        <v>247</v>
      </c>
      <c r="E184" s="88" t="s">
        <v>697</v>
      </c>
      <c r="F184" s="88" t="s">
        <v>639</v>
      </c>
      <c r="G184" s="88" t="s">
        <v>595</v>
      </c>
      <c r="H184" s="88" t="s">
        <v>596</v>
      </c>
    </row>
    <row r="185" spans="1:8" x14ac:dyDescent="0.3">
      <c r="A185" s="88" t="s">
        <v>716</v>
      </c>
      <c r="B185" s="88">
        <v>163</v>
      </c>
      <c r="C185" s="88">
        <v>25</v>
      </c>
      <c r="D185" s="88" t="s">
        <v>247</v>
      </c>
      <c r="E185" s="88" t="s">
        <v>698</v>
      </c>
      <c r="F185" s="88" t="s">
        <v>641</v>
      </c>
      <c r="G185" s="88" t="s">
        <v>595</v>
      </c>
      <c r="H185" s="88" t="s">
        <v>596</v>
      </c>
    </row>
    <row r="186" spans="1:8" x14ac:dyDescent="0.3">
      <c r="A186" s="88" t="s">
        <v>716</v>
      </c>
      <c r="B186" s="88">
        <v>163</v>
      </c>
      <c r="C186" s="88">
        <v>26</v>
      </c>
      <c r="D186" s="88" t="s">
        <v>247</v>
      </c>
      <c r="E186" s="88" t="s">
        <v>699</v>
      </c>
      <c r="F186" s="88" t="s">
        <v>643</v>
      </c>
      <c r="G186" s="88" t="s">
        <v>595</v>
      </c>
      <c r="H186" s="88" t="s">
        <v>596</v>
      </c>
    </row>
    <row r="187" spans="1:8" x14ac:dyDescent="0.3">
      <c r="A187" s="88" t="s">
        <v>716</v>
      </c>
      <c r="B187" s="88">
        <v>163</v>
      </c>
      <c r="C187" s="88">
        <v>27</v>
      </c>
      <c r="D187" s="88" t="s">
        <v>247</v>
      </c>
      <c r="E187" s="88" t="s">
        <v>700</v>
      </c>
      <c r="F187" s="88" t="s">
        <v>645</v>
      </c>
      <c r="G187" s="88" t="s">
        <v>595</v>
      </c>
      <c r="H187" s="88" t="s">
        <v>596</v>
      </c>
    </row>
    <row r="188" spans="1:8" ht="28.8" x14ac:dyDescent="0.3">
      <c r="A188" s="88" t="s">
        <v>716</v>
      </c>
      <c r="B188" s="88">
        <v>163</v>
      </c>
      <c r="C188" s="88">
        <v>30</v>
      </c>
      <c r="D188" s="88" t="s">
        <v>247</v>
      </c>
      <c r="E188" s="88" t="s">
        <v>701</v>
      </c>
      <c r="F188" s="88" t="s">
        <v>647</v>
      </c>
      <c r="G188" s="88" t="s">
        <v>595</v>
      </c>
      <c r="H188" s="88" t="s">
        <v>596</v>
      </c>
    </row>
    <row r="189" spans="1:8" x14ac:dyDescent="0.3">
      <c r="A189" s="88" t="s">
        <v>716</v>
      </c>
      <c r="B189" s="88">
        <v>163</v>
      </c>
      <c r="C189" s="88">
        <v>32</v>
      </c>
      <c r="D189" s="88" t="s">
        <v>247</v>
      </c>
      <c r="E189" s="88" t="s">
        <v>702</v>
      </c>
      <c r="F189" s="88" t="s">
        <v>649</v>
      </c>
      <c r="G189" s="88" t="s">
        <v>595</v>
      </c>
      <c r="H189" s="88" t="s">
        <v>596</v>
      </c>
    </row>
    <row r="190" spans="1:8" x14ac:dyDescent="0.3">
      <c r="A190" s="88" t="s">
        <v>716</v>
      </c>
      <c r="B190" s="88">
        <v>163</v>
      </c>
      <c r="C190" s="88">
        <v>33</v>
      </c>
      <c r="D190" s="88" t="s">
        <v>247</v>
      </c>
      <c r="E190" s="88" t="s">
        <v>703</v>
      </c>
      <c r="F190" s="88" t="s">
        <v>651</v>
      </c>
      <c r="G190" s="88" t="s">
        <v>595</v>
      </c>
      <c r="H190" s="88" t="s">
        <v>596</v>
      </c>
    </row>
    <row r="191" spans="1:8" x14ac:dyDescent="0.3">
      <c r="A191" s="88" t="s">
        <v>716</v>
      </c>
      <c r="B191" s="88">
        <v>163</v>
      </c>
      <c r="C191" s="88">
        <v>34</v>
      </c>
      <c r="D191" s="88" t="s">
        <v>247</v>
      </c>
      <c r="E191" s="88" t="s">
        <v>704</v>
      </c>
      <c r="F191" s="88" t="s">
        <v>653</v>
      </c>
      <c r="G191" s="88" t="s">
        <v>595</v>
      </c>
      <c r="H191" s="88" t="s">
        <v>596</v>
      </c>
    </row>
    <row r="192" spans="1:8" x14ac:dyDescent="0.3">
      <c r="A192" s="88" t="s">
        <v>716</v>
      </c>
      <c r="B192" s="88">
        <v>163</v>
      </c>
      <c r="C192" s="88">
        <v>35</v>
      </c>
      <c r="D192" s="88" t="s">
        <v>247</v>
      </c>
      <c r="E192" s="88" t="s">
        <v>705</v>
      </c>
      <c r="F192" s="88" t="s">
        <v>655</v>
      </c>
      <c r="G192" s="88" t="s">
        <v>595</v>
      </c>
      <c r="H192" s="88" t="s">
        <v>596</v>
      </c>
    </row>
    <row r="193" spans="1:8" x14ac:dyDescent="0.3">
      <c r="A193" s="88" t="s">
        <v>716</v>
      </c>
      <c r="B193" s="88">
        <v>163</v>
      </c>
      <c r="C193" s="88">
        <v>36</v>
      </c>
      <c r="D193" s="88" t="s">
        <v>247</v>
      </c>
      <c r="E193" s="88" t="s">
        <v>706</v>
      </c>
      <c r="F193" s="88" t="s">
        <v>657</v>
      </c>
      <c r="G193" s="88" t="s">
        <v>595</v>
      </c>
      <c r="H193" s="88" t="s">
        <v>596</v>
      </c>
    </row>
    <row r="194" spans="1:8" ht="28.8" x14ac:dyDescent="0.3">
      <c r="A194" s="88" t="s">
        <v>716</v>
      </c>
      <c r="B194" s="88">
        <v>163</v>
      </c>
      <c r="C194" s="88">
        <v>37</v>
      </c>
      <c r="D194" s="88" t="s">
        <v>247</v>
      </c>
      <c r="E194" s="88" t="s">
        <v>707</v>
      </c>
      <c r="F194" s="88" t="s">
        <v>659</v>
      </c>
      <c r="G194" s="88" t="s">
        <v>595</v>
      </c>
      <c r="H194" s="88" t="s">
        <v>596</v>
      </c>
    </row>
    <row r="195" spans="1:8" ht="28.8" x14ac:dyDescent="0.3">
      <c r="A195" s="88" t="s">
        <v>716</v>
      </c>
      <c r="B195" s="88">
        <v>163</v>
      </c>
      <c r="C195" s="88">
        <v>38</v>
      </c>
      <c r="D195" s="88" t="s">
        <v>247</v>
      </c>
      <c r="E195" s="88" t="s">
        <v>708</v>
      </c>
      <c r="F195" s="88" t="s">
        <v>661</v>
      </c>
      <c r="G195" s="88" t="s">
        <v>595</v>
      </c>
      <c r="H195" s="88" t="s">
        <v>596</v>
      </c>
    </row>
    <row r="196" spans="1:8" x14ac:dyDescent="0.3">
      <c r="A196" s="88" t="s">
        <v>716</v>
      </c>
      <c r="B196" s="88">
        <v>163</v>
      </c>
      <c r="C196" s="88">
        <v>39</v>
      </c>
      <c r="D196" s="88" t="s">
        <v>247</v>
      </c>
      <c r="E196" s="88" t="s">
        <v>709</v>
      </c>
      <c r="F196" s="88" t="s">
        <v>663</v>
      </c>
      <c r="G196" s="88" t="s">
        <v>595</v>
      </c>
      <c r="H196" s="88" t="s">
        <v>596</v>
      </c>
    </row>
    <row r="197" spans="1:8" ht="28.8" x14ac:dyDescent="0.3">
      <c r="A197" s="88" t="s">
        <v>716</v>
      </c>
      <c r="B197" s="88">
        <v>163</v>
      </c>
      <c r="C197" s="88">
        <v>40</v>
      </c>
      <c r="D197" s="88" t="s">
        <v>247</v>
      </c>
      <c r="E197" s="88" t="s">
        <v>710</v>
      </c>
      <c r="F197" s="88" t="s">
        <v>665</v>
      </c>
      <c r="G197" s="88" t="s">
        <v>595</v>
      </c>
      <c r="H197" s="88" t="s">
        <v>596</v>
      </c>
    </row>
    <row r="198" spans="1:8" ht="28.8" x14ac:dyDescent="0.3">
      <c r="A198" s="88" t="s">
        <v>716</v>
      </c>
      <c r="B198" s="88">
        <v>163</v>
      </c>
      <c r="C198" s="88">
        <v>41</v>
      </c>
      <c r="D198" s="88" t="s">
        <v>247</v>
      </c>
      <c r="E198" s="88" t="s">
        <v>711</v>
      </c>
      <c r="F198" s="88" t="s">
        <v>667</v>
      </c>
      <c r="G198" s="88" t="s">
        <v>595</v>
      </c>
      <c r="H198" s="88" t="s">
        <v>596</v>
      </c>
    </row>
    <row r="199" spans="1:8" x14ac:dyDescent="0.3">
      <c r="A199" s="88" t="s">
        <v>716</v>
      </c>
      <c r="B199" s="88">
        <v>163</v>
      </c>
      <c r="C199" s="88">
        <v>42</v>
      </c>
      <c r="D199" s="88" t="s">
        <v>247</v>
      </c>
      <c r="E199" s="88" t="s">
        <v>712</v>
      </c>
      <c r="F199" s="88" t="s">
        <v>669</v>
      </c>
      <c r="G199" s="88" t="s">
        <v>595</v>
      </c>
      <c r="H199" s="88" t="s">
        <v>596</v>
      </c>
    </row>
    <row r="200" spans="1:8" ht="28.8" x14ac:dyDescent="0.3">
      <c r="A200" s="88" t="s">
        <v>716</v>
      </c>
      <c r="B200" s="88">
        <v>163</v>
      </c>
      <c r="C200" s="88">
        <v>43</v>
      </c>
      <c r="D200" s="88" t="s">
        <v>247</v>
      </c>
      <c r="E200" s="88" t="s">
        <v>713</v>
      </c>
      <c r="F200" s="88" t="s">
        <v>671</v>
      </c>
      <c r="G200" s="88" t="s">
        <v>595</v>
      </c>
      <c r="H200" s="88" t="s">
        <v>596</v>
      </c>
    </row>
    <row r="201" spans="1:8" ht="28.8" x14ac:dyDescent="0.3">
      <c r="A201" s="88" t="s">
        <v>716</v>
      </c>
      <c r="B201" s="88">
        <v>163</v>
      </c>
      <c r="C201" s="88">
        <v>44</v>
      </c>
      <c r="D201" s="88" t="s">
        <v>247</v>
      </c>
      <c r="E201" s="88" t="s">
        <v>714</v>
      </c>
      <c r="F201" s="88" t="s">
        <v>673</v>
      </c>
      <c r="G201" s="88" t="s">
        <v>595</v>
      </c>
      <c r="H201" s="88" t="s">
        <v>596</v>
      </c>
    </row>
    <row r="202" spans="1:8" ht="28.8" x14ac:dyDescent="0.3">
      <c r="A202" s="88" t="s">
        <v>716</v>
      </c>
      <c r="B202" s="88">
        <v>163</v>
      </c>
      <c r="C202" s="88">
        <v>45</v>
      </c>
      <c r="D202" s="88" t="s">
        <v>247</v>
      </c>
      <c r="E202" s="88" t="s">
        <v>715</v>
      </c>
      <c r="F202" s="88" t="s">
        <v>675</v>
      </c>
      <c r="G202" s="88" t="s">
        <v>595</v>
      </c>
      <c r="H202" s="88" t="s">
        <v>596</v>
      </c>
    </row>
    <row r="203" spans="1:8" x14ac:dyDescent="0.3">
      <c r="A203" s="88" t="s">
        <v>716</v>
      </c>
      <c r="B203" s="88">
        <v>164</v>
      </c>
      <c r="C203" s="88">
        <v>2</v>
      </c>
      <c r="D203" s="88" t="s">
        <v>248</v>
      </c>
      <c r="E203" s="88" t="s">
        <v>594</v>
      </c>
      <c r="F203" s="88" t="s">
        <v>677</v>
      </c>
      <c r="G203" s="88" t="s">
        <v>595</v>
      </c>
      <c r="H203" s="88" t="s">
        <v>596</v>
      </c>
    </row>
    <row r="204" spans="1:8" ht="28.8" x14ac:dyDescent="0.3">
      <c r="A204" s="88" t="s">
        <v>716</v>
      </c>
      <c r="B204" s="88">
        <v>164</v>
      </c>
      <c r="C204" s="88">
        <v>3</v>
      </c>
      <c r="D204" s="88" t="s">
        <v>248</v>
      </c>
      <c r="E204" s="88" t="s">
        <v>598</v>
      </c>
      <c r="F204" s="88" t="s">
        <v>678</v>
      </c>
      <c r="G204" s="88" t="s">
        <v>595</v>
      </c>
      <c r="H204" s="88" t="s">
        <v>596</v>
      </c>
    </row>
    <row r="205" spans="1:8" x14ac:dyDescent="0.3">
      <c r="A205" s="88" t="s">
        <v>716</v>
      </c>
      <c r="B205" s="88">
        <v>164</v>
      </c>
      <c r="C205" s="88">
        <v>4</v>
      </c>
      <c r="D205" s="88" t="s">
        <v>248</v>
      </c>
      <c r="E205" s="88" t="s">
        <v>600</v>
      </c>
      <c r="F205" s="88" t="s">
        <v>679</v>
      </c>
      <c r="G205" s="88" t="s">
        <v>595</v>
      </c>
      <c r="H205" s="88" t="s">
        <v>596</v>
      </c>
    </row>
    <row r="206" spans="1:8" ht="28.8" x14ac:dyDescent="0.3">
      <c r="A206" s="88" t="s">
        <v>716</v>
      </c>
      <c r="B206" s="88">
        <v>164</v>
      </c>
      <c r="C206" s="88">
        <v>5</v>
      </c>
      <c r="D206" s="88" t="s">
        <v>248</v>
      </c>
      <c r="E206" s="88" t="s">
        <v>602</v>
      </c>
      <c r="F206" s="88" t="s">
        <v>680</v>
      </c>
      <c r="G206" s="88" t="s">
        <v>595</v>
      </c>
      <c r="H206" s="88" t="s">
        <v>596</v>
      </c>
    </row>
    <row r="207" spans="1:8" ht="28.8" x14ac:dyDescent="0.3">
      <c r="A207" s="88" t="s">
        <v>716</v>
      </c>
      <c r="B207" s="88">
        <v>164</v>
      </c>
      <c r="C207" s="88">
        <v>6</v>
      </c>
      <c r="D207" s="88" t="s">
        <v>248</v>
      </c>
      <c r="E207" s="88" t="s">
        <v>604</v>
      </c>
      <c r="F207" s="88" t="s">
        <v>681</v>
      </c>
      <c r="G207" s="88" t="s">
        <v>595</v>
      </c>
      <c r="H207" s="88" t="s">
        <v>596</v>
      </c>
    </row>
    <row r="208" spans="1:8" x14ac:dyDescent="0.3">
      <c r="A208" s="88" t="s">
        <v>716</v>
      </c>
      <c r="B208" s="88">
        <v>164</v>
      </c>
      <c r="C208" s="88">
        <v>7</v>
      </c>
      <c r="D208" s="88" t="s">
        <v>248</v>
      </c>
      <c r="E208" s="88" t="s">
        <v>606</v>
      </c>
      <c r="F208" s="88" t="s">
        <v>682</v>
      </c>
      <c r="G208" s="88" t="s">
        <v>595</v>
      </c>
      <c r="H208" s="88" t="s">
        <v>596</v>
      </c>
    </row>
    <row r="209" spans="1:8" ht="28.8" x14ac:dyDescent="0.3">
      <c r="A209" s="88" t="s">
        <v>716</v>
      </c>
      <c r="B209" s="88">
        <v>164</v>
      </c>
      <c r="C209" s="88">
        <v>8</v>
      </c>
      <c r="D209" s="88" t="s">
        <v>248</v>
      </c>
      <c r="E209" s="88" t="s">
        <v>608</v>
      </c>
      <c r="F209" s="88" t="s">
        <v>683</v>
      </c>
      <c r="G209" s="88" t="s">
        <v>595</v>
      </c>
      <c r="H209" s="88" t="s">
        <v>596</v>
      </c>
    </row>
    <row r="210" spans="1:8" ht="28.8" x14ac:dyDescent="0.3">
      <c r="A210" s="88" t="s">
        <v>716</v>
      </c>
      <c r="B210" s="88">
        <v>164</v>
      </c>
      <c r="C210" s="88">
        <v>9</v>
      </c>
      <c r="D210" s="88" t="s">
        <v>248</v>
      </c>
      <c r="E210" s="88" t="s">
        <v>610</v>
      </c>
      <c r="F210" s="88" t="s">
        <v>684</v>
      </c>
      <c r="G210" s="88" t="s">
        <v>595</v>
      </c>
      <c r="H210" s="88" t="s">
        <v>596</v>
      </c>
    </row>
    <row r="211" spans="1:8" x14ac:dyDescent="0.3">
      <c r="A211" s="88" t="s">
        <v>716</v>
      </c>
      <c r="B211" s="88">
        <v>164</v>
      </c>
      <c r="C211" s="88">
        <v>10</v>
      </c>
      <c r="D211" s="88" t="s">
        <v>248</v>
      </c>
      <c r="E211" s="88" t="s">
        <v>612</v>
      </c>
      <c r="F211" s="88" t="s">
        <v>685</v>
      </c>
      <c r="G211" s="88" t="s">
        <v>595</v>
      </c>
      <c r="H211" s="88" t="s">
        <v>596</v>
      </c>
    </row>
    <row r="212" spans="1:8" ht="28.8" x14ac:dyDescent="0.3">
      <c r="A212" s="88" t="s">
        <v>716</v>
      </c>
      <c r="B212" s="88">
        <v>164</v>
      </c>
      <c r="C212" s="88">
        <v>11</v>
      </c>
      <c r="D212" s="88" t="s">
        <v>248</v>
      </c>
      <c r="E212" s="88" t="s">
        <v>614</v>
      </c>
      <c r="F212" s="88" t="s">
        <v>686</v>
      </c>
      <c r="G212" s="88" t="s">
        <v>595</v>
      </c>
      <c r="H212" s="88" t="s">
        <v>596</v>
      </c>
    </row>
    <row r="213" spans="1:8" x14ac:dyDescent="0.3">
      <c r="A213" s="88" t="s">
        <v>716</v>
      </c>
      <c r="B213" s="88">
        <v>164</v>
      </c>
      <c r="C213" s="88">
        <v>12</v>
      </c>
      <c r="D213" s="88" t="s">
        <v>248</v>
      </c>
      <c r="E213" s="88" t="s">
        <v>616</v>
      </c>
      <c r="F213" s="88" t="s">
        <v>687</v>
      </c>
      <c r="G213" s="88" t="s">
        <v>595</v>
      </c>
      <c r="H213" s="88" t="s">
        <v>596</v>
      </c>
    </row>
    <row r="214" spans="1:8" x14ac:dyDescent="0.3">
      <c r="A214" s="88" t="s">
        <v>716</v>
      </c>
      <c r="B214" s="88">
        <v>164</v>
      </c>
      <c r="C214" s="88">
        <v>13</v>
      </c>
      <c r="D214" s="88" t="s">
        <v>248</v>
      </c>
      <c r="E214" s="88" t="s">
        <v>618</v>
      </c>
      <c r="F214" s="88" t="s">
        <v>688</v>
      </c>
      <c r="G214" s="88" t="s">
        <v>595</v>
      </c>
      <c r="H214" s="88" t="s">
        <v>596</v>
      </c>
    </row>
    <row r="215" spans="1:8" x14ac:dyDescent="0.3">
      <c r="A215" s="88" t="s">
        <v>716</v>
      </c>
      <c r="B215" s="88">
        <v>164</v>
      </c>
      <c r="C215" s="88">
        <v>14</v>
      </c>
      <c r="D215" s="88" t="s">
        <v>248</v>
      </c>
      <c r="E215" s="88" t="s">
        <v>620</v>
      </c>
      <c r="F215" s="88" t="s">
        <v>689</v>
      </c>
      <c r="G215" s="88" t="s">
        <v>595</v>
      </c>
      <c r="H215" s="88" t="s">
        <v>596</v>
      </c>
    </row>
    <row r="216" spans="1:8" x14ac:dyDescent="0.3">
      <c r="A216" s="88" t="s">
        <v>716</v>
      </c>
      <c r="B216" s="88">
        <v>164</v>
      </c>
      <c r="C216" s="88">
        <v>15</v>
      </c>
      <c r="D216" s="88" t="s">
        <v>248</v>
      </c>
      <c r="E216" s="88" t="s">
        <v>622</v>
      </c>
      <c r="F216" s="88" t="s">
        <v>690</v>
      </c>
      <c r="G216" s="88" t="s">
        <v>595</v>
      </c>
      <c r="H216" s="88" t="s">
        <v>596</v>
      </c>
    </row>
    <row r="217" spans="1:8" x14ac:dyDescent="0.3">
      <c r="A217" s="88" t="s">
        <v>716</v>
      </c>
      <c r="B217" s="88">
        <v>164</v>
      </c>
      <c r="C217" s="88">
        <v>16</v>
      </c>
      <c r="D217" s="88" t="s">
        <v>248</v>
      </c>
      <c r="E217" s="88" t="s">
        <v>624</v>
      </c>
      <c r="F217" s="88" t="s">
        <v>691</v>
      </c>
      <c r="G217" s="88" t="s">
        <v>595</v>
      </c>
      <c r="H217" s="88" t="s">
        <v>596</v>
      </c>
    </row>
    <row r="218" spans="1:8" x14ac:dyDescent="0.3">
      <c r="A218" s="88" t="s">
        <v>716</v>
      </c>
      <c r="B218" s="88">
        <v>164</v>
      </c>
      <c r="C218" s="88">
        <v>17</v>
      </c>
      <c r="D218" s="88" t="s">
        <v>248</v>
      </c>
      <c r="E218" s="88" t="s">
        <v>626</v>
      </c>
      <c r="F218" s="88" t="s">
        <v>625</v>
      </c>
      <c r="G218" s="88" t="s">
        <v>595</v>
      </c>
      <c r="H218" s="88" t="s">
        <v>596</v>
      </c>
    </row>
    <row r="219" spans="1:8" x14ac:dyDescent="0.3">
      <c r="A219" s="88" t="s">
        <v>716</v>
      </c>
      <c r="B219" s="88">
        <v>164</v>
      </c>
      <c r="C219" s="88">
        <v>18</v>
      </c>
      <c r="D219" s="88" t="s">
        <v>248</v>
      </c>
      <c r="E219" s="88" t="s">
        <v>628</v>
      </c>
      <c r="F219" s="88" t="s">
        <v>692</v>
      </c>
      <c r="G219" s="88" t="s">
        <v>595</v>
      </c>
      <c r="H219" s="88" t="s">
        <v>596</v>
      </c>
    </row>
    <row r="220" spans="1:8" x14ac:dyDescent="0.3">
      <c r="A220" s="88" t="s">
        <v>716</v>
      </c>
      <c r="B220" s="88">
        <v>164</v>
      </c>
      <c r="C220" s="88">
        <v>19</v>
      </c>
      <c r="D220" s="88" t="s">
        <v>248</v>
      </c>
      <c r="E220" s="88" t="s">
        <v>630</v>
      </c>
      <c r="F220" s="88" t="s">
        <v>693</v>
      </c>
      <c r="G220" s="88" t="s">
        <v>595</v>
      </c>
      <c r="H220" s="88" t="s">
        <v>596</v>
      </c>
    </row>
    <row r="221" spans="1:8" x14ac:dyDescent="0.3">
      <c r="A221" s="88" t="s">
        <v>716</v>
      </c>
      <c r="B221" s="88">
        <v>164</v>
      </c>
      <c r="C221" s="88">
        <v>20</v>
      </c>
      <c r="D221" s="88" t="s">
        <v>248</v>
      </c>
      <c r="E221" s="88" t="s">
        <v>632</v>
      </c>
      <c r="F221" s="88" t="s">
        <v>694</v>
      </c>
      <c r="G221" s="88" t="s">
        <v>595</v>
      </c>
      <c r="H221" s="88" t="s">
        <v>596</v>
      </c>
    </row>
    <row r="222" spans="1:8" x14ac:dyDescent="0.3">
      <c r="A222" s="88" t="s">
        <v>716</v>
      </c>
      <c r="B222" s="88">
        <v>164</v>
      </c>
      <c r="C222" s="88">
        <v>21</v>
      </c>
      <c r="D222" s="88" t="s">
        <v>248</v>
      </c>
      <c r="E222" s="88" t="s">
        <v>634</v>
      </c>
      <c r="F222" s="88" t="s">
        <v>695</v>
      </c>
      <c r="G222" s="88" t="s">
        <v>595</v>
      </c>
      <c r="H222" s="88" t="s">
        <v>596</v>
      </c>
    </row>
    <row r="223" spans="1:8" x14ac:dyDescent="0.3">
      <c r="A223" s="88" t="s">
        <v>716</v>
      </c>
      <c r="B223" s="88">
        <v>164</v>
      </c>
      <c r="C223" s="88">
        <v>22</v>
      </c>
      <c r="D223" s="88" t="s">
        <v>248</v>
      </c>
      <c r="E223" s="88" t="s">
        <v>636</v>
      </c>
      <c r="F223" s="88" t="s">
        <v>696</v>
      </c>
      <c r="G223" s="88" t="s">
        <v>595</v>
      </c>
      <c r="H223" s="88" t="s">
        <v>596</v>
      </c>
    </row>
    <row r="224" spans="1:8" x14ac:dyDescent="0.3">
      <c r="A224" s="88" t="s">
        <v>716</v>
      </c>
      <c r="B224" s="88">
        <v>164</v>
      </c>
      <c r="C224" s="88">
        <v>23</v>
      </c>
      <c r="D224" s="88" t="s">
        <v>248</v>
      </c>
      <c r="E224" s="88" t="s">
        <v>638</v>
      </c>
      <c r="F224" s="88" t="s">
        <v>637</v>
      </c>
      <c r="G224" s="88" t="s">
        <v>595</v>
      </c>
      <c r="H224" s="88" t="s">
        <v>596</v>
      </c>
    </row>
    <row r="225" spans="1:8" x14ac:dyDescent="0.3">
      <c r="A225" s="88" t="s">
        <v>716</v>
      </c>
      <c r="B225" s="88">
        <v>164</v>
      </c>
      <c r="C225" s="88">
        <v>24</v>
      </c>
      <c r="D225" s="88" t="s">
        <v>248</v>
      </c>
      <c r="E225" s="88" t="s">
        <v>640</v>
      </c>
      <c r="F225" s="88" t="s">
        <v>697</v>
      </c>
      <c r="G225" s="88" t="s">
        <v>595</v>
      </c>
      <c r="H225" s="88" t="s">
        <v>596</v>
      </c>
    </row>
    <row r="226" spans="1:8" x14ac:dyDescent="0.3">
      <c r="A226" s="88" t="s">
        <v>716</v>
      </c>
      <c r="B226" s="88">
        <v>164</v>
      </c>
      <c r="C226" s="88">
        <v>25</v>
      </c>
      <c r="D226" s="88" t="s">
        <v>248</v>
      </c>
      <c r="E226" s="88" t="s">
        <v>642</v>
      </c>
      <c r="F226" s="88" t="s">
        <v>698</v>
      </c>
      <c r="G226" s="88" t="s">
        <v>595</v>
      </c>
      <c r="H226" s="88" t="s">
        <v>596</v>
      </c>
    </row>
    <row r="227" spans="1:8" x14ac:dyDescent="0.3">
      <c r="A227" s="88" t="s">
        <v>716</v>
      </c>
      <c r="B227" s="88">
        <v>164</v>
      </c>
      <c r="C227" s="88">
        <v>26</v>
      </c>
      <c r="D227" s="88" t="s">
        <v>248</v>
      </c>
      <c r="E227" s="88" t="s">
        <v>644</v>
      </c>
      <c r="F227" s="88" t="s">
        <v>699</v>
      </c>
      <c r="G227" s="88" t="s">
        <v>595</v>
      </c>
      <c r="H227" s="88" t="s">
        <v>596</v>
      </c>
    </row>
    <row r="228" spans="1:8" x14ac:dyDescent="0.3">
      <c r="A228" s="88" t="s">
        <v>716</v>
      </c>
      <c r="B228" s="88">
        <v>164</v>
      </c>
      <c r="C228" s="88">
        <v>27</v>
      </c>
      <c r="D228" s="88" t="s">
        <v>248</v>
      </c>
      <c r="E228" s="88" t="s">
        <v>646</v>
      </c>
      <c r="F228" s="88" t="s">
        <v>700</v>
      </c>
      <c r="G228" s="88" t="s">
        <v>595</v>
      </c>
      <c r="H228" s="88" t="s">
        <v>596</v>
      </c>
    </row>
    <row r="229" spans="1:8" ht="28.8" x14ac:dyDescent="0.3">
      <c r="A229" s="88" t="s">
        <v>716</v>
      </c>
      <c r="B229" s="88">
        <v>164</v>
      </c>
      <c r="C229" s="88">
        <v>30</v>
      </c>
      <c r="D229" s="88" t="s">
        <v>248</v>
      </c>
      <c r="E229" s="88" t="s">
        <v>648</v>
      </c>
      <c r="F229" s="88" t="s">
        <v>701</v>
      </c>
      <c r="G229" s="88" t="s">
        <v>595</v>
      </c>
      <c r="H229" s="88" t="s">
        <v>596</v>
      </c>
    </row>
    <row r="230" spans="1:8" x14ac:dyDescent="0.3">
      <c r="A230" s="88" t="s">
        <v>716</v>
      </c>
      <c r="B230" s="88">
        <v>164</v>
      </c>
      <c r="C230" s="88">
        <v>32</v>
      </c>
      <c r="D230" s="88" t="s">
        <v>248</v>
      </c>
      <c r="E230" s="88" t="s">
        <v>650</v>
      </c>
      <c r="F230" s="88" t="s">
        <v>702</v>
      </c>
      <c r="G230" s="88" t="s">
        <v>595</v>
      </c>
      <c r="H230" s="88" t="s">
        <v>596</v>
      </c>
    </row>
    <row r="231" spans="1:8" x14ac:dyDescent="0.3">
      <c r="A231" s="88" t="s">
        <v>716</v>
      </c>
      <c r="B231" s="88">
        <v>164</v>
      </c>
      <c r="C231" s="88">
        <v>33</v>
      </c>
      <c r="D231" s="88" t="s">
        <v>248</v>
      </c>
      <c r="E231" s="88" t="s">
        <v>652</v>
      </c>
      <c r="F231" s="88" t="s">
        <v>703</v>
      </c>
      <c r="G231" s="88" t="s">
        <v>595</v>
      </c>
      <c r="H231" s="88" t="s">
        <v>596</v>
      </c>
    </row>
    <row r="232" spans="1:8" x14ac:dyDescent="0.3">
      <c r="A232" s="88" t="s">
        <v>716</v>
      </c>
      <c r="B232" s="88">
        <v>164</v>
      </c>
      <c r="C232" s="88">
        <v>34</v>
      </c>
      <c r="D232" s="88" t="s">
        <v>248</v>
      </c>
      <c r="E232" s="88" t="s">
        <v>654</v>
      </c>
      <c r="F232" s="88" t="s">
        <v>704</v>
      </c>
      <c r="G232" s="88" t="s">
        <v>595</v>
      </c>
      <c r="H232" s="88" t="s">
        <v>596</v>
      </c>
    </row>
    <row r="233" spans="1:8" x14ac:dyDescent="0.3">
      <c r="A233" s="88" t="s">
        <v>716</v>
      </c>
      <c r="B233" s="88">
        <v>164</v>
      </c>
      <c r="C233" s="88">
        <v>35</v>
      </c>
      <c r="D233" s="88" t="s">
        <v>248</v>
      </c>
      <c r="E233" s="88" t="s">
        <v>656</v>
      </c>
      <c r="F233" s="88" t="s">
        <v>705</v>
      </c>
      <c r="G233" s="88" t="s">
        <v>595</v>
      </c>
      <c r="H233" s="88" t="s">
        <v>596</v>
      </c>
    </row>
    <row r="234" spans="1:8" x14ac:dyDescent="0.3">
      <c r="A234" s="88" t="s">
        <v>716</v>
      </c>
      <c r="B234" s="88">
        <v>164</v>
      </c>
      <c r="C234" s="88">
        <v>36</v>
      </c>
      <c r="D234" s="88" t="s">
        <v>248</v>
      </c>
      <c r="E234" s="88" t="s">
        <v>658</v>
      </c>
      <c r="F234" s="88" t="s">
        <v>706</v>
      </c>
      <c r="G234" s="88" t="s">
        <v>595</v>
      </c>
      <c r="H234" s="88" t="s">
        <v>596</v>
      </c>
    </row>
    <row r="235" spans="1:8" ht="28.8" x14ac:dyDescent="0.3">
      <c r="A235" s="88" t="s">
        <v>716</v>
      </c>
      <c r="B235" s="88">
        <v>164</v>
      </c>
      <c r="C235" s="88">
        <v>37</v>
      </c>
      <c r="D235" s="88" t="s">
        <v>248</v>
      </c>
      <c r="E235" s="88" t="s">
        <v>660</v>
      </c>
      <c r="F235" s="88" t="s">
        <v>707</v>
      </c>
      <c r="G235" s="88" t="s">
        <v>595</v>
      </c>
      <c r="H235" s="88" t="s">
        <v>596</v>
      </c>
    </row>
    <row r="236" spans="1:8" x14ac:dyDescent="0.3">
      <c r="A236" s="88" t="s">
        <v>716</v>
      </c>
      <c r="B236" s="88">
        <v>164</v>
      </c>
      <c r="C236" s="88">
        <v>38</v>
      </c>
      <c r="D236" s="88" t="s">
        <v>248</v>
      </c>
      <c r="E236" s="88" t="s">
        <v>662</v>
      </c>
      <c r="F236" s="88" t="s">
        <v>708</v>
      </c>
      <c r="G236" s="88" t="s">
        <v>595</v>
      </c>
      <c r="H236" s="88" t="s">
        <v>596</v>
      </c>
    </row>
    <row r="237" spans="1:8" x14ac:dyDescent="0.3">
      <c r="A237" s="88" t="s">
        <v>716</v>
      </c>
      <c r="B237" s="88">
        <v>164</v>
      </c>
      <c r="C237" s="88">
        <v>39</v>
      </c>
      <c r="D237" s="88" t="s">
        <v>248</v>
      </c>
      <c r="E237" s="88" t="s">
        <v>664</v>
      </c>
      <c r="F237" s="88" t="s">
        <v>709</v>
      </c>
      <c r="G237" s="88" t="s">
        <v>595</v>
      </c>
      <c r="H237" s="88" t="s">
        <v>596</v>
      </c>
    </row>
    <row r="238" spans="1:8" ht="28.8" x14ac:dyDescent="0.3">
      <c r="A238" s="88" t="s">
        <v>716</v>
      </c>
      <c r="B238" s="88">
        <v>164</v>
      </c>
      <c r="C238" s="88">
        <v>40</v>
      </c>
      <c r="D238" s="88" t="s">
        <v>248</v>
      </c>
      <c r="E238" s="88" t="s">
        <v>666</v>
      </c>
      <c r="F238" s="88" t="s">
        <v>710</v>
      </c>
      <c r="G238" s="88" t="s">
        <v>595</v>
      </c>
      <c r="H238" s="88" t="s">
        <v>596</v>
      </c>
    </row>
    <row r="239" spans="1:8" ht="28.8" x14ac:dyDescent="0.3">
      <c r="A239" s="88" t="s">
        <v>716</v>
      </c>
      <c r="B239" s="88">
        <v>164</v>
      </c>
      <c r="C239" s="88">
        <v>41</v>
      </c>
      <c r="D239" s="88" t="s">
        <v>248</v>
      </c>
      <c r="E239" s="88" t="s">
        <v>668</v>
      </c>
      <c r="F239" s="88" t="s">
        <v>711</v>
      </c>
      <c r="G239" s="88" t="s">
        <v>595</v>
      </c>
      <c r="H239" s="88" t="s">
        <v>596</v>
      </c>
    </row>
    <row r="240" spans="1:8" x14ac:dyDescent="0.3">
      <c r="A240" s="88" t="s">
        <v>716</v>
      </c>
      <c r="B240" s="88">
        <v>164</v>
      </c>
      <c r="C240" s="88">
        <v>42</v>
      </c>
      <c r="D240" s="88" t="s">
        <v>248</v>
      </c>
      <c r="E240" s="88" t="s">
        <v>670</v>
      </c>
      <c r="F240" s="88" t="s">
        <v>712</v>
      </c>
      <c r="G240" s="88" t="s">
        <v>595</v>
      </c>
      <c r="H240" s="88" t="s">
        <v>596</v>
      </c>
    </row>
    <row r="241" spans="1:8" ht="28.8" x14ac:dyDescent="0.3">
      <c r="A241" s="88" t="s">
        <v>716</v>
      </c>
      <c r="B241" s="88">
        <v>164</v>
      </c>
      <c r="C241" s="88">
        <v>43</v>
      </c>
      <c r="D241" s="88" t="s">
        <v>248</v>
      </c>
      <c r="E241" s="88" t="s">
        <v>672</v>
      </c>
      <c r="F241" s="88" t="s">
        <v>713</v>
      </c>
      <c r="G241" s="88" t="s">
        <v>595</v>
      </c>
      <c r="H241" s="88" t="s">
        <v>596</v>
      </c>
    </row>
    <row r="242" spans="1:8" ht="28.8" x14ac:dyDescent="0.3">
      <c r="A242" s="88" t="s">
        <v>716</v>
      </c>
      <c r="B242" s="88">
        <v>164</v>
      </c>
      <c r="C242" s="88">
        <v>44</v>
      </c>
      <c r="D242" s="88" t="s">
        <v>248</v>
      </c>
      <c r="E242" s="88" t="s">
        <v>674</v>
      </c>
      <c r="F242" s="88" t="s">
        <v>714</v>
      </c>
      <c r="G242" s="88" t="s">
        <v>595</v>
      </c>
      <c r="H242" s="88" t="s">
        <v>596</v>
      </c>
    </row>
    <row r="243" spans="1:8" ht="28.8" x14ac:dyDescent="0.3">
      <c r="A243" s="88" t="s">
        <v>716</v>
      </c>
      <c r="B243" s="88">
        <v>164</v>
      </c>
      <c r="C243" s="88">
        <v>45</v>
      </c>
      <c r="D243" s="88" t="s">
        <v>248</v>
      </c>
      <c r="E243" s="88" t="s">
        <v>676</v>
      </c>
      <c r="F243" s="88" t="s">
        <v>715</v>
      </c>
      <c r="G243" s="88" t="s">
        <v>595</v>
      </c>
      <c r="H243" s="88" t="s">
        <v>596</v>
      </c>
    </row>
    <row r="244" spans="1:8" ht="28.8" x14ac:dyDescent="0.3">
      <c r="A244" s="88" t="s">
        <v>592</v>
      </c>
      <c r="B244" s="88">
        <v>2</v>
      </c>
      <c r="C244" s="88">
        <v>39</v>
      </c>
      <c r="D244" s="88" t="s">
        <v>89</v>
      </c>
      <c r="E244" s="88" t="s">
        <v>717</v>
      </c>
      <c r="F244" s="88" t="s">
        <v>718</v>
      </c>
      <c r="G244" s="88" t="s">
        <v>719</v>
      </c>
      <c r="H244" s="88" t="s">
        <v>596</v>
      </c>
    </row>
    <row r="245" spans="1:8" ht="28.8" x14ac:dyDescent="0.3">
      <c r="A245" s="88" t="s">
        <v>592</v>
      </c>
      <c r="B245" s="88">
        <v>3</v>
      </c>
      <c r="C245" s="88">
        <v>39</v>
      </c>
      <c r="D245" s="88" t="s">
        <v>90</v>
      </c>
      <c r="E245" s="88" t="s">
        <v>720</v>
      </c>
      <c r="F245" s="88" t="s">
        <v>721</v>
      </c>
      <c r="G245" s="88" t="s">
        <v>719</v>
      </c>
      <c r="H245" s="88" t="s">
        <v>596</v>
      </c>
    </row>
    <row r="246" spans="1:8" ht="28.8" x14ac:dyDescent="0.3">
      <c r="A246" s="88" t="s">
        <v>592</v>
      </c>
      <c r="B246" s="88">
        <v>3</v>
      </c>
      <c r="C246" s="88">
        <v>40</v>
      </c>
      <c r="D246" s="88" t="s">
        <v>90</v>
      </c>
      <c r="E246" s="88" t="s">
        <v>722</v>
      </c>
      <c r="F246" s="88" t="s">
        <v>723</v>
      </c>
      <c r="G246" s="88" t="s">
        <v>724</v>
      </c>
      <c r="H246" s="88" t="s">
        <v>596</v>
      </c>
    </row>
    <row r="247" spans="1:8" ht="28.8" x14ac:dyDescent="0.3">
      <c r="A247" s="88" t="s">
        <v>592</v>
      </c>
      <c r="B247" s="88">
        <v>4</v>
      </c>
      <c r="C247" s="88">
        <v>39</v>
      </c>
      <c r="D247" s="88" t="s">
        <v>345</v>
      </c>
      <c r="E247" s="88" t="s">
        <v>725</v>
      </c>
      <c r="F247" s="88" t="s">
        <v>726</v>
      </c>
      <c r="G247" s="88" t="s">
        <v>719</v>
      </c>
      <c r="H247" s="88" t="s">
        <v>596</v>
      </c>
    </row>
    <row r="248" spans="1:8" ht="28.8" x14ac:dyDescent="0.3">
      <c r="A248" s="88" t="s">
        <v>592</v>
      </c>
      <c r="B248" s="88">
        <v>4</v>
      </c>
      <c r="C248" s="88">
        <v>40</v>
      </c>
      <c r="D248" s="88" t="s">
        <v>345</v>
      </c>
      <c r="E248" s="88" t="s">
        <v>727</v>
      </c>
      <c r="F248" s="88" t="s">
        <v>728</v>
      </c>
      <c r="G248" s="88" t="s">
        <v>724</v>
      </c>
      <c r="H248" s="88" t="s">
        <v>596</v>
      </c>
    </row>
    <row r="249" spans="1:8" ht="28.8" x14ac:dyDescent="0.3">
      <c r="A249" s="88" t="s">
        <v>592</v>
      </c>
      <c r="B249" s="88">
        <v>5</v>
      </c>
      <c r="C249" s="88">
        <v>39</v>
      </c>
      <c r="D249" s="88" t="s">
        <v>92</v>
      </c>
      <c r="E249" s="88" t="s">
        <v>729</v>
      </c>
      <c r="F249" s="88" t="s">
        <v>730</v>
      </c>
      <c r="G249" s="88" t="s">
        <v>719</v>
      </c>
      <c r="H249" s="88" t="s">
        <v>596</v>
      </c>
    </row>
    <row r="250" spans="1:8" ht="28.8" x14ac:dyDescent="0.3">
      <c r="A250" s="88" t="s">
        <v>592</v>
      </c>
      <c r="B250" s="88">
        <v>6</v>
      </c>
      <c r="C250" s="88">
        <v>39</v>
      </c>
      <c r="D250" s="88" t="s">
        <v>93</v>
      </c>
      <c r="E250" s="88" t="s">
        <v>731</v>
      </c>
      <c r="F250" s="88" t="s">
        <v>732</v>
      </c>
      <c r="G250" s="88" t="s">
        <v>719</v>
      </c>
      <c r="H250" s="88" t="s">
        <v>596</v>
      </c>
    </row>
    <row r="251" spans="1:8" ht="28.8" x14ac:dyDescent="0.3">
      <c r="A251" s="88" t="s">
        <v>592</v>
      </c>
      <c r="B251" s="88">
        <v>7</v>
      </c>
      <c r="C251" s="88">
        <v>39</v>
      </c>
      <c r="D251" s="88" t="s">
        <v>349</v>
      </c>
      <c r="E251" s="88" t="s">
        <v>717</v>
      </c>
      <c r="F251" s="88" t="s">
        <v>733</v>
      </c>
      <c r="G251" s="88" t="s">
        <v>719</v>
      </c>
      <c r="H251" s="88" t="s">
        <v>596</v>
      </c>
    </row>
    <row r="252" spans="1:8" ht="28.8" x14ac:dyDescent="0.3">
      <c r="A252" s="88" t="s">
        <v>592</v>
      </c>
      <c r="B252" s="88">
        <v>8</v>
      </c>
      <c r="C252" s="88">
        <v>39</v>
      </c>
      <c r="D252" s="88" t="s">
        <v>95</v>
      </c>
      <c r="E252" s="88" t="s">
        <v>734</v>
      </c>
      <c r="F252" s="88"/>
      <c r="G252" s="88" t="s">
        <v>719</v>
      </c>
      <c r="H252" s="88" t="s">
        <v>596</v>
      </c>
    </row>
    <row r="253" spans="1:8" ht="28.8" x14ac:dyDescent="0.3">
      <c r="A253" s="88" t="s">
        <v>592</v>
      </c>
      <c r="B253" s="88">
        <v>8</v>
      </c>
      <c r="C253" s="88">
        <v>40</v>
      </c>
      <c r="D253" s="88" t="s">
        <v>95</v>
      </c>
      <c r="E253" s="88" t="s">
        <v>735</v>
      </c>
      <c r="F253" s="88" t="s">
        <v>736</v>
      </c>
      <c r="G253" s="88" t="s">
        <v>724</v>
      </c>
      <c r="H253" s="88" t="s">
        <v>596</v>
      </c>
    </row>
    <row r="254" spans="1:8" ht="28.8" x14ac:dyDescent="0.3">
      <c r="A254" s="88" t="s">
        <v>592</v>
      </c>
      <c r="B254" s="88">
        <v>9</v>
      </c>
      <c r="C254" s="88">
        <v>39</v>
      </c>
      <c r="D254" s="88" t="s">
        <v>96</v>
      </c>
      <c r="E254" s="88" t="s">
        <v>737</v>
      </c>
      <c r="F254" s="88" t="s">
        <v>738</v>
      </c>
      <c r="G254" s="88" t="s">
        <v>719</v>
      </c>
      <c r="H254" s="88" t="s">
        <v>596</v>
      </c>
    </row>
    <row r="255" spans="1:8" ht="28.8" x14ac:dyDescent="0.3">
      <c r="A255" s="88" t="s">
        <v>592</v>
      </c>
      <c r="B255" s="88">
        <v>10</v>
      </c>
      <c r="C255" s="88">
        <v>39</v>
      </c>
      <c r="D255" s="88" t="s">
        <v>97</v>
      </c>
      <c r="E255" s="88" t="s">
        <v>739</v>
      </c>
      <c r="F255" s="88" t="s">
        <v>740</v>
      </c>
      <c r="G255" s="88" t="s">
        <v>719</v>
      </c>
      <c r="H255" s="88" t="s">
        <v>596</v>
      </c>
    </row>
    <row r="256" spans="1:8" ht="28.8" x14ac:dyDescent="0.3">
      <c r="A256" s="88" t="s">
        <v>592</v>
      </c>
      <c r="B256" s="88">
        <v>10</v>
      </c>
      <c r="C256" s="88">
        <v>40</v>
      </c>
      <c r="D256" s="88" t="s">
        <v>97</v>
      </c>
      <c r="E256" s="88" t="s">
        <v>741</v>
      </c>
      <c r="F256" s="88" t="s">
        <v>742</v>
      </c>
      <c r="G256" s="88" t="s">
        <v>724</v>
      </c>
      <c r="H256" s="88" t="s">
        <v>596</v>
      </c>
    </row>
    <row r="257" spans="1:8" ht="28.8" x14ac:dyDescent="0.3">
      <c r="A257" s="88" t="s">
        <v>592</v>
      </c>
      <c r="B257" s="88">
        <v>11</v>
      </c>
      <c r="C257" s="88">
        <v>39</v>
      </c>
      <c r="D257" s="88" t="s">
        <v>98</v>
      </c>
      <c r="E257" s="88" t="s">
        <v>743</v>
      </c>
      <c r="F257" s="88" t="s">
        <v>744</v>
      </c>
      <c r="G257" s="88" t="s">
        <v>719</v>
      </c>
      <c r="H257" s="88" t="s">
        <v>596</v>
      </c>
    </row>
    <row r="258" spans="1:8" ht="28.8" x14ac:dyDescent="0.3">
      <c r="A258" s="88" t="s">
        <v>592</v>
      </c>
      <c r="B258" s="88">
        <v>12</v>
      </c>
      <c r="C258" s="88">
        <v>39</v>
      </c>
      <c r="D258" s="88" t="s">
        <v>355</v>
      </c>
      <c r="E258" s="88" t="s">
        <v>745</v>
      </c>
      <c r="F258" s="88" t="s">
        <v>746</v>
      </c>
      <c r="G258" s="88" t="s">
        <v>719</v>
      </c>
      <c r="H258" s="88" t="s">
        <v>596</v>
      </c>
    </row>
    <row r="259" spans="1:8" x14ac:dyDescent="0.3">
      <c r="A259" s="88" t="s">
        <v>592</v>
      </c>
      <c r="B259" s="88">
        <v>13</v>
      </c>
      <c r="C259" s="88">
        <v>33</v>
      </c>
      <c r="D259" s="88" t="s">
        <v>100</v>
      </c>
      <c r="E259" s="88" t="s">
        <v>747</v>
      </c>
      <c r="F259" s="88" t="s">
        <v>748</v>
      </c>
      <c r="G259" s="88" t="s">
        <v>749</v>
      </c>
      <c r="H259" s="88" t="s">
        <v>596</v>
      </c>
    </row>
    <row r="260" spans="1:8" x14ac:dyDescent="0.3">
      <c r="A260" s="88" t="s">
        <v>592</v>
      </c>
      <c r="B260" s="88">
        <v>13</v>
      </c>
      <c r="C260" s="88">
        <v>34</v>
      </c>
      <c r="D260" s="88" t="s">
        <v>100</v>
      </c>
      <c r="E260" s="88" t="s">
        <v>750</v>
      </c>
      <c r="F260" s="88" t="s">
        <v>751</v>
      </c>
      <c r="G260" s="88" t="s">
        <v>752</v>
      </c>
      <c r="H260" s="88" t="s">
        <v>596</v>
      </c>
    </row>
    <row r="261" spans="1:8" x14ac:dyDescent="0.3">
      <c r="A261" s="88" t="s">
        <v>592</v>
      </c>
      <c r="B261" s="88">
        <v>13</v>
      </c>
      <c r="C261" s="88">
        <v>35</v>
      </c>
      <c r="D261" s="88" t="s">
        <v>100</v>
      </c>
      <c r="E261" s="88" t="s">
        <v>753</v>
      </c>
      <c r="F261" s="88" t="s">
        <v>754</v>
      </c>
      <c r="G261" s="88" t="s">
        <v>755</v>
      </c>
      <c r="H261" s="88" t="s">
        <v>596</v>
      </c>
    </row>
    <row r="262" spans="1:8" x14ac:dyDescent="0.3">
      <c r="A262" s="88" t="s">
        <v>592</v>
      </c>
      <c r="B262" s="88">
        <v>13</v>
      </c>
      <c r="C262" s="88">
        <v>36</v>
      </c>
      <c r="D262" s="88" t="s">
        <v>100</v>
      </c>
      <c r="E262" s="88" t="s">
        <v>756</v>
      </c>
      <c r="F262" s="88" t="s">
        <v>757</v>
      </c>
      <c r="G262" s="88" t="s">
        <v>758</v>
      </c>
      <c r="H262" s="88" t="s">
        <v>596</v>
      </c>
    </row>
    <row r="263" spans="1:8" ht="28.8" x14ac:dyDescent="0.3">
      <c r="A263" s="88" t="s">
        <v>592</v>
      </c>
      <c r="B263" s="88">
        <v>13</v>
      </c>
      <c r="C263" s="88">
        <v>39</v>
      </c>
      <c r="D263" s="88" t="s">
        <v>100</v>
      </c>
      <c r="E263" s="88" t="s">
        <v>759</v>
      </c>
      <c r="F263" s="88" t="s">
        <v>760</v>
      </c>
      <c r="G263" s="88" t="s">
        <v>719</v>
      </c>
      <c r="H263" s="88" t="s">
        <v>596</v>
      </c>
    </row>
    <row r="264" spans="1:8" ht="28.8" x14ac:dyDescent="0.3">
      <c r="A264" s="88" t="s">
        <v>592</v>
      </c>
      <c r="B264" s="88">
        <v>13</v>
      </c>
      <c r="C264" s="88">
        <v>40</v>
      </c>
      <c r="D264" s="88" t="s">
        <v>100</v>
      </c>
      <c r="E264" s="88" t="s">
        <v>761</v>
      </c>
      <c r="F264" s="88" t="s">
        <v>762</v>
      </c>
      <c r="G264" s="88" t="s">
        <v>724</v>
      </c>
      <c r="H264" s="88" t="s">
        <v>596</v>
      </c>
    </row>
    <row r="265" spans="1:8" x14ac:dyDescent="0.3">
      <c r="A265" s="88" t="s">
        <v>592</v>
      </c>
      <c r="B265" s="88">
        <v>14</v>
      </c>
      <c r="C265" s="88">
        <v>33</v>
      </c>
      <c r="D265" s="88" t="s">
        <v>101</v>
      </c>
      <c r="E265" s="88" t="s">
        <v>763</v>
      </c>
      <c r="F265" s="88" t="s">
        <v>747</v>
      </c>
      <c r="G265" s="88" t="s">
        <v>749</v>
      </c>
      <c r="H265" s="88" t="s">
        <v>596</v>
      </c>
    </row>
    <row r="266" spans="1:8" x14ac:dyDescent="0.3">
      <c r="A266" s="88" t="s">
        <v>592</v>
      </c>
      <c r="B266" s="88">
        <v>14</v>
      </c>
      <c r="C266" s="88">
        <v>34</v>
      </c>
      <c r="D266" s="88" t="s">
        <v>101</v>
      </c>
      <c r="E266" s="88" t="s">
        <v>764</v>
      </c>
      <c r="F266" s="88" t="s">
        <v>750</v>
      </c>
      <c r="G266" s="88" t="s">
        <v>752</v>
      </c>
      <c r="H266" s="88" t="s">
        <v>596</v>
      </c>
    </row>
    <row r="267" spans="1:8" x14ac:dyDescent="0.3">
      <c r="A267" s="88" t="s">
        <v>592</v>
      </c>
      <c r="B267" s="88">
        <v>14</v>
      </c>
      <c r="C267" s="88">
        <v>35</v>
      </c>
      <c r="D267" s="88" t="s">
        <v>101</v>
      </c>
      <c r="E267" s="88" t="s">
        <v>765</v>
      </c>
      <c r="F267" s="88" t="s">
        <v>753</v>
      </c>
      <c r="G267" s="88" t="s">
        <v>755</v>
      </c>
      <c r="H267" s="88" t="s">
        <v>596</v>
      </c>
    </row>
    <row r="268" spans="1:8" x14ac:dyDescent="0.3">
      <c r="A268" s="88" t="s">
        <v>592</v>
      </c>
      <c r="B268" s="88">
        <v>14</v>
      </c>
      <c r="C268" s="88">
        <v>36</v>
      </c>
      <c r="D268" s="88" t="s">
        <v>101</v>
      </c>
      <c r="E268" s="88" t="s">
        <v>766</v>
      </c>
      <c r="F268" s="88" t="s">
        <v>756</v>
      </c>
      <c r="G268" s="88" t="s">
        <v>758</v>
      </c>
      <c r="H268" s="88" t="s">
        <v>596</v>
      </c>
    </row>
    <row r="269" spans="1:8" ht="28.8" x14ac:dyDescent="0.3">
      <c r="A269" s="88" t="s">
        <v>592</v>
      </c>
      <c r="B269" s="88">
        <v>14</v>
      </c>
      <c r="C269" s="88">
        <v>39</v>
      </c>
      <c r="D269" s="88" t="s">
        <v>101</v>
      </c>
      <c r="E269" s="88" t="s">
        <v>767</v>
      </c>
      <c r="F269" s="88" t="s">
        <v>768</v>
      </c>
      <c r="G269" s="88" t="s">
        <v>719</v>
      </c>
      <c r="H269" s="88" t="s">
        <v>596</v>
      </c>
    </row>
    <row r="270" spans="1:8" ht="28.8" x14ac:dyDescent="0.3">
      <c r="A270" s="88" t="s">
        <v>592</v>
      </c>
      <c r="B270" s="88">
        <v>14</v>
      </c>
      <c r="C270" s="88">
        <v>40</v>
      </c>
      <c r="D270" s="88" t="s">
        <v>101</v>
      </c>
      <c r="E270" s="88" t="s">
        <v>769</v>
      </c>
      <c r="F270" s="88" t="s">
        <v>770</v>
      </c>
      <c r="G270" s="88" t="s">
        <v>724</v>
      </c>
      <c r="H270" s="88" t="s">
        <v>596</v>
      </c>
    </row>
    <row r="271" spans="1:8" x14ac:dyDescent="0.3">
      <c r="A271" s="88" t="s">
        <v>592</v>
      </c>
      <c r="B271" s="88">
        <v>15</v>
      </c>
      <c r="C271" s="88">
        <v>33</v>
      </c>
      <c r="D271" s="88" t="s">
        <v>102</v>
      </c>
      <c r="E271" s="88" t="s">
        <v>771</v>
      </c>
      <c r="F271" s="88" t="s">
        <v>763</v>
      </c>
      <c r="G271" s="88" t="s">
        <v>749</v>
      </c>
      <c r="H271" s="88" t="s">
        <v>596</v>
      </c>
    </row>
    <row r="272" spans="1:8" x14ac:dyDescent="0.3">
      <c r="A272" s="88" t="s">
        <v>592</v>
      </c>
      <c r="B272" s="88">
        <v>15</v>
      </c>
      <c r="C272" s="88">
        <v>34</v>
      </c>
      <c r="D272" s="88" t="s">
        <v>102</v>
      </c>
      <c r="E272" s="88" t="s">
        <v>772</v>
      </c>
      <c r="F272" s="88" t="s">
        <v>764</v>
      </c>
      <c r="G272" s="88" t="s">
        <v>752</v>
      </c>
      <c r="H272" s="88" t="s">
        <v>596</v>
      </c>
    </row>
    <row r="273" spans="1:8" x14ac:dyDescent="0.3">
      <c r="A273" s="88" t="s">
        <v>592</v>
      </c>
      <c r="B273" s="88">
        <v>15</v>
      </c>
      <c r="C273" s="88">
        <v>35</v>
      </c>
      <c r="D273" s="88" t="s">
        <v>102</v>
      </c>
      <c r="E273" s="88" t="s">
        <v>773</v>
      </c>
      <c r="F273" s="88" t="s">
        <v>765</v>
      </c>
      <c r="G273" s="88" t="s">
        <v>755</v>
      </c>
      <c r="H273" s="88" t="s">
        <v>596</v>
      </c>
    </row>
    <row r="274" spans="1:8" x14ac:dyDescent="0.3">
      <c r="A274" s="88" t="s">
        <v>592</v>
      </c>
      <c r="B274" s="88">
        <v>15</v>
      </c>
      <c r="C274" s="88">
        <v>36</v>
      </c>
      <c r="D274" s="88" t="s">
        <v>102</v>
      </c>
      <c r="E274" s="88" t="s">
        <v>774</v>
      </c>
      <c r="F274" s="88" t="s">
        <v>766</v>
      </c>
      <c r="G274" s="88" t="s">
        <v>758</v>
      </c>
      <c r="H274" s="88" t="s">
        <v>596</v>
      </c>
    </row>
    <row r="275" spans="1:8" ht="28.8" x14ac:dyDescent="0.3">
      <c r="A275" s="88" t="s">
        <v>592</v>
      </c>
      <c r="B275" s="88">
        <v>15</v>
      </c>
      <c r="C275" s="88">
        <v>39</v>
      </c>
      <c r="D275" s="88" t="s">
        <v>102</v>
      </c>
      <c r="E275" s="88" t="s">
        <v>775</v>
      </c>
      <c r="F275" s="88" t="s">
        <v>776</v>
      </c>
      <c r="G275" s="88" t="s">
        <v>719</v>
      </c>
      <c r="H275" s="88" t="s">
        <v>596</v>
      </c>
    </row>
    <row r="276" spans="1:8" ht="28.8" x14ac:dyDescent="0.3">
      <c r="A276" s="88" t="s">
        <v>592</v>
      </c>
      <c r="B276" s="88">
        <v>15</v>
      </c>
      <c r="C276" s="88">
        <v>40</v>
      </c>
      <c r="D276" s="88" t="s">
        <v>102</v>
      </c>
      <c r="E276" s="88" t="s">
        <v>777</v>
      </c>
      <c r="F276" s="88" t="s">
        <v>778</v>
      </c>
      <c r="G276" s="88" t="s">
        <v>724</v>
      </c>
      <c r="H276" s="88" t="s">
        <v>596</v>
      </c>
    </row>
    <row r="277" spans="1:8" x14ac:dyDescent="0.3">
      <c r="A277" s="88" t="s">
        <v>592</v>
      </c>
      <c r="B277" s="88">
        <v>16</v>
      </c>
      <c r="C277" s="88">
        <v>33</v>
      </c>
      <c r="D277" s="88" t="s">
        <v>360</v>
      </c>
      <c r="E277" s="88" t="s">
        <v>705</v>
      </c>
      <c r="F277" s="88" t="s">
        <v>771</v>
      </c>
      <c r="G277" s="88" t="s">
        <v>749</v>
      </c>
      <c r="H277" s="88" t="s">
        <v>596</v>
      </c>
    </row>
    <row r="278" spans="1:8" x14ac:dyDescent="0.3">
      <c r="A278" s="88" t="s">
        <v>592</v>
      </c>
      <c r="B278" s="88">
        <v>16</v>
      </c>
      <c r="C278" s="88">
        <v>34</v>
      </c>
      <c r="D278" s="88" t="s">
        <v>360</v>
      </c>
      <c r="E278" s="88" t="s">
        <v>779</v>
      </c>
      <c r="F278" s="88" t="s">
        <v>772</v>
      </c>
      <c r="G278" s="88" t="s">
        <v>752</v>
      </c>
      <c r="H278" s="88" t="s">
        <v>596</v>
      </c>
    </row>
    <row r="279" spans="1:8" x14ac:dyDescent="0.3">
      <c r="A279" s="88" t="s">
        <v>592</v>
      </c>
      <c r="B279" s="88">
        <v>16</v>
      </c>
      <c r="C279" s="88">
        <v>35</v>
      </c>
      <c r="D279" s="88" t="s">
        <v>360</v>
      </c>
      <c r="E279" s="88" t="s">
        <v>780</v>
      </c>
      <c r="F279" s="88" t="s">
        <v>773</v>
      </c>
      <c r="G279" s="88" t="s">
        <v>755</v>
      </c>
      <c r="H279" s="88" t="s">
        <v>596</v>
      </c>
    </row>
    <row r="280" spans="1:8" x14ac:dyDescent="0.3">
      <c r="A280" s="88" t="s">
        <v>592</v>
      </c>
      <c r="B280" s="88">
        <v>16</v>
      </c>
      <c r="C280" s="88">
        <v>36</v>
      </c>
      <c r="D280" s="88" t="s">
        <v>360</v>
      </c>
      <c r="E280" s="88" t="s">
        <v>781</v>
      </c>
      <c r="F280" s="88" t="s">
        <v>774</v>
      </c>
      <c r="G280" s="88" t="s">
        <v>758</v>
      </c>
      <c r="H280" s="88" t="s">
        <v>596</v>
      </c>
    </row>
    <row r="281" spans="1:8" ht="28.8" x14ac:dyDescent="0.3">
      <c r="A281" s="88" t="s">
        <v>592</v>
      </c>
      <c r="B281" s="88">
        <v>16</v>
      </c>
      <c r="C281" s="88">
        <v>39</v>
      </c>
      <c r="D281" s="88" t="s">
        <v>360</v>
      </c>
      <c r="E281" s="88" t="s">
        <v>782</v>
      </c>
      <c r="F281" s="88" t="s">
        <v>783</v>
      </c>
      <c r="G281" s="88" t="s">
        <v>719</v>
      </c>
      <c r="H281" s="88" t="s">
        <v>596</v>
      </c>
    </row>
    <row r="282" spans="1:8" x14ac:dyDescent="0.3">
      <c r="A282" s="88" t="s">
        <v>592</v>
      </c>
      <c r="B282" s="88">
        <v>17</v>
      </c>
      <c r="C282" s="88">
        <v>33</v>
      </c>
      <c r="D282" s="88" t="s">
        <v>104</v>
      </c>
      <c r="E282" s="88" t="s">
        <v>784</v>
      </c>
      <c r="F282" s="88" t="s">
        <v>705</v>
      </c>
      <c r="G282" s="88" t="s">
        <v>749</v>
      </c>
      <c r="H282" s="88" t="s">
        <v>596</v>
      </c>
    </row>
    <row r="283" spans="1:8" x14ac:dyDescent="0.3">
      <c r="A283" s="88" t="s">
        <v>592</v>
      </c>
      <c r="B283" s="88">
        <v>17</v>
      </c>
      <c r="C283" s="88">
        <v>34</v>
      </c>
      <c r="D283" s="88" t="s">
        <v>104</v>
      </c>
      <c r="E283" s="88" t="s">
        <v>785</v>
      </c>
      <c r="F283" s="88" t="s">
        <v>779</v>
      </c>
      <c r="G283" s="88" t="s">
        <v>752</v>
      </c>
      <c r="H283" s="88" t="s">
        <v>596</v>
      </c>
    </row>
    <row r="284" spans="1:8" x14ac:dyDescent="0.3">
      <c r="A284" s="88" t="s">
        <v>592</v>
      </c>
      <c r="B284" s="88">
        <v>17</v>
      </c>
      <c r="C284" s="88">
        <v>35</v>
      </c>
      <c r="D284" s="88" t="s">
        <v>104</v>
      </c>
      <c r="E284" s="88" t="s">
        <v>786</v>
      </c>
      <c r="F284" s="88" t="s">
        <v>780</v>
      </c>
      <c r="G284" s="88" t="s">
        <v>755</v>
      </c>
      <c r="H284" s="88" t="s">
        <v>596</v>
      </c>
    </row>
    <row r="285" spans="1:8" x14ac:dyDescent="0.3">
      <c r="A285" s="88" t="s">
        <v>592</v>
      </c>
      <c r="B285" s="88">
        <v>17</v>
      </c>
      <c r="C285" s="88">
        <v>36</v>
      </c>
      <c r="D285" s="88" t="s">
        <v>104</v>
      </c>
      <c r="E285" s="88" t="s">
        <v>787</v>
      </c>
      <c r="F285" s="88" t="s">
        <v>781</v>
      </c>
      <c r="G285" s="88" t="s">
        <v>758</v>
      </c>
      <c r="H285" s="88" t="s">
        <v>596</v>
      </c>
    </row>
    <row r="286" spans="1:8" ht="28.8" x14ac:dyDescent="0.3">
      <c r="A286" s="88" t="s">
        <v>592</v>
      </c>
      <c r="B286" s="88">
        <v>17</v>
      </c>
      <c r="C286" s="88">
        <v>39</v>
      </c>
      <c r="D286" s="88" t="s">
        <v>104</v>
      </c>
      <c r="E286" s="88" t="s">
        <v>788</v>
      </c>
      <c r="F286" s="88" t="s">
        <v>789</v>
      </c>
      <c r="G286" s="88" t="s">
        <v>719</v>
      </c>
      <c r="H286" s="88" t="s">
        <v>596</v>
      </c>
    </row>
    <row r="287" spans="1:8" x14ac:dyDescent="0.3">
      <c r="A287" s="88" t="s">
        <v>592</v>
      </c>
      <c r="B287" s="88">
        <v>18</v>
      </c>
      <c r="C287" s="88">
        <v>33</v>
      </c>
      <c r="D287" s="88" t="s">
        <v>105</v>
      </c>
      <c r="E287" s="88" t="s">
        <v>790</v>
      </c>
      <c r="F287" s="88" t="s">
        <v>784</v>
      </c>
      <c r="G287" s="88" t="s">
        <v>749</v>
      </c>
      <c r="H287" s="88" t="s">
        <v>596</v>
      </c>
    </row>
    <row r="288" spans="1:8" x14ac:dyDescent="0.3">
      <c r="A288" s="88" t="s">
        <v>592</v>
      </c>
      <c r="B288" s="88">
        <v>18</v>
      </c>
      <c r="C288" s="88">
        <v>34</v>
      </c>
      <c r="D288" s="88" t="s">
        <v>105</v>
      </c>
      <c r="E288" s="88" t="s">
        <v>791</v>
      </c>
      <c r="F288" s="88" t="s">
        <v>785</v>
      </c>
      <c r="G288" s="88" t="s">
        <v>752</v>
      </c>
      <c r="H288" s="88" t="s">
        <v>596</v>
      </c>
    </row>
    <row r="289" spans="1:8" x14ac:dyDescent="0.3">
      <c r="A289" s="88" t="s">
        <v>592</v>
      </c>
      <c r="B289" s="88">
        <v>18</v>
      </c>
      <c r="C289" s="88">
        <v>35</v>
      </c>
      <c r="D289" s="88" t="s">
        <v>105</v>
      </c>
      <c r="E289" s="88" t="s">
        <v>792</v>
      </c>
      <c r="F289" s="88" t="s">
        <v>786</v>
      </c>
      <c r="G289" s="88" t="s">
        <v>755</v>
      </c>
      <c r="H289" s="88" t="s">
        <v>596</v>
      </c>
    </row>
    <row r="290" spans="1:8" x14ac:dyDescent="0.3">
      <c r="A290" s="88" t="s">
        <v>592</v>
      </c>
      <c r="B290" s="88">
        <v>18</v>
      </c>
      <c r="C290" s="88">
        <v>36</v>
      </c>
      <c r="D290" s="88" t="s">
        <v>105</v>
      </c>
      <c r="E290" s="88" t="s">
        <v>793</v>
      </c>
      <c r="F290" s="88" t="s">
        <v>787</v>
      </c>
      <c r="G290" s="88" t="s">
        <v>758</v>
      </c>
      <c r="H290" s="88" t="s">
        <v>596</v>
      </c>
    </row>
    <row r="291" spans="1:8" ht="28.8" x14ac:dyDescent="0.3">
      <c r="A291" s="88" t="s">
        <v>592</v>
      </c>
      <c r="B291" s="88">
        <v>18</v>
      </c>
      <c r="C291" s="88">
        <v>39</v>
      </c>
      <c r="D291" s="88" t="s">
        <v>105</v>
      </c>
      <c r="E291" s="88" t="s">
        <v>794</v>
      </c>
      <c r="F291" s="88" t="s">
        <v>795</v>
      </c>
      <c r="G291" s="88" t="s">
        <v>719</v>
      </c>
      <c r="H291" s="88" t="s">
        <v>596</v>
      </c>
    </row>
    <row r="292" spans="1:8" x14ac:dyDescent="0.3">
      <c r="A292" s="88" t="s">
        <v>592</v>
      </c>
      <c r="B292" s="88">
        <v>19</v>
      </c>
      <c r="C292" s="88">
        <v>33</v>
      </c>
      <c r="D292" s="88" t="s">
        <v>106</v>
      </c>
      <c r="E292" s="88" t="s">
        <v>796</v>
      </c>
      <c r="F292" s="88" t="s">
        <v>790</v>
      </c>
      <c r="G292" s="88" t="s">
        <v>749</v>
      </c>
      <c r="H292" s="88" t="s">
        <v>596</v>
      </c>
    </row>
    <row r="293" spans="1:8" x14ac:dyDescent="0.3">
      <c r="A293" s="88" t="s">
        <v>592</v>
      </c>
      <c r="B293" s="88">
        <v>19</v>
      </c>
      <c r="C293" s="88">
        <v>34</v>
      </c>
      <c r="D293" s="88" t="s">
        <v>106</v>
      </c>
      <c r="E293" s="88" t="s">
        <v>797</v>
      </c>
      <c r="F293" s="88" t="s">
        <v>791</v>
      </c>
      <c r="G293" s="88" t="s">
        <v>752</v>
      </c>
      <c r="H293" s="88" t="s">
        <v>596</v>
      </c>
    </row>
    <row r="294" spans="1:8" x14ac:dyDescent="0.3">
      <c r="A294" s="88" t="s">
        <v>592</v>
      </c>
      <c r="B294" s="88">
        <v>19</v>
      </c>
      <c r="C294" s="88">
        <v>35</v>
      </c>
      <c r="D294" s="88" t="s">
        <v>106</v>
      </c>
      <c r="E294" s="88" t="s">
        <v>798</v>
      </c>
      <c r="F294" s="88" t="s">
        <v>792</v>
      </c>
      <c r="G294" s="88" t="s">
        <v>755</v>
      </c>
      <c r="H294" s="88" t="s">
        <v>596</v>
      </c>
    </row>
    <row r="295" spans="1:8" x14ac:dyDescent="0.3">
      <c r="A295" s="88" t="s">
        <v>592</v>
      </c>
      <c r="B295" s="88">
        <v>19</v>
      </c>
      <c r="C295" s="88">
        <v>36</v>
      </c>
      <c r="D295" s="88" t="s">
        <v>106</v>
      </c>
      <c r="E295" s="88" t="s">
        <v>799</v>
      </c>
      <c r="F295" s="88" t="s">
        <v>793</v>
      </c>
      <c r="G295" s="88" t="s">
        <v>758</v>
      </c>
      <c r="H295" s="88" t="s">
        <v>596</v>
      </c>
    </row>
    <row r="296" spans="1:8" ht="28.8" x14ac:dyDescent="0.3">
      <c r="A296" s="88" t="s">
        <v>592</v>
      </c>
      <c r="B296" s="88">
        <v>19</v>
      </c>
      <c r="C296" s="88">
        <v>39</v>
      </c>
      <c r="D296" s="88" t="s">
        <v>106</v>
      </c>
      <c r="E296" s="88" t="s">
        <v>800</v>
      </c>
      <c r="F296" s="88" t="s">
        <v>801</v>
      </c>
      <c r="G296" s="88" t="s">
        <v>719</v>
      </c>
      <c r="H296" s="88" t="s">
        <v>596</v>
      </c>
    </row>
    <row r="297" spans="1:8" x14ac:dyDescent="0.3">
      <c r="A297" s="88" t="s">
        <v>592</v>
      </c>
      <c r="B297" s="88">
        <v>20</v>
      </c>
      <c r="C297" s="88">
        <v>33</v>
      </c>
      <c r="D297" s="88" t="s">
        <v>365</v>
      </c>
      <c r="E297" s="88" t="s">
        <v>802</v>
      </c>
      <c r="F297" s="88" t="s">
        <v>796</v>
      </c>
      <c r="G297" s="88" t="s">
        <v>749</v>
      </c>
      <c r="H297" s="88" t="s">
        <v>596</v>
      </c>
    </row>
    <row r="298" spans="1:8" x14ac:dyDescent="0.3">
      <c r="A298" s="88" t="s">
        <v>592</v>
      </c>
      <c r="B298" s="88">
        <v>20</v>
      </c>
      <c r="C298" s="88">
        <v>34</v>
      </c>
      <c r="D298" s="88" t="s">
        <v>365</v>
      </c>
      <c r="E298" s="88" t="s">
        <v>803</v>
      </c>
      <c r="F298" s="88" t="s">
        <v>797</v>
      </c>
      <c r="G298" s="88" t="s">
        <v>752</v>
      </c>
      <c r="H298" s="88" t="s">
        <v>596</v>
      </c>
    </row>
    <row r="299" spans="1:8" x14ac:dyDescent="0.3">
      <c r="A299" s="88" t="s">
        <v>592</v>
      </c>
      <c r="B299" s="88">
        <v>20</v>
      </c>
      <c r="C299" s="88">
        <v>35</v>
      </c>
      <c r="D299" s="88" t="s">
        <v>365</v>
      </c>
      <c r="E299" s="88" t="s">
        <v>804</v>
      </c>
      <c r="F299" s="88" t="s">
        <v>798</v>
      </c>
      <c r="G299" s="88" t="s">
        <v>755</v>
      </c>
      <c r="H299" s="88" t="s">
        <v>596</v>
      </c>
    </row>
    <row r="300" spans="1:8" x14ac:dyDescent="0.3">
      <c r="A300" s="88" t="s">
        <v>592</v>
      </c>
      <c r="B300" s="88">
        <v>20</v>
      </c>
      <c r="C300" s="88">
        <v>36</v>
      </c>
      <c r="D300" s="88" t="s">
        <v>365</v>
      </c>
      <c r="E300" s="88" t="s">
        <v>805</v>
      </c>
      <c r="F300" s="88" t="s">
        <v>799</v>
      </c>
      <c r="G300" s="88" t="s">
        <v>758</v>
      </c>
      <c r="H300" s="88" t="s">
        <v>596</v>
      </c>
    </row>
    <row r="301" spans="1:8" ht="28.8" x14ac:dyDescent="0.3">
      <c r="A301" s="88" t="s">
        <v>592</v>
      </c>
      <c r="B301" s="88">
        <v>20</v>
      </c>
      <c r="C301" s="88">
        <v>39</v>
      </c>
      <c r="D301" s="88" t="s">
        <v>365</v>
      </c>
      <c r="E301" s="88" t="s">
        <v>806</v>
      </c>
      <c r="F301" s="88" t="s">
        <v>807</v>
      </c>
      <c r="G301" s="88" t="s">
        <v>719</v>
      </c>
      <c r="H301" s="88" t="s">
        <v>596</v>
      </c>
    </row>
    <row r="302" spans="1:8" x14ac:dyDescent="0.3">
      <c r="A302" s="88" t="s">
        <v>592</v>
      </c>
      <c r="B302" s="88">
        <v>21</v>
      </c>
      <c r="C302" s="88">
        <v>33</v>
      </c>
      <c r="D302" s="88" t="s">
        <v>108</v>
      </c>
      <c r="E302" s="88" t="s">
        <v>808</v>
      </c>
      <c r="F302" s="88" t="s">
        <v>802</v>
      </c>
      <c r="G302" s="88" t="s">
        <v>749</v>
      </c>
      <c r="H302" s="88" t="s">
        <v>596</v>
      </c>
    </row>
    <row r="303" spans="1:8" x14ac:dyDescent="0.3">
      <c r="A303" s="88" t="s">
        <v>592</v>
      </c>
      <c r="B303" s="88">
        <v>21</v>
      </c>
      <c r="C303" s="88">
        <v>34</v>
      </c>
      <c r="D303" s="88" t="s">
        <v>108</v>
      </c>
      <c r="E303" s="88" t="s">
        <v>809</v>
      </c>
      <c r="F303" s="88" t="s">
        <v>803</v>
      </c>
      <c r="G303" s="88" t="s">
        <v>752</v>
      </c>
      <c r="H303" s="88" t="s">
        <v>596</v>
      </c>
    </row>
    <row r="304" spans="1:8" x14ac:dyDescent="0.3">
      <c r="A304" s="88" t="s">
        <v>592</v>
      </c>
      <c r="B304" s="88">
        <v>21</v>
      </c>
      <c r="C304" s="88">
        <v>35</v>
      </c>
      <c r="D304" s="88" t="s">
        <v>108</v>
      </c>
      <c r="E304" s="88" t="s">
        <v>810</v>
      </c>
      <c r="F304" s="88" t="s">
        <v>804</v>
      </c>
      <c r="G304" s="88" t="s">
        <v>755</v>
      </c>
      <c r="H304" s="88" t="s">
        <v>596</v>
      </c>
    </row>
    <row r="305" spans="1:8" x14ac:dyDescent="0.3">
      <c r="A305" s="88" t="s">
        <v>592</v>
      </c>
      <c r="B305" s="88">
        <v>21</v>
      </c>
      <c r="C305" s="88">
        <v>36</v>
      </c>
      <c r="D305" s="88" t="s">
        <v>108</v>
      </c>
      <c r="E305" s="88" t="s">
        <v>811</v>
      </c>
      <c r="F305" s="88" t="s">
        <v>805</v>
      </c>
      <c r="G305" s="88" t="s">
        <v>758</v>
      </c>
      <c r="H305" s="88" t="s">
        <v>596</v>
      </c>
    </row>
    <row r="306" spans="1:8" ht="28.8" x14ac:dyDescent="0.3">
      <c r="A306" s="88" t="s">
        <v>592</v>
      </c>
      <c r="B306" s="88">
        <v>21</v>
      </c>
      <c r="C306" s="88">
        <v>39</v>
      </c>
      <c r="D306" s="88" t="s">
        <v>108</v>
      </c>
      <c r="E306" s="88" t="s">
        <v>812</v>
      </c>
      <c r="F306" s="88" t="s">
        <v>813</v>
      </c>
      <c r="G306" s="88" t="s">
        <v>719</v>
      </c>
      <c r="H306" s="88" t="s">
        <v>596</v>
      </c>
    </row>
    <row r="307" spans="1:8" x14ac:dyDescent="0.3">
      <c r="A307" s="88" t="s">
        <v>592</v>
      </c>
      <c r="B307" s="88">
        <v>22</v>
      </c>
      <c r="C307" s="88">
        <v>33</v>
      </c>
      <c r="D307" s="88" t="s">
        <v>109</v>
      </c>
      <c r="E307" s="88" t="s">
        <v>814</v>
      </c>
      <c r="F307" s="88" t="s">
        <v>808</v>
      </c>
      <c r="G307" s="88" t="s">
        <v>749</v>
      </c>
      <c r="H307" s="88" t="s">
        <v>596</v>
      </c>
    </row>
    <row r="308" spans="1:8" x14ac:dyDescent="0.3">
      <c r="A308" s="88" t="s">
        <v>592</v>
      </c>
      <c r="B308" s="88">
        <v>22</v>
      </c>
      <c r="C308" s="88">
        <v>34</v>
      </c>
      <c r="D308" s="88" t="s">
        <v>109</v>
      </c>
      <c r="E308" s="88" t="s">
        <v>815</v>
      </c>
      <c r="F308" s="88" t="s">
        <v>809</v>
      </c>
      <c r="G308" s="88" t="s">
        <v>752</v>
      </c>
      <c r="H308" s="88" t="s">
        <v>596</v>
      </c>
    </row>
    <row r="309" spans="1:8" x14ac:dyDescent="0.3">
      <c r="A309" s="88" t="s">
        <v>592</v>
      </c>
      <c r="B309" s="88">
        <v>22</v>
      </c>
      <c r="C309" s="88">
        <v>35</v>
      </c>
      <c r="D309" s="88" t="s">
        <v>109</v>
      </c>
      <c r="E309" s="88" t="s">
        <v>816</v>
      </c>
      <c r="F309" s="88" t="s">
        <v>810</v>
      </c>
      <c r="G309" s="88" t="s">
        <v>755</v>
      </c>
      <c r="H309" s="88" t="s">
        <v>596</v>
      </c>
    </row>
    <row r="310" spans="1:8" x14ac:dyDescent="0.3">
      <c r="A310" s="88" t="s">
        <v>592</v>
      </c>
      <c r="B310" s="88">
        <v>22</v>
      </c>
      <c r="C310" s="88">
        <v>36</v>
      </c>
      <c r="D310" s="88" t="s">
        <v>109</v>
      </c>
      <c r="E310" s="88" t="s">
        <v>817</v>
      </c>
      <c r="F310" s="88" t="s">
        <v>811</v>
      </c>
      <c r="G310" s="88" t="s">
        <v>758</v>
      </c>
      <c r="H310" s="88" t="s">
        <v>596</v>
      </c>
    </row>
    <row r="311" spans="1:8" ht="28.8" x14ac:dyDescent="0.3">
      <c r="A311" s="88" t="s">
        <v>592</v>
      </c>
      <c r="B311" s="88">
        <v>22</v>
      </c>
      <c r="C311" s="88">
        <v>39</v>
      </c>
      <c r="D311" s="88" t="s">
        <v>109</v>
      </c>
      <c r="E311" s="88" t="s">
        <v>734</v>
      </c>
      <c r="F311" s="88"/>
      <c r="G311" s="88" t="s">
        <v>719</v>
      </c>
      <c r="H311" s="88" t="s">
        <v>596</v>
      </c>
    </row>
    <row r="312" spans="1:8" ht="28.8" x14ac:dyDescent="0.3">
      <c r="A312" s="88" t="s">
        <v>592</v>
      </c>
      <c r="B312" s="88">
        <v>22</v>
      </c>
      <c r="C312" s="88">
        <v>40</v>
      </c>
      <c r="D312" s="88" t="s">
        <v>109</v>
      </c>
      <c r="E312" s="88" t="s">
        <v>818</v>
      </c>
      <c r="F312" s="88" t="s">
        <v>819</v>
      </c>
      <c r="G312" s="88" t="s">
        <v>724</v>
      </c>
      <c r="H312" s="88" t="s">
        <v>596</v>
      </c>
    </row>
    <row r="313" spans="1:8" x14ac:dyDescent="0.3">
      <c r="A313" s="88" t="s">
        <v>592</v>
      </c>
      <c r="B313" s="88">
        <v>23</v>
      </c>
      <c r="C313" s="88">
        <v>33</v>
      </c>
      <c r="D313" s="88" t="s">
        <v>369</v>
      </c>
      <c r="E313" s="88" t="s">
        <v>808</v>
      </c>
      <c r="F313" s="88" t="s">
        <v>814</v>
      </c>
      <c r="G313" s="88" t="s">
        <v>749</v>
      </c>
      <c r="H313" s="88" t="s">
        <v>596</v>
      </c>
    </row>
    <row r="314" spans="1:8" x14ac:dyDescent="0.3">
      <c r="A314" s="88" t="s">
        <v>592</v>
      </c>
      <c r="B314" s="88">
        <v>23</v>
      </c>
      <c r="C314" s="88">
        <v>34</v>
      </c>
      <c r="D314" s="88" t="s">
        <v>369</v>
      </c>
      <c r="E314" s="88" t="s">
        <v>820</v>
      </c>
      <c r="F314" s="88" t="s">
        <v>815</v>
      </c>
      <c r="G314" s="88" t="s">
        <v>752</v>
      </c>
      <c r="H314" s="88" t="s">
        <v>596</v>
      </c>
    </row>
    <row r="315" spans="1:8" x14ac:dyDescent="0.3">
      <c r="A315" s="88" t="s">
        <v>592</v>
      </c>
      <c r="B315" s="88">
        <v>23</v>
      </c>
      <c r="C315" s="88">
        <v>35</v>
      </c>
      <c r="D315" s="88" t="s">
        <v>369</v>
      </c>
      <c r="E315" s="88" t="s">
        <v>821</v>
      </c>
      <c r="F315" s="88" t="s">
        <v>816</v>
      </c>
      <c r="G315" s="88" t="s">
        <v>755</v>
      </c>
      <c r="H315" s="88" t="s">
        <v>596</v>
      </c>
    </row>
    <row r="316" spans="1:8" x14ac:dyDescent="0.3">
      <c r="A316" s="88" t="s">
        <v>592</v>
      </c>
      <c r="B316" s="88">
        <v>23</v>
      </c>
      <c r="C316" s="88">
        <v>36</v>
      </c>
      <c r="D316" s="88" t="s">
        <v>369</v>
      </c>
      <c r="E316" s="88" t="s">
        <v>822</v>
      </c>
      <c r="F316" s="88" t="s">
        <v>817</v>
      </c>
      <c r="G316" s="88" t="s">
        <v>758</v>
      </c>
      <c r="H316" s="88" t="s">
        <v>596</v>
      </c>
    </row>
    <row r="317" spans="1:8" ht="28.8" x14ac:dyDescent="0.3">
      <c r="A317" s="88" t="s">
        <v>592</v>
      </c>
      <c r="B317" s="88">
        <v>23</v>
      </c>
      <c r="C317" s="88">
        <v>39</v>
      </c>
      <c r="D317" s="88" t="s">
        <v>369</v>
      </c>
      <c r="E317" s="88" t="s">
        <v>800</v>
      </c>
      <c r="F317" s="88" t="s">
        <v>823</v>
      </c>
      <c r="G317" s="88" t="s">
        <v>719</v>
      </c>
      <c r="H317" s="88" t="s">
        <v>596</v>
      </c>
    </row>
    <row r="318" spans="1:8" x14ac:dyDescent="0.3">
      <c r="A318" s="88" t="s">
        <v>592</v>
      </c>
      <c r="B318" s="88">
        <v>24</v>
      </c>
      <c r="C318" s="88">
        <v>33</v>
      </c>
      <c r="D318" s="88" t="s">
        <v>111</v>
      </c>
      <c r="E318" s="88" t="s">
        <v>651</v>
      </c>
      <c r="F318" s="88" t="s">
        <v>808</v>
      </c>
      <c r="G318" s="88" t="s">
        <v>749</v>
      </c>
      <c r="H318" s="88" t="s">
        <v>596</v>
      </c>
    </row>
    <row r="319" spans="1:8" x14ac:dyDescent="0.3">
      <c r="A319" s="88" t="s">
        <v>592</v>
      </c>
      <c r="B319" s="88">
        <v>24</v>
      </c>
      <c r="C319" s="88">
        <v>34</v>
      </c>
      <c r="D319" s="88" t="s">
        <v>111</v>
      </c>
      <c r="E319" s="88" t="s">
        <v>824</v>
      </c>
      <c r="F319" s="88" t="s">
        <v>820</v>
      </c>
      <c r="G319" s="88" t="s">
        <v>752</v>
      </c>
      <c r="H319" s="88" t="s">
        <v>596</v>
      </c>
    </row>
    <row r="320" spans="1:8" x14ac:dyDescent="0.3">
      <c r="A320" s="88" t="s">
        <v>592</v>
      </c>
      <c r="B320" s="88">
        <v>24</v>
      </c>
      <c r="C320" s="88">
        <v>35</v>
      </c>
      <c r="D320" s="88" t="s">
        <v>111</v>
      </c>
      <c r="E320" s="88" t="s">
        <v>825</v>
      </c>
      <c r="F320" s="88" t="s">
        <v>821</v>
      </c>
      <c r="G320" s="88" t="s">
        <v>755</v>
      </c>
      <c r="H320" s="88" t="s">
        <v>596</v>
      </c>
    </row>
    <row r="321" spans="1:8" x14ac:dyDescent="0.3">
      <c r="A321" s="88" t="s">
        <v>592</v>
      </c>
      <c r="B321" s="88">
        <v>24</v>
      </c>
      <c r="C321" s="88">
        <v>36</v>
      </c>
      <c r="D321" s="88" t="s">
        <v>111</v>
      </c>
      <c r="E321" s="88" t="s">
        <v>826</v>
      </c>
      <c r="F321" s="88" t="s">
        <v>822</v>
      </c>
      <c r="G321" s="88" t="s">
        <v>758</v>
      </c>
      <c r="H321" s="88" t="s">
        <v>596</v>
      </c>
    </row>
    <row r="322" spans="1:8" ht="28.8" x14ac:dyDescent="0.3">
      <c r="A322" s="88" t="s">
        <v>592</v>
      </c>
      <c r="B322" s="88">
        <v>24</v>
      </c>
      <c r="C322" s="88">
        <v>39</v>
      </c>
      <c r="D322" s="88" t="s">
        <v>111</v>
      </c>
      <c r="E322" s="88" t="s">
        <v>827</v>
      </c>
      <c r="F322" s="88" t="s">
        <v>828</v>
      </c>
      <c r="G322" s="88" t="s">
        <v>719</v>
      </c>
      <c r="H322" s="88" t="s">
        <v>596</v>
      </c>
    </row>
    <row r="323" spans="1:8" x14ac:dyDescent="0.3">
      <c r="A323" s="88" t="s">
        <v>592</v>
      </c>
      <c r="B323" s="88">
        <v>25</v>
      </c>
      <c r="C323" s="88">
        <v>33</v>
      </c>
      <c r="D323" s="88" t="s">
        <v>112</v>
      </c>
      <c r="E323" s="88" t="s">
        <v>829</v>
      </c>
      <c r="F323" s="88" t="s">
        <v>651</v>
      </c>
      <c r="G323" s="88" t="s">
        <v>749</v>
      </c>
      <c r="H323" s="88" t="s">
        <v>596</v>
      </c>
    </row>
    <row r="324" spans="1:8" x14ac:dyDescent="0.3">
      <c r="A324" s="88" t="s">
        <v>592</v>
      </c>
      <c r="B324" s="88">
        <v>25</v>
      </c>
      <c r="C324" s="88">
        <v>34</v>
      </c>
      <c r="D324" s="88" t="s">
        <v>112</v>
      </c>
      <c r="E324" s="88" t="s">
        <v>830</v>
      </c>
      <c r="F324" s="88" t="s">
        <v>824</v>
      </c>
      <c r="G324" s="88" t="s">
        <v>752</v>
      </c>
      <c r="H324" s="88" t="s">
        <v>596</v>
      </c>
    </row>
    <row r="325" spans="1:8" x14ac:dyDescent="0.3">
      <c r="A325" s="88" t="s">
        <v>592</v>
      </c>
      <c r="B325" s="88">
        <v>25</v>
      </c>
      <c r="C325" s="88">
        <v>35</v>
      </c>
      <c r="D325" s="88" t="s">
        <v>112</v>
      </c>
      <c r="E325" s="88" t="s">
        <v>831</v>
      </c>
      <c r="F325" s="88" t="s">
        <v>825</v>
      </c>
      <c r="G325" s="88" t="s">
        <v>755</v>
      </c>
      <c r="H325" s="88" t="s">
        <v>596</v>
      </c>
    </row>
    <row r="326" spans="1:8" x14ac:dyDescent="0.3">
      <c r="A326" s="88" t="s">
        <v>592</v>
      </c>
      <c r="B326" s="88">
        <v>25</v>
      </c>
      <c r="C326" s="88">
        <v>36</v>
      </c>
      <c r="D326" s="88" t="s">
        <v>112</v>
      </c>
      <c r="E326" s="88" t="s">
        <v>832</v>
      </c>
      <c r="F326" s="88" t="s">
        <v>826</v>
      </c>
      <c r="G326" s="88" t="s">
        <v>758</v>
      </c>
      <c r="H326" s="88" t="s">
        <v>596</v>
      </c>
    </row>
    <row r="327" spans="1:8" ht="28.8" x14ac:dyDescent="0.3">
      <c r="A327" s="88" t="s">
        <v>592</v>
      </c>
      <c r="B327" s="88">
        <v>25</v>
      </c>
      <c r="C327" s="88">
        <v>39</v>
      </c>
      <c r="D327" s="88" t="s">
        <v>112</v>
      </c>
      <c r="E327" s="88" t="s">
        <v>833</v>
      </c>
      <c r="F327" s="88" t="s">
        <v>834</v>
      </c>
      <c r="G327" s="88" t="s">
        <v>719</v>
      </c>
      <c r="H327" s="88" t="s">
        <v>596</v>
      </c>
    </row>
    <row r="328" spans="1:8" x14ac:dyDescent="0.3">
      <c r="A328" s="88" t="s">
        <v>592</v>
      </c>
      <c r="B328" s="88">
        <v>26</v>
      </c>
      <c r="C328" s="88">
        <v>33</v>
      </c>
      <c r="D328" s="88" t="s">
        <v>113</v>
      </c>
      <c r="E328" s="88" t="s">
        <v>832</v>
      </c>
      <c r="F328" s="88" t="s">
        <v>829</v>
      </c>
      <c r="G328" s="88" t="s">
        <v>749</v>
      </c>
      <c r="H328" s="88" t="s">
        <v>596</v>
      </c>
    </row>
    <row r="329" spans="1:8" x14ac:dyDescent="0.3">
      <c r="A329" s="88" t="s">
        <v>592</v>
      </c>
      <c r="B329" s="88">
        <v>26</v>
      </c>
      <c r="C329" s="88">
        <v>34</v>
      </c>
      <c r="D329" s="88" t="s">
        <v>113</v>
      </c>
      <c r="E329" s="88" t="s">
        <v>835</v>
      </c>
      <c r="F329" s="88" t="s">
        <v>830</v>
      </c>
      <c r="G329" s="88" t="s">
        <v>752</v>
      </c>
      <c r="H329" s="88" t="s">
        <v>596</v>
      </c>
    </row>
    <row r="330" spans="1:8" x14ac:dyDescent="0.3">
      <c r="A330" s="88" t="s">
        <v>592</v>
      </c>
      <c r="B330" s="88">
        <v>26</v>
      </c>
      <c r="C330" s="88">
        <v>35</v>
      </c>
      <c r="D330" s="88" t="s">
        <v>113</v>
      </c>
      <c r="E330" s="88" t="s">
        <v>836</v>
      </c>
      <c r="F330" s="88" t="s">
        <v>831</v>
      </c>
      <c r="G330" s="88" t="s">
        <v>755</v>
      </c>
      <c r="H330" s="88" t="s">
        <v>596</v>
      </c>
    </row>
    <row r="331" spans="1:8" ht="28.8" x14ac:dyDescent="0.3">
      <c r="A331" s="88" t="s">
        <v>592</v>
      </c>
      <c r="B331" s="88">
        <v>26</v>
      </c>
      <c r="C331" s="88">
        <v>39</v>
      </c>
      <c r="D331" s="88" t="s">
        <v>113</v>
      </c>
      <c r="E331" s="88" t="s">
        <v>837</v>
      </c>
      <c r="F331" s="88" t="s">
        <v>838</v>
      </c>
      <c r="G331" s="88" t="s">
        <v>719</v>
      </c>
      <c r="H331" s="88" t="s">
        <v>596</v>
      </c>
    </row>
    <row r="332" spans="1:8" ht="28.8" x14ac:dyDescent="0.3">
      <c r="A332" s="88" t="s">
        <v>592</v>
      </c>
      <c r="B332" s="88">
        <v>26</v>
      </c>
      <c r="C332" s="88">
        <v>40</v>
      </c>
      <c r="D332" s="88" t="s">
        <v>113</v>
      </c>
      <c r="E332" s="88" t="s">
        <v>839</v>
      </c>
      <c r="F332" s="88" t="s">
        <v>840</v>
      </c>
      <c r="G332" s="88" t="s">
        <v>724</v>
      </c>
      <c r="H332" s="88" t="s">
        <v>596</v>
      </c>
    </row>
    <row r="333" spans="1:8" x14ac:dyDescent="0.3">
      <c r="A333" s="88" t="s">
        <v>592</v>
      </c>
      <c r="B333" s="88">
        <v>27</v>
      </c>
      <c r="C333" s="88">
        <v>33</v>
      </c>
      <c r="D333" s="88" t="s">
        <v>114</v>
      </c>
      <c r="E333" s="88" t="s">
        <v>841</v>
      </c>
      <c r="F333" s="88" t="s">
        <v>832</v>
      </c>
      <c r="G333" s="88" t="s">
        <v>749</v>
      </c>
      <c r="H333" s="88" t="s">
        <v>596</v>
      </c>
    </row>
    <row r="334" spans="1:8" x14ac:dyDescent="0.3">
      <c r="A334" s="88" t="s">
        <v>592</v>
      </c>
      <c r="B334" s="88">
        <v>27</v>
      </c>
      <c r="C334" s="88">
        <v>34</v>
      </c>
      <c r="D334" s="88" t="s">
        <v>114</v>
      </c>
      <c r="E334" s="88" t="s">
        <v>842</v>
      </c>
      <c r="F334" s="88" t="s">
        <v>835</v>
      </c>
      <c r="G334" s="88" t="s">
        <v>752</v>
      </c>
      <c r="H334" s="88" t="s">
        <v>596</v>
      </c>
    </row>
    <row r="335" spans="1:8" x14ac:dyDescent="0.3">
      <c r="A335" s="88" t="s">
        <v>592</v>
      </c>
      <c r="B335" s="88">
        <v>27</v>
      </c>
      <c r="C335" s="88">
        <v>35</v>
      </c>
      <c r="D335" s="88" t="s">
        <v>114</v>
      </c>
      <c r="E335" s="88" t="s">
        <v>843</v>
      </c>
      <c r="F335" s="88" t="s">
        <v>836</v>
      </c>
      <c r="G335" s="88" t="s">
        <v>755</v>
      </c>
      <c r="H335" s="88" t="s">
        <v>596</v>
      </c>
    </row>
    <row r="336" spans="1:8" x14ac:dyDescent="0.3">
      <c r="A336" s="88" t="s">
        <v>592</v>
      </c>
      <c r="B336" s="88">
        <v>27</v>
      </c>
      <c r="C336" s="88">
        <v>36</v>
      </c>
      <c r="D336" s="88" t="s">
        <v>114</v>
      </c>
      <c r="E336" s="88" t="s">
        <v>844</v>
      </c>
      <c r="F336" s="88" t="s">
        <v>832</v>
      </c>
      <c r="G336" s="88" t="s">
        <v>758</v>
      </c>
      <c r="H336" s="88" t="s">
        <v>596</v>
      </c>
    </row>
    <row r="337" spans="1:8" ht="28.8" x14ac:dyDescent="0.3">
      <c r="A337" s="88" t="s">
        <v>592</v>
      </c>
      <c r="B337" s="88">
        <v>27</v>
      </c>
      <c r="C337" s="88">
        <v>39</v>
      </c>
      <c r="D337" s="88" t="s">
        <v>114</v>
      </c>
      <c r="E337" s="88" t="s">
        <v>827</v>
      </c>
      <c r="F337" s="88" t="s">
        <v>845</v>
      </c>
      <c r="G337" s="88" t="s">
        <v>719</v>
      </c>
      <c r="H337" s="88" t="s">
        <v>596</v>
      </c>
    </row>
    <row r="338" spans="1:8" ht="28.8" x14ac:dyDescent="0.3">
      <c r="A338" s="88" t="s">
        <v>592</v>
      </c>
      <c r="B338" s="88">
        <v>27</v>
      </c>
      <c r="C338" s="88">
        <v>40</v>
      </c>
      <c r="D338" s="88" t="s">
        <v>114</v>
      </c>
      <c r="E338" s="88" t="s">
        <v>846</v>
      </c>
      <c r="F338" s="88" t="s">
        <v>847</v>
      </c>
      <c r="G338" s="88" t="s">
        <v>724</v>
      </c>
      <c r="H338" s="88" t="s">
        <v>596</v>
      </c>
    </row>
    <row r="339" spans="1:8" x14ac:dyDescent="0.3">
      <c r="A339" s="88" t="s">
        <v>592</v>
      </c>
      <c r="B339" s="88">
        <v>28</v>
      </c>
      <c r="C339" s="88">
        <v>33</v>
      </c>
      <c r="D339" s="88" t="s">
        <v>375</v>
      </c>
      <c r="E339" s="88" t="s">
        <v>848</v>
      </c>
      <c r="F339" s="88" t="s">
        <v>841</v>
      </c>
      <c r="G339" s="88" t="s">
        <v>749</v>
      </c>
      <c r="H339" s="88" t="s">
        <v>596</v>
      </c>
    </row>
    <row r="340" spans="1:8" x14ac:dyDescent="0.3">
      <c r="A340" s="88" t="s">
        <v>592</v>
      </c>
      <c r="B340" s="88">
        <v>28</v>
      </c>
      <c r="C340" s="88">
        <v>34</v>
      </c>
      <c r="D340" s="88" t="s">
        <v>375</v>
      </c>
      <c r="E340" s="88" t="s">
        <v>829</v>
      </c>
      <c r="F340" s="88" t="s">
        <v>842</v>
      </c>
      <c r="G340" s="88" t="s">
        <v>752</v>
      </c>
      <c r="H340" s="88" t="s">
        <v>596</v>
      </c>
    </row>
    <row r="341" spans="1:8" x14ac:dyDescent="0.3">
      <c r="A341" s="88" t="s">
        <v>592</v>
      </c>
      <c r="B341" s="88">
        <v>28</v>
      </c>
      <c r="C341" s="88">
        <v>35</v>
      </c>
      <c r="D341" s="88" t="s">
        <v>375</v>
      </c>
      <c r="E341" s="88" t="s">
        <v>798</v>
      </c>
      <c r="F341" s="88" t="s">
        <v>843</v>
      </c>
      <c r="G341" s="88" t="s">
        <v>755</v>
      </c>
      <c r="H341" s="88" t="s">
        <v>596</v>
      </c>
    </row>
    <row r="342" spans="1:8" x14ac:dyDescent="0.3">
      <c r="A342" s="88" t="s">
        <v>592</v>
      </c>
      <c r="B342" s="88">
        <v>28</v>
      </c>
      <c r="C342" s="88">
        <v>36</v>
      </c>
      <c r="D342" s="88" t="s">
        <v>375</v>
      </c>
      <c r="E342" s="88" t="s">
        <v>849</v>
      </c>
      <c r="F342" s="88" t="s">
        <v>844</v>
      </c>
      <c r="G342" s="88" t="s">
        <v>758</v>
      </c>
      <c r="H342" s="88" t="s">
        <v>596</v>
      </c>
    </row>
    <row r="343" spans="1:8" ht="28.8" x14ac:dyDescent="0.3">
      <c r="A343" s="88" t="s">
        <v>592</v>
      </c>
      <c r="B343" s="88">
        <v>28</v>
      </c>
      <c r="C343" s="88">
        <v>39</v>
      </c>
      <c r="D343" s="88" t="s">
        <v>375</v>
      </c>
      <c r="E343" s="88" t="s">
        <v>850</v>
      </c>
      <c r="F343" s="88" t="s">
        <v>851</v>
      </c>
      <c r="G343" s="88" t="s">
        <v>719</v>
      </c>
      <c r="H343" s="88" t="s">
        <v>596</v>
      </c>
    </row>
    <row r="344" spans="1:8" ht="28.8" x14ac:dyDescent="0.3">
      <c r="A344" s="88" t="s">
        <v>592</v>
      </c>
      <c r="B344" s="88">
        <v>28</v>
      </c>
      <c r="C344" s="88">
        <v>40</v>
      </c>
      <c r="D344" s="88" t="s">
        <v>375</v>
      </c>
      <c r="E344" s="88" t="s">
        <v>852</v>
      </c>
      <c r="F344" s="88" t="s">
        <v>853</v>
      </c>
      <c r="G344" s="88" t="s">
        <v>724</v>
      </c>
      <c r="H344" s="88" t="s">
        <v>596</v>
      </c>
    </row>
    <row r="345" spans="1:8" x14ac:dyDescent="0.3">
      <c r="A345" s="88" t="s">
        <v>592</v>
      </c>
      <c r="B345" s="88">
        <v>29</v>
      </c>
      <c r="C345" s="88">
        <v>33</v>
      </c>
      <c r="D345" s="88" t="s">
        <v>116</v>
      </c>
      <c r="E345" s="88" t="s">
        <v>793</v>
      </c>
      <c r="F345" s="88" t="s">
        <v>848</v>
      </c>
      <c r="G345" s="88" t="s">
        <v>749</v>
      </c>
      <c r="H345" s="88" t="s">
        <v>596</v>
      </c>
    </row>
    <row r="346" spans="1:8" x14ac:dyDescent="0.3">
      <c r="A346" s="88" t="s">
        <v>592</v>
      </c>
      <c r="B346" s="88">
        <v>29</v>
      </c>
      <c r="C346" s="88">
        <v>34</v>
      </c>
      <c r="D346" s="88" t="s">
        <v>116</v>
      </c>
      <c r="E346" s="88" t="s">
        <v>651</v>
      </c>
      <c r="F346" s="88" t="s">
        <v>829</v>
      </c>
      <c r="G346" s="88" t="s">
        <v>752</v>
      </c>
      <c r="H346" s="88" t="s">
        <v>596</v>
      </c>
    </row>
    <row r="347" spans="1:8" x14ac:dyDescent="0.3">
      <c r="A347" s="88" t="s">
        <v>592</v>
      </c>
      <c r="B347" s="88">
        <v>29</v>
      </c>
      <c r="C347" s="88">
        <v>35</v>
      </c>
      <c r="D347" s="88" t="s">
        <v>116</v>
      </c>
      <c r="E347" s="88" t="s">
        <v>854</v>
      </c>
      <c r="F347" s="88" t="s">
        <v>798</v>
      </c>
      <c r="G347" s="88" t="s">
        <v>755</v>
      </c>
      <c r="H347" s="88" t="s">
        <v>596</v>
      </c>
    </row>
    <row r="348" spans="1:8" x14ac:dyDescent="0.3">
      <c r="A348" s="88" t="s">
        <v>592</v>
      </c>
      <c r="B348" s="88">
        <v>29</v>
      </c>
      <c r="C348" s="88">
        <v>36</v>
      </c>
      <c r="D348" s="88" t="s">
        <v>116</v>
      </c>
      <c r="E348" s="88" t="s">
        <v>855</v>
      </c>
      <c r="F348" s="88" t="s">
        <v>849</v>
      </c>
      <c r="G348" s="88" t="s">
        <v>758</v>
      </c>
      <c r="H348" s="88" t="s">
        <v>596</v>
      </c>
    </row>
    <row r="349" spans="1:8" ht="28.8" x14ac:dyDescent="0.3">
      <c r="A349" s="88" t="s">
        <v>592</v>
      </c>
      <c r="B349" s="88">
        <v>29</v>
      </c>
      <c r="C349" s="88">
        <v>39</v>
      </c>
      <c r="D349" s="88" t="s">
        <v>116</v>
      </c>
      <c r="E349" s="88" t="s">
        <v>731</v>
      </c>
      <c r="F349" s="88" t="s">
        <v>856</v>
      </c>
      <c r="G349" s="88" t="s">
        <v>719</v>
      </c>
      <c r="H349" s="88" t="s">
        <v>596</v>
      </c>
    </row>
    <row r="350" spans="1:8" ht="28.8" x14ac:dyDescent="0.3">
      <c r="A350" s="88" t="s">
        <v>592</v>
      </c>
      <c r="B350" s="88">
        <v>29</v>
      </c>
      <c r="C350" s="88">
        <v>40</v>
      </c>
      <c r="D350" s="88" t="s">
        <v>116</v>
      </c>
      <c r="E350" s="88" t="s">
        <v>857</v>
      </c>
      <c r="F350" s="88" t="s">
        <v>858</v>
      </c>
      <c r="G350" s="88" t="s">
        <v>724</v>
      </c>
      <c r="H350" s="88" t="s">
        <v>596</v>
      </c>
    </row>
    <row r="351" spans="1:8" x14ac:dyDescent="0.3">
      <c r="A351" s="88" t="s">
        <v>592</v>
      </c>
      <c r="B351" s="88">
        <v>30</v>
      </c>
      <c r="C351" s="88">
        <v>33</v>
      </c>
      <c r="D351" s="88" t="s">
        <v>117</v>
      </c>
      <c r="E351" s="88" t="s">
        <v>843</v>
      </c>
      <c r="F351" s="88" t="s">
        <v>793</v>
      </c>
      <c r="G351" s="88" t="s">
        <v>749</v>
      </c>
      <c r="H351" s="88" t="s">
        <v>596</v>
      </c>
    </row>
    <row r="352" spans="1:8" x14ac:dyDescent="0.3">
      <c r="A352" s="88" t="s">
        <v>592</v>
      </c>
      <c r="B352" s="88">
        <v>30</v>
      </c>
      <c r="C352" s="88">
        <v>34</v>
      </c>
      <c r="D352" s="88" t="s">
        <v>117</v>
      </c>
      <c r="E352" s="88" t="s">
        <v>859</v>
      </c>
      <c r="F352" s="88" t="s">
        <v>651</v>
      </c>
      <c r="G352" s="88" t="s">
        <v>752</v>
      </c>
      <c r="H352" s="88" t="s">
        <v>596</v>
      </c>
    </row>
    <row r="353" spans="1:8" x14ac:dyDescent="0.3">
      <c r="A353" s="88" t="s">
        <v>592</v>
      </c>
      <c r="B353" s="88">
        <v>30</v>
      </c>
      <c r="C353" s="88">
        <v>35</v>
      </c>
      <c r="D353" s="88" t="s">
        <v>117</v>
      </c>
      <c r="E353" s="88" t="s">
        <v>860</v>
      </c>
      <c r="F353" s="88" t="s">
        <v>854</v>
      </c>
      <c r="G353" s="88" t="s">
        <v>755</v>
      </c>
      <c r="H353" s="88" t="s">
        <v>596</v>
      </c>
    </row>
    <row r="354" spans="1:8" x14ac:dyDescent="0.3">
      <c r="A354" s="88" t="s">
        <v>592</v>
      </c>
      <c r="B354" s="88">
        <v>30</v>
      </c>
      <c r="C354" s="88">
        <v>36</v>
      </c>
      <c r="D354" s="88" t="s">
        <v>117</v>
      </c>
      <c r="E354" s="88" t="s">
        <v>861</v>
      </c>
      <c r="F354" s="88" t="s">
        <v>855</v>
      </c>
      <c r="G354" s="88" t="s">
        <v>758</v>
      </c>
      <c r="H354" s="88" t="s">
        <v>596</v>
      </c>
    </row>
    <row r="355" spans="1:8" ht="28.8" x14ac:dyDescent="0.3">
      <c r="A355" s="88" t="s">
        <v>592</v>
      </c>
      <c r="B355" s="88">
        <v>30</v>
      </c>
      <c r="C355" s="88">
        <v>39</v>
      </c>
      <c r="D355" s="88" t="s">
        <v>117</v>
      </c>
      <c r="E355" s="88" t="s">
        <v>862</v>
      </c>
      <c r="F355" s="88" t="s">
        <v>863</v>
      </c>
      <c r="G355" s="88" t="s">
        <v>719</v>
      </c>
      <c r="H355" s="88" t="s">
        <v>596</v>
      </c>
    </row>
    <row r="356" spans="1:8" x14ac:dyDescent="0.3">
      <c r="A356" s="88" t="s">
        <v>592</v>
      </c>
      <c r="B356" s="88">
        <v>31</v>
      </c>
      <c r="C356" s="88">
        <v>33</v>
      </c>
      <c r="D356" s="88" t="s">
        <v>118</v>
      </c>
      <c r="E356" s="88" t="s">
        <v>864</v>
      </c>
      <c r="F356" s="88" t="s">
        <v>843</v>
      </c>
      <c r="G356" s="88" t="s">
        <v>749</v>
      </c>
      <c r="H356" s="88" t="s">
        <v>596</v>
      </c>
    </row>
    <row r="357" spans="1:8" x14ac:dyDescent="0.3">
      <c r="A357" s="88" t="s">
        <v>592</v>
      </c>
      <c r="B357" s="88">
        <v>31</v>
      </c>
      <c r="C357" s="88">
        <v>34</v>
      </c>
      <c r="D357" s="88" t="s">
        <v>118</v>
      </c>
      <c r="E357" s="88" t="s">
        <v>865</v>
      </c>
      <c r="F357" s="88" t="s">
        <v>859</v>
      </c>
      <c r="G357" s="88" t="s">
        <v>752</v>
      </c>
      <c r="H357" s="88" t="s">
        <v>596</v>
      </c>
    </row>
    <row r="358" spans="1:8" x14ac:dyDescent="0.3">
      <c r="A358" s="88" t="s">
        <v>592</v>
      </c>
      <c r="B358" s="88">
        <v>31</v>
      </c>
      <c r="C358" s="88">
        <v>35</v>
      </c>
      <c r="D358" s="88" t="s">
        <v>118</v>
      </c>
      <c r="E358" s="88" t="s">
        <v>754</v>
      </c>
      <c r="F358" s="88" t="s">
        <v>860</v>
      </c>
      <c r="G358" s="88" t="s">
        <v>755</v>
      </c>
      <c r="H358" s="88" t="s">
        <v>596</v>
      </c>
    </row>
    <row r="359" spans="1:8" x14ac:dyDescent="0.3">
      <c r="A359" s="88" t="s">
        <v>592</v>
      </c>
      <c r="B359" s="88">
        <v>31</v>
      </c>
      <c r="C359" s="88">
        <v>36</v>
      </c>
      <c r="D359" s="88" t="s">
        <v>118</v>
      </c>
      <c r="E359" s="88" t="s">
        <v>866</v>
      </c>
      <c r="F359" s="88" t="s">
        <v>861</v>
      </c>
      <c r="G359" s="88" t="s">
        <v>758</v>
      </c>
      <c r="H359" s="88" t="s">
        <v>596</v>
      </c>
    </row>
    <row r="360" spans="1:8" ht="28.8" x14ac:dyDescent="0.3">
      <c r="A360" s="88" t="s">
        <v>592</v>
      </c>
      <c r="B360" s="88">
        <v>31</v>
      </c>
      <c r="C360" s="88">
        <v>39</v>
      </c>
      <c r="D360" s="88" t="s">
        <v>118</v>
      </c>
      <c r="E360" s="88" t="s">
        <v>867</v>
      </c>
      <c r="F360" s="88" t="s">
        <v>868</v>
      </c>
      <c r="G360" s="88" t="s">
        <v>719</v>
      </c>
      <c r="H360" s="88" t="s">
        <v>596</v>
      </c>
    </row>
    <row r="361" spans="1:8" ht="28.8" x14ac:dyDescent="0.3">
      <c r="A361" s="88" t="s">
        <v>592</v>
      </c>
      <c r="B361" s="88">
        <v>31</v>
      </c>
      <c r="C361" s="88">
        <v>40</v>
      </c>
      <c r="D361" s="88" t="s">
        <v>118</v>
      </c>
      <c r="E361" s="88" t="s">
        <v>869</v>
      </c>
      <c r="F361" s="88" t="s">
        <v>870</v>
      </c>
      <c r="G361" s="88" t="s">
        <v>724</v>
      </c>
      <c r="H361" s="88" t="s">
        <v>596</v>
      </c>
    </row>
    <row r="362" spans="1:8" x14ac:dyDescent="0.3">
      <c r="A362" s="88" t="s">
        <v>592</v>
      </c>
      <c r="B362" s="88">
        <v>32</v>
      </c>
      <c r="C362" s="88">
        <v>33</v>
      </c>
      <c r="D362" s="88" t="s">
        <v>119</v>
      </c>
      <c r="E362" s="88" t="s">
        <v>871</v>
      </c>
      <c r="F362" s="88" t="s">
        <v>864</v>
      </c>
      <c r="G362" s="88" t="s">
        <v>749</v>
      </c>
      <c r="H362" s="88" t="s">
        <v>596</v>
      </c>
    </row>
    <row r="363" spans="1:8" x14ac:dyDescent="0.3">
      <c r="A363" s="88" t="s">
        <v>592</v>
      </c>
      <c r="B363" s="88">
        <v>32</v>
      </c>
      <c r="C363" s="88">
        <v>35</v>
      </c>
      <c r="D363" s="88" t="s">
        <v>119</v>
      </c>
      <c r="E363" s="88" t="s">
        <v>872</v>
      </c>
      <c r="F363" s="88" t="s">
        <v>754</v>
      </c>
      <c r="G363" s="88" t="s">
        <v>755</v>
      </c>
      <c r="H363" s="88" t="s">
        <v>596</v>
      </c>
    </row>
    <row r="364" spans="1:8" x14ac:dyDescent="0.3">
      <c r="A364" s="88" t="s">
        <v>592</v>
      </c>
      <c r="B364" s="88">
        <v>32</v>
      </c>
      <c r="C364" s="88">
        <v>36</v>
      </c>
      <c r="D364" s="88" t="s">
        <v>119</v>
      </c>
      <c r="E364" s="88" t="s">
        <v>656</v>
      </c>
      <c r="F364" s="88" t="s">
        <v>866</v>
      </c>
      <c r="G364" s="88" t="s">
        <v>758</v>
      </c>
      <c r="H364" s="88" t="s">
        <v>596</v>
      </c>
    </row>
    <row r="365" spans="1:8" ht="28.8" x14ac:dyDescent="0.3">
      <c r="A365" s="88" t="s">
        <v>592</v>
      </c>
      <c r="B365" s="88">
        <v>32</v>
      </c>
      <c r="C365" s="88">
        <v>39</v>
      </c>
      <c r="D365" s="88" t="s">
        <v>119</v>
      </c>
      <c r="E365" s="88" t="s">
        <v>827</v>
      </c>
      <c r="F365" s="88" t="s">
        <v>873</v>
      </c>
      <c r="G365" s="88" t="s">
        <v>719</v>
      </c>
      <c r="H365" s="88" t="s">
        <v>596</v>
      </c>
    </row>
    <row r="366" spans="1:8" x14ac:dyDescent="0.3">
      <c r="A366" s="88" t="s">
        <v>592</v>
      </c>
      <c r="B366" s="88">
        <v>33</v>
      </c>
      <c r="C366" s="88">
        <v>33</v>
      </c>
      <c r="D366" s="88" t="s">
        <v>120</v>
      </c>
      <c r="E366" s="88" t="s">
        <v>874</v>
      </c>
      <c r="F366" s="88" t="s">
        <v>871</v>
      </c>
      <c r="G366" s="88" t="s">
        <v>749</v>
      </c>
      <c r="H366" s="88" t="s">
        <v>596</v>
      </c>
    </row>
    <row r="367" spans="1:8" x14ac:dyDescent="0.3">
      <c r="A367" s="88" t="s">
        <v>592</v>
      </c>
      <c r="B367" s="88">
        <v>33</v>
      </c>
      <c r="C367" s="88">
        <v>34</v>
      </c>
      <c r="D367" s="88" t="s">
        <v>120</v>
      </c>
      <c r="E367" s="88" t="s">
        <v>704</v>
      </c>
      <c r="F367" s="88" t="s">
        <v>865</v>
      </c>
      <c r="G367" s="88" t="s">
        <v>752</v>
      </c>
      <c r="H367" s="88" t="s">
        <v>596</v>
      </c>
    </row>
    <row r="368" spans="1:8" x14ac:dyDescent="0.3">
      <c r="A368" s="88" t="s">
        <v>592</v>
      </c>
      <c r="B368" s="88">
        <v>33</v>
      </c>
      <c r="C368" s="88">
        <v>35</v>
      </c>
      <c r="D368" s="88" t="s">
        <v>120</v>
      </c>
      <c r="E368" s="88" t="s">
        <v>875</v>
      </c>
      <c r="F368" s="88" t="s">
        <v>872</v>
      </c>
      <c r="G368" s="88" t="s">
        <v>755</v>
      </c>
      <c r="H368" s="88" t="s">
        <v>596</v>
      </c>
    </row>
    <row r="369" spans="1:8" x14ac:dyDescent="0.3">
      <c r="A369" s="88" t="s">
        <v>592</v>
      </c>
      <c r="B369" s="88">
        <v>33</v>
      </c>
      <c r="C369" s="88">
        <v>36</v>
      </c>
      <c r="D369" s="88" t="s">
        <v>120</v>
      </c>
      <c r="E369" s="88" t="s">
        <v>876</v>
      </c>
      <c r="F369" s="88" t="s">
        <v>656</v>
      </c>
      <c r="G369" s="88" t="s">
        <v>758</v>
      </c>
      <c r="H369" s="88" t="s">
        <v>596</v>
      </c>
    </row>
    <row r="370" spans="1:8" ht="28.8" x14ac:dyDescent="0.3">
      <c r="A370" s="88" t="s">
        <v>592</v>
      </c>
      <c r="B370" s="88">
        <v>33</v>
      </c>
      <c r="C370" s="88">
        <v>39</v>
      </c>
      <c r="D370" s="88" t="s">
        <v>120</v>
      </c>
      <c r="E370" s="88" t="s">
        <v>877</v>
      </c>
      <c r="F370" s="88" t="s">
        <v>878</v>
      </c>
      <c r="G370" s="88" t="s">
        <v>719</v>
      </c>
      <c r="H370" s="88" t="s">
        <v>596</v>
      </c>
    </row>
    <row r="371" spans="1:8" x14ac:dyDescent="0.3">
      <c r="A371" s="88" t="s">
        <v>592</v>
      </c>
      <c r="B371" s="88">
        <v>34</v>
      </c>
      <c r="C371" s="88">
        <v>33</v>
      </c>
      <c r="D371" s="88" t="s">
        <v>121</v>
      </c>
      <c r="E371" s="88" t="s">
        <v>879</v>
      </c>
      <c r="F371" s="88" t="s">
        <v>874</v>
      </c>
      <c r="G371" s="88" t="s">
        <v>749</v>
      </c>
      <c r="H371" s="88" t="s">
        <v>596</v>
      </c>
    </row>
    <row r="372" spans="1:8" x14ac:dyDescent="0.3">
      <c r="A372" s="88" t="s">
        <v>592</v>
      </c>
      <c r="B372" s="88">
        <v>34</v>
      </c>
      <c r="C372" s="88">
        <v>34</v>
      </c>
      <c r="D372" s="88" t="s">
        <v>121</v>
      </c>
      <c r="E372" s="88" t="s">
        <v>880</v>
      </c>
      <c r="F372" s="88" t="s">
        <v>704</v>
      </c>
      <c r="G372" s="88" t="s">
        <v>752</v>
      </c>
      <c r="H372" s="88" t="s">
        <v>596</v>
      </c>
    </row>
    <row r="373" spans="1:8" x14ac:dyDescent="0.3">
      <c r="A373" s="88" t="s">
        <v>592</v>
      </c>
      <c r="B373" s="88">
        <v>34</v>
      </c>
      <c r="C373" s="88">
        <v>35</v>
      </c>
      <c r="D373" s="88" t="s">
        <v>121</v>
      </c>
      <c r="E373" s="88" t="s">
        <v>881</v>
      </c>
      <c r="F373" s="88" t="s">
        <v>875</v>
      </c>
      <c r="G373" s="88" t="s">
        <v>755</v>
      </c>
      <c r="H373" s="88" t="s">
        <v>596</v>
      </c>
    </row>
    <row r="374" spans="1:8" x14ac:dyDescent="0.3">
      <c r="A374" s="88" t="s">
        <v>592</v>
      </c>
      <c r="B374" s="88">
        <v>34</v>
      </c>
      <c r="C374" s="88">
        <v>36</v>
      </c>
      <c r="D374" s="88" t="s">
        <v>121</v>
      </c>
      <c r="E374" s="88" t="s">
        <v>882</v>
      </c>
      <c r="F374" s="88" t="s">
        <v>876</v>
      </c>
      <c r="G374" s="88" t="s">
        <v>758</v>
      </c>
      <c r="H374" s="88" t="s">
        <v>596</v>
      </c>
    </row>
    <row r="375" spans="1:8" ht="28.8" x14ac:dyDescent="0.3">
      <c r="A375" s="88" t="s">
        <v>592</v>
      </c>
      <c r="B375" s="88">
        <v>34</v>
      </c>
      <c r="C375" s="88">
        <v>39</v>
      </c>
      <c r="D375" s="88" t="s">
        <v>121</v>
      </c>
      <c r="E375" s="88" t="s">
        <v>883</v>
      </c>
      <c r="F375" s="88" t="s">
        <v>884</v>
      </c>
      <c r="G375" s="88" t="s">
        <v>719</v>
      </c>
      <c r="H375" s="88" t="s">
        <v>596</v>
      </c>
    </row>
    <row r="376" spans="1:8" x14ac:dyDescent="0.3">
      <c r="A376" s="88" t="s">
        <v>592</v>
      </c>
      <c r="B376" s="88">
        <v>35</v>
      </c>
      <c r="C376" s="88">
        <v>33</v>
      </c>
      <c r="D376" s="88" t="s">
        <v>383</v>
      </c>
      <c r="E376" s="88" t="s">
        <v>766</v>
      </c>
      <c r="F376" s="88" t="s">
        <v>879</v>
      </c>
      <c r="G376" s="88" t="s">
        <v>749</v>
      </c>
      <c r="H376" s="88" t="s">
        <v>596</v>
      </c>
    </row>
    <row r="377" spans="1:8" x14ac:dyDescent="0.3">
      <c r="A377" s="88" t="s">
        <v>592</v>
      </c>
      <c r="B377" s="88">
        <v>35</v>
      </c>
      <c r="C377" s="88">
        <v>34</v>
      </c>
      <c r="D377" s="88" t="s">
        <v>383</v>
      </c>
      <c r="E377" s="88" t="s">
        <v>885</v>
      </c>
      <c r="F377" s="88" t="s">
        <v>880</v>
      </c>
      <c r="G377" s="88" t="s">
        <v>752</v>
      </c>
      <c r="H377" s="88" t="s">
        <v>596</v>
      </c>
    </row>
    <row r="378" spans="1:8" x14ac:dyDescent="0.3">
      <c r="A378" s="88" t="s">
        <v>592</v>
      </c>
      <c r="B378" s="88">
        <v>35</v>
      </c>
      <c r="C378" s="88">
        <v>35</v>
      </c>
      <c r="D378" s="88" t="s">
        <v>383</v>
      </c>
      <c r="E378" s="88" t="s">
        <v>886</v>
      </c>
      <c r="F378" s="88" t="s">
        <v>881</v>
      </c>
      <c r="G378" s="88" t="s">
        <v>755</v>
      </c>
      <c r="H378" s="88" t="s">
        <v>596</v>
      </c>
    </row>
    <row r="379" spans="1:8" x14ac:dyDescent="0.3">
      <c r="A379" s="88" t="s">
        <v>592</v>
      </c>
      <c r="B379" s="88">
        <v>35</v>
      </c>
      <c r="C379" s="88">
        <v>36</v>
      </c>
      <c r="D379" s="88" t="s">
        <v>383</v>
      </c>
      <c r="E379" s="88" t="s">
        <v>876</v>
      </c>
      <c r="F379" s="88" t="s">
        <v>882</v>
      </c>
      <c r="G379" s="88" t="s">
        <v>758</v>
      </c>
      <c r="H379" s="88" t="s">
        <v>596</v>
      </c>
    </row>
    <row r="380" spans="1:8" ht="28.8" x14ac:dyDescent="0.3">
      <c r="A380" s="88" t="s">
        <v>592</v>
      </c>
      <c r="B380" s="88">
        <v>35</v>
      </c>
      <c r="C380" s="88">
        <v>39</v>
      </c>
      <c r="D380" s="88" t="s">
        <v>383</v>
      </c>
      <c r="E380" s="88" t="s">
        <v>887</v>
      </c>
      <c r="F380" s="88" t="s">
        <v>888</v>
      </c>
      <c r="G380" s="88" t="s">
        <v>719</v>
      </c>
      <c r="H380" s="88" t="s">
        <v>596</v>
      </c>
    </row>
    <row r="381" spans="1:8" x14ac:dyDescent="0.3">
      <c r="A381" s="88" t="s">
        <v>592</v>
      </c>
      <c r="B381" s="88">
        <v>36</v>
      </c>
      <c r="C381" s="88">
        <v>33</v>
      </c>
      <c r="D381" s="88" t="s">
        <v>123</v>
      </c>
      <c r="E381" s="88" t="s">
        <v>889</v>
      </c>
      <c r="F381" s="88" t="s">
        <v>766</v>
      </c>
      <c r="G381" s="88" t="s">
        <v>749</v>
      </c>
      <c r="H381" s="88" t="s">
        <v>596</v>
      </c>
    </row>
    <row r="382" spans="1:8" x14ac:dyDescent="0.3">
      <c r="A382" s="88" t="s">
        <v>592</v>
      </c>
      <c r="B382" s="88">
        <v>36</v>
      </c>
      <c r="C382" s="88">
        <v>34</v>
      </c>
      <c r="D382" s="88" t="s">
        <v>123</v>
      </c>
      <c r="E382" s="88" t="s">
        <v>792</v>
      </c>
      <c r="F382" s="88" t="s">
        <v>885</v>
      </c>
      <c r="G382" s="88" t="s">
        <v>752</v>
      </c>
      <c r="H382" s="88" t="s">
        <v>596</v>
      </c>
    </row>
    <row r="383" spans="1:8" x14ac:dyDescent="0.3">
      <c r="A383" s="88" t="s">
        <v>592</v>
      </c>
      <c r="B383" s="88">
        <v>36</v>
      </c>
      <c r="C383" s="88">
        <v>35</v>
      </c>
      <c r="D383" s="88" t="s">
        <v>123</v>
      </c>
      <c r="E383" s="88" t="s">
        <v>617</v>
      </c>
      <c r="F383" s="88" t="s">
        <v>886</v>
      </c>
      <c r="G383" s="88" t="s">
        <v>755</v>
      </c>
      <c r="H383" s="88" t="s">
        <v>596</v>
      </c>
    </row>
    <row r="384" spans="1:8" x14ac:dyDescent="0.3">
      <c r="A384" s="88" t="s">
        <v>592</v>
      </c>
      <c r="B384" s="88">
        <v>36</v>
      </c>
      <c r="C384" s="88">
        <v>36</v>
      </c>
      <c r="D384" s="88" t="s">
        <v>123</v>
      </c>
      <c r="E384" s="88" t="s">
        <v>885</v>
      </c>
      <c r="F384" s="88" t="s">
        <v>876</v>
      </c>
      <c r="G384" s="88" t="s">
        <v>758</v>
      </c>
      <c r="H384" s="88" t="s">
        <v>596</v>
      </c>
    </row>
    <row r="385" spans="1:8" x14ac:dyDescent="0.3">
      <c r="A385" s="88" t="s">
        <v>592</v>
      </c>
      <c r="B385" s="88">
        <v>37</v>
      </c>
      <c r="C385" s="88">
        <v>33</v>
      </c>
      <c r="D385" s="88" t="s">
        <v>124</v>
      </c>
      <c r="E385" s="88" t="s">
        <v>890</v>
      </c>
      <c r="F385" s="88" t="s">
        <v>889</v>
      </c>
      <c r="G385" s="88" t="s">
        <v>749</v>
      </c>
      <c r="H385" s="88" t="s">
        <v>596</v>
      </c>
    </row>
    <row r="386" spans="1:8" x14ac:dyDescent="0.3">
      <c r="A386" s="88" t="s">
        <v>592</v>
      </c>
      <c r="B386" s="88">
        <v>37</v>
      </c>
      <c r="C386" s="88">
        <v>34</v>
      </c>
      <c r="D386" s="88" t="s">
        <v>124</v>
      </c>
      <c r="E386" s="88" t="s">
        <v>880</v>
      </c>
      <c r="F386" s="88" t="s">
        <v>792</v>
      </c>
      <c r="G386" s="88" t="s">
        <v>752</v>
      </c>
      <c r="H386" s="88" t="s">
        <v>596</v>
      </c>
    </row>
    <row r="387" spans="1:8" x14ac:dyDescent="0.3">
      <c r="A387" s="88" t="s">
        <v>592</v>
      </c>
      <c r="B387" s="88">
        <v>37</v>
      </c>
      <c r="C387" s="88">
        <v>35</v>
      </c>
      <c r="D387" s="88" t="s">
        <v>124</v>
      </c>
      <c r="E387" s="88" t="s">
        <v>836</v>
      </c>
      <c r="F387" s="88" t="s">
        <v>617</v>
      </c>
      <c r="G387" s="88" t="s">
        <v>755</v>
      </c>
      <c r="H387" s="88" t="s">
        <v>596</v>
      </c>
    </row>
    <row r="388" spans="1:8" x14ac:dyDescent="0.3">
      <c r="A388" s="88" t="s">
        <v>592</v>
      </c>
      <c r="B388" s="88">
        <v>37</v>
      </c>
      <c r="C388" s="88">
        <v>36</v>
      </c>
      <c r="D388" s="88" t="s">
        <v>124</v>
      </c>
      <c r="E388" s="88" t="s">
        <v>891</v>
      </c>
      <c r="F388" s="88" t="s">
        <v>885</v>
      </c>
      <c r="G388" s="88" t="s">
        <v>758</v>
      </c>
      <c r="H388" s="88" t="s">
        <v>596</v>
      </c>
    </row>
    <row r="389" spans="1:8" ht="28.8" x14ac:dyDescent="0.3">
      <c r="A389" s="88" t="s">
        <v>592</v>
      </c>
      <c r="B389" s="88">
        <v>37</v>
      </c>
      <c r="C389" s="88">
        <v>39</v>
      </c>
      <c r="D389" s="88" t="s">
        <v>124</v>
      </c>
      <c r="E389" s="88" t="s">
        <v>892</v>
      </c>
      <c r="F389" s="88" t="s">
        <v>893</v>
      </c>
      <c r="G389" s="88" t="s">
        <v>719</v>
      </c>
      <c r="H389" s="88" t="s">
        <v>596</v>
      </c>
    </row>
    <row r="390" spans="1:8" x14ac:dyDescent="0.3">
      <c r="A390" s="88" t="s">
        <v>592</v>
      </c>
      <c r="B390" s="88">
        <v>38</v>
      </c>
      <c r="C390" s="88">
        <v>18</v>
      </c>
      <c r="D390" s="88" t="s">
        <v>387</v>
      </c>
      <c r="E390" s="88" t="s">
        <v>894</v>
      </c>
      <c r="F390" s="88" t="s">
        <v>895</v>
      </c>
      <c r="G390" s="88" t="s">
        <v>896</v>
      </c>
      <c r="H390" s="88" t="s">
        <v>596</v>
      </c>
    </row>
    <row r="391" spans="1:8" ht="28.8" x14ac:dyDescent="0.3">
      <c r="A391" s="88" t="s">
        <v>592</v>
      </c>
      <c r="B391" s="88">
        <v>38</v>
      </c>
      <c r="C391" s="88">
        <v>39</v>
      </c>
      <c r="D391" s="88" t="s">
        <v>387</v>
      </c>
      <c r="E391" s="88" t="s">
        <v>897</v>
      </c>
      <c r="F391" s="88" t="s">
        <v>898</v>
      </c>
      <c r="G391" s="88" t="s">
        <v>719</v>
      </c>
      <c r="H391" s="88" t="s">
        <v>596</v>
      </c>
    </row>
    <row r="392" spans="1:8" ht="28.8" x14ac:dyDescent="0.3">
      <c r="A392" s="88" t="s">
        <v>592</v>
      </c>
      <c r="B392" s="88">
        <v>38</v>
      </c>
      <c r="C392" s="88">
        <v>40</v>
      </c>
      <c r="D392" s="88" t="s">
        <v>387</v>
      </c>
      <c r="E392" s="88" t="s">
        <v>899</v>
      </c>
      <c r="F392" s="88" t="s">
        <v>900</v>
      </c>
      <c r="G392" s="88" t="s">
        <v>724</v>
      </c>
      <c r="H392" s="88" t="s">
        <v>596</v>
      </c>
    </row>
    <row r="393" spans="1:8" x14ac:dyDescent="0.3">
      <c r="A393" s="88" t="s">
        <v>592</v>
      </c>
      <c r="B393" s="88">
        <v>39</v>
      </c>
      <c r="C393" s="88">
        <v>18</v>
      </c>
      <c r="D393" s="88" t="s">
        <v>389</v>
      </c>
      <c r="E393" s="88" t="s">
        <v>895</v>
      </c>
      <c r="F393" s="88" t="s">
        <v>894</v>
      </c>
      <c r="G393" s="88" t="s">
        <v>896</v>
      </c>
      <c r="H393" s="88" t="s">
        <v>596</v>
      </c>
    </row>
    <row r="394" spans="1:8" x14ac:dyDescent="0.3">
      <c r="A394" s="88" t="s">
        <v>592</v>
      </c>
      <c r="B394" s="88">
        <v>39</v>
      </c>
      <c r="C394" s="88">
        <v>33</v>
      </c>
      <c r="D394" s="88" t="s">
        <v>389</v>
      </c>
      <c r="E394" s="88" t="s">
        <v>901</v>
      </c>
      <c r="F394" s="88" t="s">
        <v>890</v>
      </c>
      <c r="G394" s="88" t="s">
        <v>749</v>
      </c>
      <c r="H394" s="88" t="s">
        <v>596</v>
      </c>
    </row>
    <row r="395" spans="1:8" x14ac:dyDescent="0.3">
      <c r="A395" s="88" t="s">
        <v>592</v>
      </c>
      <c r="B395" s="88">
        <v>39</v>
      </c>
      <c r="C395" s="88">
        <v>34</v>
      </c>
      <c r="D395" s="88" t="s">
        <v>389</v>
      </c>
      <c r="E395" s="88" t="s">
        <v>902</v>
      </c>
      <c r="F395" s="88" t="s">
        <v>880</v>
      </c>
      <c r="G395" s="88" t="s">
        <v>752</v>
      </c>
      <c r="H395" s="88" t="s">
        <v>596</v>
      </c>
    </row>
    <row r="396" spans="1:8" x14ac:dyDescent="0.3">
      <c r="A396" s="88" t="s">
        <v>592</v>
      </c>
      <c r="B396" s="88">
        <v>39</v>
      </c>
      <c r="C396" s="88">
        <v>35</v>
      </c>
      <c r="D396" s="88" t="s">
        <v>389</v>
      </c>
      <c r="E396" s="88" t="s">
        <v>903</v>
      </c>
      <c r="F396" s="88" t="s">
        <v>836</v>
      </c>
      <c r="G396" s="88" t="s">
        <v>755</v>
      </c>
      <c r="H396" s="88" t="s">
        <v>596</v>
      </c>
    </row>
    <row r="397" spans="1:8" x14ac:dyDescent="0.3">
      <c r="A397" s="88" t="s">
        <v>592</v>
      </c>
      <c r="B397" s="88">
        <v>39</v>
      </c>
      <c r="C397" s="88">
        <v>36</v>
      </c>
      <c r="D397" s="88" t="s">
        <v>389</v>
      </c>
      <c r="E397" s="88" t="s">
        <v>904</v>
      </c>
      <c r="F397" s="88" t="s">
        <v>891</v>
      </c>
      <c r="G397" s="88" t="s">
        <v>758</v>
      </c>
      <c r="H397" s="88" t="s">
        <v>596</v>
      </c>
    </row>
    <row r="398" spans="1:8" ht="28.8" x14ac:dyDescent="0.3">
      <c r="A398" s="88" t="s">
        <v>592</v>
      </c>
      <c r="B398" s="88">
        <v>39</v>
      </c>
      <c r="C398" s="88">
        <v>39</v>
      </c>
      <c r="D398" s="88" t="s">
        <v>389</v>
      </c>
      <c r="E398" s="88" t="s">
        <v>905</v>
      </c>
      <c r="F398" s="88" t="s">
        <v>906</v>
      </c>
      <c r="G398" s="88" t="s">
        <v>719</v>
      </c>
      <c r="H398" s="88" t="s">
        <v>596</v>
      </c>
    </row>
    <row r="399" spans="1:8" ht="28.8" x14ac:dyDescent="0.3">
      <c r="A399" s="88" t="s">
        <v>592</v>
      </c>
      <c r="B399" s="88">
        <v>39</v>
      </c>
      <c r="C399" s="88">
        <v>40</v>
      </c>
      <c r="D399" s="88" t="s">
        <v>389</v>
      </c>
      <c r="E399" s="88" t="s">
        <v>900</v>
      </c>
      <c r="F399" s="88" t="s">
        <v>907</v>
      </c>
      <c r="G399" s="88" t="s">
        <v>724</v>
      </c>
      <c r="H399" s="88" t="s">
        <v>596</v>
      </c>
    </row>
    <row r="400" spans="1:8" x14ac:dyDescent="0.3">
      <c r="A400" s="88" t="s">
        <v>592</v>
      </c>
      <c r="B400" s="88">
        <v>40</v>
      </c>
      <c r="C400" s="88">
        <v>33</v>
      </c>
      <c r="D400" s="88" t="s">
        <v>391</v>
      </c>
      <c r="E400" s="88" t="s">
        <v>908</v>
      </c>
      <c r="F400" s="88" t="s">
        <v>901</v>
      </c>
      <c r="G400" s="88" t="s">
        <v>749</v>
      </c>
      <c r="H400" s="88" t="s">
        <v>596</v>
      </c>
    </row>
    <row r="401" spans="1:8" x14ac:dyDescent="0.3">
      <c r="A401" s="88" t="s">
        <v>592</v>
      </c>
      <c r="B401" s="88">
        <v>40</v>
      </c>
      <c r="C401" s="88">
        <v>34</v>
      </c>
      <c r="D401" s="88" t="s">
        <v>391</v>
      </c>
      <c r="E401" s="88" t="s">
        <v>909</v>
      </c>
      <c r="F401" s="88" t="s">
        <v>902</v>
      </c>
      <c r="G401" s="88" t="s">
        <v>752</v>
      </c>
      <c r="H401" s="88" t="s">
        <v>596</v>
      </c>
    </row>
    <row r="402" spans="1:8" x14ac:dyDescent="0.3">
      <c r="A402" s="88" t="s">
        <v>592</v>
      </c>
      <c r="B402" s="88">
        <v>40</v>
      </c>
      <c r="C402" s="88">
        <v>35</v>
      </c>
      <c r="D402" s="88" t="s">
        <v>391</v>
      </c>
      <c r="E402" s="88" t="s">
        <v>826</v>
      </c>
      <c r="F402" s="88" t="s">
        <v>903</v>
      </c>
      <c r="G402" s="88" t="s">
        <v>755</v>
      </c>
      <c r="H402" s="88" t="s">
        <v>596</v>
      </c>
    </row>
    <row r="403" spans="1:8" x14ac:dyDescent="0.3">
      <c r="A403" s="88" t="s">
        <v>592</v>
      </c>
      <c r="B403" s="88">
        <v>40</v>
      </c>
      <c r="C403" s="88">
        <v>36</v>
      </c>
      <c r="D403" s="88" t="s">
        <v>391</v>
      </c>
      <c r="E403" s="88" t="s">
        <v>817</v>
      </c>
      <c r="F403" s="88" t="s">
        <v>904</v>
      </c>
      <c r="G403" s="88" t="s">
        <v>758</v>
      </c>
      <c r="H403" s="88" t="s">
        <v>596</v>
      </c>
    </row>
    <row r="404" spans="1:8" ht="28.8" x14ac:dyDescent="0.3">
      <c r="A404" s="88" t="s">
        <v>592</v>
      </c>
      <c r="B404" s="88">
        <v>40</v>
      </c>
      <c r="C404" s="88">
        <v>39</v>
      </c>
      <c r="D404" s="88" t="s">
        <v>391</v>
      </c>
      <c r="E404" s="88" t="s">
        <v>910</v>
      </c>
      <c r="F404" s="88" t="s">
        <v>911</v>
      </c>
      <c r="G404" s="88" t="s">
        <v>719</v>
      </c>
      <c r="H404" s="88" t="s">
        <v>596</v>
      </c>
    </row>
    <row r="405" spans="1:8" x14ac:dyDescent="0.3">
      <c r="A405" s="88" t="s">
        <v>592</v>
      </c>
      <c r="B405" s="88">
        <v>41</v>
      </c>
      <c r="C405" s="88">
        <v>33</v>
      </c>
      <c r="D405" s="88" t="s">
        <v>128</v>
      </c>
      <c r="E405" s="88" t="s">
        <v>811</v>
      </c>
      <c r="F405" s="88" t="s">
        <v>908</v>
      </c>
      <c r="G405" s="88" t="s">
        <v>749</v>
      </c>
      <c r="H405" s="88" t="s">
        <v>596</v>
      </c>
    </row>
    <row r="406" spans="1:8" x14ac:dyDescent="0.3">
      <c r="A406" s="88" t="s">
        <v>592</v>
      </c>
      <c r="B406" s="88">
        <v>41</v>
      </c>
      <c r="C406" s="88">
        <v>34</v>
      </c>
      <c r="D406" s="88" t="s">
        <v>128</v>
      </c>
      <c r="E406" s="88" t="s">
        <v>912</v>
      </c>
      <c r="F406" s="88" t="s">
        <v>909</v>
      </c>
      <c r="G406" s="88" t="s">
        <v>752</v>
      </c>
      <c r="H406" s="88" t="s">
        <v>596</v>
      </c>
    </row>
    <row r="407" spans="1:8" x14ac:dyDescent="0.3">
      <c r="A407" s="88" t="s">
        <v>592</v>
      </c>
      <c r="B407" s="88">
        <v>41</v>
      </c>
      <c r="C407" s="88">
        <v>35</v>
      </c>
      <c r="D407" s="88" t="s">
        <v>128</v>
      </c>
      <c r="E407" s="88" t="s">
        <v>913</v>
      </c>
      <c r="F407" s="88" t="s">
        <v>826</v>
      </c>
      <c r="G407" s="88" t="s">
        <v>755</v>
      </c>
      <c r="H407" s="88" t="s">
        <v>596</v>
      </c>
    </row>
    <row r="408" spans="1:8" x14ac:dyDescent="0.3">
      <c r="A408" s="88" t="s">
        <v>592</v>
      </c>
      <c r="B408" s="88">
        <v>41</v>
      </c>
      <c r="C408" s="88">
        <v>36</v>
      </c>
      <c r="D408" s="88" t="s">
        <v>128</v>
      </c>
      <c r="E408" s="88" t="s">
        <v>914</v>
      </c>
      <c r="F408" s="88" t="s">
        <v>817</v>
      </c>
      <c r="G408" s="88" t="s">
        <v>758</v>
      </c>
      <c r="H408" s="88" t="s">
        <v>596</v>
      </c>
    </row>
    <row r="409" spans="1:8" ht="28.8" x14ac:dyDescent="0.3">
      <c r="A409" s="88" t="s">
        <v>592</v>
      </c>
      <c r="B409" s="88">
        <v>41</v>
      </c>
      <c r="C409" s="88">
        <v>39</v>
      </c>
      <c r="D409" s="88" t="s">
        <v>128</v>
      </c>
      <c r="E409" s="88" t="s">
        <v>696</v>
      </c>
      <c r="F409" s="88" t="s">
        <v>915</v>
      </c>
      <c r="G409" s="88" t="s">
        <v>719</v>
      </c>
      <c r="H409" s="88" t="s">
        <v>596</v>
      </c>
    </row>
    <row r="410" spans="1:8" x14ac:dyDescent="0.3">
      <c r="A410" s="88" t="s">
        <v>592</v>
      </c>
      <c r="B410" s="88">
        <v>42</v>
      </c>
      <c r="C410" s="88">
        <v>33</v>
      </c>
      <c r="D410" s="88" t="s">
        <v>129</v>
      </c>
      <c r="E410" s="88" t="s">
        <v>916</v>
      </c>
      <c r="F410" s="88" t="s">
        <v>866</v>
      </c>
      <c r="G410" s="88" t="s">
        <v>749</v>
      </c>
      <c r="H410" s="88" t="s">
        <v>596</v>
      </c>
    </row>
    <row r="411" spans="1:8" x14ac:dyDescent="0.3">
      <c r="A411" s="88" t="s">
        <v>592</v>
      </c>
      <c r="B411" s="88">
        <v>42</v>
      </c>
      <c r="C411" s="88">
        <v>34</v>
      </c>
      <c r="D411" s="88" t="s">
        <v>129</v>
      </c>
      <c r="E411" s="88" t="s">
        <v>917</v>
      </c>
      <c r="F411" s="88" t="s">
        <v>835</v>
      </c>
      <c r="G411" s="88" t="s">
        <v>752</v>
      </c>
      <c r="H411" s="88" t="s">
        <v>596</v>
      </c>
    </row>
    <row r="412" spans="1:8" x14ac:dyDescent="0.3">
      <c r="A412" s="88" t="s">
        <v>592</v>
      </c>
      <c r="B412" s="88">
        <v>42</v>
      </c>
      <c r="C412" s="88">
        <v>35</v>
      </c>
      <c r="D412" s="88" t="s">
        <v>129</v>
      </c>
      <c r="E412" s="88" t="s">
        <v>918</v>
      </c>
      <c r="F412" s="88" t="s">
        <v>854</v>
      </c>
      <c r="G412" s="88" t="s">
        <v>755</v>
      </c>
      <c r="H412" s="88" t="s">
        <v>596</v>
      </c>
    </row>
    <row r="413" spans="1:8" x14ac:dyDescent="0.3">
      <c r="A413" s="88" t="s">
        <v>592</v>
      </c>
      <c r="B413" s="88">
        <v>42</v>
      </c>
      <c r="C413" s="88">
        <v>36</v>
      </c>
      <c r="D413" s="88" t="s">
        <v>129</v>
      </c>
      <c r="E413" s="88" t="s">
        <v>919</v>
      </c>
      <c r="F413" s="88" t="s">
        <v>920</v>
      </c>
      <c r="G413" s="88" t="s">
        <v>758</v>
      </c>
      <c r="H413" s="88" t="s">
        <v>596</v>
      </c>
    </row>
    <row r="414" spans="1:8" ht="28.8" x14ac:dyDescent="0.3">
      <c r="A414" s="88" t="s">
        <v>592</v>
      </c>
      <c r="B414" s="88">
        <v>42</v>
      </c>
      <c r="C414" s="88">
        <v>39</v>
      </c>
      <c r="D414" s="88" t="s">
        <v>129</v>
      </c>
      <c r="E414" s="88" t="s">
        <v>745</v>
      </c>
      <c r="F414" s="88" t="s">
        <v>746</v>
      </c>
      <c r="G414" s="88" t="s">
        <v>719</v>
      </c>
      <c r="H414" s="88" t="s">
        <v>596</v>
      </c>
    </row>
    <row r="415" spans="1:8" x14ac:dyDescent="0.3">
      <c r="A415" s="88" t="s">
        <v>592</v>
      </c>
      <c r="B415" s="88">
        <v>43</v>
      </c>
      <c r="C415" s="88">
        <v>33</v>
      </c>
      <c r="D415" s="88" t="s">
        <v>130</v>
      </c>
      <c r="E415" s="88" t="s">
        <v>921</v>
      </c>
      <c r="F415" s="88" t="s">
        <v>811</v>
      </c>
      <c r="G415" s="88" t="s">
        <v>749</v>
      </c>
      <c r="H415" s="88" t="s">
        <v>596</v>
      </c>
    </row>
    <row r="416" spans="1:8" x14ac:dyDescent="0.3">
      <c r="A416" s="88" t="s">
        <v>592</v>
      </c>
      <c r="B416" s="88">
        <v>43</v>
      </c>
      <c r="C416" s="88">
        <v>34</v>
      </c>
      <c r="D416" s="88" t="s">
        <v>130</v>
      </c>
      <c r="E416" s="88" t="s">
        <v>922</v>
      </c>
      <c r="F416" s="88" t="s">
        <v>912</v>
      </c>
      <c r="G416" s="88" t="s">
        <v>752</v>
      </c>
      <c r="H416" s="88" t="s">
        <v>596</v>
      </c>
    </row>
    <row r="417" spans="1:8" x14ac:dyDescent="0.3">
      <c r="A417" s="88" t="s">
        <v>592</v>
      </c>
      <c r="B417" s="88">
        <v>43</v>
      </c>
      <c r="C417" s="88">
        <v>35</v>
      </c>
      <c r="D417" s="88" t="s">
        <v>130</v>
      </c>
      <c r="E417" s="88" t="s">
        <v>923</v>
      </c>
      <c r="F417" s="88" t="s">
        <v>913</v>
      </c>
      <c r="G417" s="88" t="s">
        <v>755</v>
      </c>
      <c r="H417" s="88" t="s">
        <v>596</v>
      </c>
    </row>
    <row r="418" spans="1:8" x14ac:dyDescent="0.3">
      <c r="A418" s="88" t="s">
        <v>592</v>
      </c>
      <c r="B418" s="88">
        <v>43</v>
      </c>
      <c r="C418" s="88">
        <v>36</v>
      </c>
      <c r="D418" s="88" t="s">
        <v>130</v>
      </c>
      <c r="E418" s="88" t="s">
        <v>651</v>
      </c>
      <c r="F418" s="88" t="s">
        <v>914</v>
      </c>
      <c r="G418" s="88" t="s">
        <v>758</v>
      </c>
      <c r="H418" s="88" t="s">
        <v>596</v>
      </c>
    </row>
    <row r="419" spans="1:8" ht="28.8" x14ac:dyDescent="0.3">
      <c r="A419" s="88" t="s">
        <v>592</v>
      </c>
      <c r="B419" s="88">
        <v>43</v>
      </c>
      <c r="C419" s="88">
        <v>39</v>
      </c>
      <c r="D419" s="88" t="s">
        <v>130</v>
      </c>
      <c r="E419" s="88" t="s">
        <v>924</v>
      </c>
      <c r="F419" s="88" t="s">
        <v>925</v>
      </c>
      <c r="G419" s="88" t="s">
        <v>719</v>
      </c>
      <c r="H419" s="88" t="s">
        <v>596</v>
      </c>
    </row>
    <row r="420" spans="1:8" x14ac:dyDescent="0.3">
      <c r="A420" s="88" t="s">
        <v>592</v>
      </c>
      <c r="B420" s="88">
        <v>44</v>
      </c>
      <c r="C420" s="88">
        <v>33</v>
      </c>
      <c r="D420" s="88" t="s">
        <v>131</v>
      </c>
      <c r="E420" s="88" t="s">
        <v>926</v>
      </c>
      <c r="F420" s="88" t="s">
        <v>916</v>
      </c>
      <c r="G420" s="88" t="s">
        <v>749</v>
      </c>
      <c r="H420" s="88" t="s">
        <v>596</v>
      </c>
    </row>
    <row r="421" spans="1:8" x14ac:dyDescent="0.3">
      <c r="A421" s="88" t="s">
        <v>592</v>
      </c>
      <c r="B421" s="88">
        <v>44</v>
      </c>
      <c r="C421" s="88">
        <v>34</v>
      </c>
      <c r="D421" s="88" t="s">
        <v>131</v>
      </c>
      <c r="E421" s="88" t="s">
        <v>927</v>
      </c>
      <c r="F421" s="88" t="s">
        <v>917</v>
      </c>
      <c r="G421" s="88" t="s">
        <v>752</v>
      </c>
      <c r="H421" s="88" t="s">
        <v>596</v>
      </c>
    </row>
    <row r="422" spans="1:8" x14ac:dyDescent="0.3">
      <c r="A422" s="88" t="s">
        <v>592</v>
      </c>
      <c r="B422" s="88">
        <v>44</v>
      </c>
      <c r="C422" s="88">
        <v>35</v>
      </c>
      <c r="D422" s="88" t="s">
        <v>131</v>
      </c>
      <c r="E422" s="88" t="s">
        <v>928</v>
      </c>
      <c r="F422" s="88" t="s">
        <v>918</v>
      </c>
      <c r="G422" s="88" t="s">
        <v>755</v>
      </c>
      <c r="H422" s="88" t="s">
        <v>596</v>
      </c>
    </row>
    <row r="423" spans="1:8" x14ac:dyDescent="0.3">
      <c r="A423" s="88" t="s">
        <v>592</v>
      </c>
      <c r="B423" s="88">
        <v>44</v>
      </c>
      <c r="C423" s="88">
        <v>36</v>
      </c>
      <c r="D423" s="88" t="s">
        <v>131</v>
      </c>
      <c r="E423" s="88" t="s">
        <v>882</v>
      </c>
      <c r="F423" s="88" t="s">
        <v>919</v>
      </c>
      <c r="G423" s="88" t="s">
        <v>758</v>
      </c>
      <c r="H423" s="88" t="s">
        <v>596</v>
      </c>
    </row>
    <row r="424" spans="1:8" ht="28.8" x14ac:dyDescent="0.3">
      <c r="A424" s="88" t="s">
        <v>592</v>
      </c>
      <c r="B424" s="88">
        <v>44</v>
      </c>
      <c r="C424" s="88">
        <v>39</v>
      </c>
      <c r="D424" s="88" t="s">
        <v>131</v>
      </c>
      <c r="E424" s="88" t="s">
        <v>929</v>
      </c>
      <c r="F424" s="88" t="s">
        <v>930</v>
      </c>
      <c r="G424" s="88" t="s">
        <v>719</v>
      </c>
      <c r="H424" s="88" t="s">
        <v>596</v>
      </c>
    </row>
    <row r="425" spans="1:8" ht="28.8" x14ac:dyDescent="0.3">
      <c r="A425" s="88" t="s">
        <v>592</v>
      </c>
      <c r="B425" s="88">
        <v>44</v>
      </c>
      <c r="C425" s="88">
        <v>40</v>
      </c>
      <c r="D425" s="88" t="s">
        <v>131</v>
      </c>
      <c r="E425" s="88" t="s">
        <v>931</v>
      </c>
      <c r="F425" s="88" t="s">
        <v>932</v>
      </c>
      <c r="G425" s="88" t="s">
        <v>724</v>
      </c>
      <c r="H425" s="88" t="s">
        <v>596</v>
      </c>
    </row>
    <row r="426" spans="1:8" x14ac:dyDescent="0.3">
      <c r="A426" s="88" t="s">
        <v>592</v>
      </c>
      <c r="B426" s="88">
        <v>45</v>
      </c>
      <c r="C426" s="88">
        <v>33</v>
      </c>
      <c r="D426" s="88" t="s">
        <v>132</v>
      </c>
      <c r="E426" s="88" t="s">
        <v>933</v>
      </c>
      <c r="F426" s="88" t="s">
        <v>934</v>
      </c>
      <c r="G426" s="88" t="s">
        <v>749</v>
      </c>
      <c r="H426" s="88" t="s">
        <v>596</v>
      </c>
    </row>
    <row r="427" spans="1:8" x14ac:dyDescent="0.3">
      <c r="A427" s="88" t="s">
        <v>592</v>
      </c>
      <c r="B427" s="88">
        <v>45</v>
      </c>
      <c r="C427" s="88">
        <v>34</v>
      </c>
      <c r="D427" s="88" t="s">
        <v>132</v>
      </c>
      <c r="E427" s="88" t="s">
        <v>928</v>
      </c>
      <c r="F427" s="88" t="s">
        <v>879</v>
      </c>
      <c r="G427" s="88" t="s">
        <v>752</v>
      </c>
      <c r="H427" s="88" t="s">
        <v>596</v>
      </c>
    </row>
    <row r="428" spans="1:8" x14ac:dyDescent="0.3">
      <c r="A428" s="88" t="s">
        <v>592</v>
      </c>
      <c r="B428" s="88">
        <v>45</v>
      </c>
      <c r="C428" s="88">
        <v>35</v>
      </c>
      <c r="D428" s="88" t="s">
        <v>132</v>
      </c>
      <c r="E428" s="88" t="s">
        <v>935</v>
      </c>
      <c r="F428" s="88" t="s">
        <v>747</v>
      </c>
      <c r="G428" s="88" t="s">
        <v>755</v>
      </c>
      <c r="H428" s="88" t="s">
        <v>596</v>
      </c>
    </row>
    <row r="429" spans="1:8" x14ac:dyDescent="0.3">
      <c r="A429" s="88" t="s">
        <v>592</v>
      </c>
      <c r="B429" s="88">
        <v>45</v>
      </c>
      <c r="C429" s="88">
        <v>36</v>
      </c>
      <c r="D429" s="88" t="s">
        <v>132</v>
      </c>
      <c r="E429" s="88" t="s">
        <v>936</v>
      </c>
      <c r="F429" s="88" t="s">
        <v>937</v>
      </c>
      <c r="G429" s="88" t="s">
        <v>758</v>
      </c>
      <c r="H429" s="88" t="s">
        <v>596</v>
      </c>
    </row>
    <row r="430" spans="1:8" ht="28.8" x14ac:dyDescent="0.3">
      <c r="A430" s="88" t="s">
        <v>592</v>
      </c>
      <c r="B430" s="88">
        <v>45</v>
      </c>
      <c r="C430" s="88">
        <v>39</v>
      </c>
      <c r="D430" s="88" t="s">
        <v>132</v>
      </c>
      <c r="E430" s="88" t="s">
        <v>850</v>
      </c>
      <c r="F430" s="88" t="s">
        <v>938</v>
      </c>
      <c r="G430" s="88" t="s">
        <v>719</v>
      </c>
      <c r="H430" s="88" t="s">
        <v>596</v>
      </c>
    </row>
    <row r="431" spans="1:8" x14ac:dyDescent="0.3">
      <c r="A431" s="88" t="s">
        <v>592</v>
      </c>
      <c r="B431" s="88">
        <v>46</v>
      </c>
      <c r="C431" s="88">
        <v>33</v>
      </c>
      <c r="D431" s="88" t="s">
        <v>133</v>
      </c>
      <c r="E431" s="88" t="s">
        <v>926</v>
      </c>
      <c r="F431" s="88" t="s">
        <v>921</v>
      </c>
      <c r="G431" s="88" t="s">
        <v>749</v>
      </c>
      <c r="H431" s="88" t="s">
        <v>596</v>
      </c>
    </row>
    <row r="432" spans="1:8" x14ac:dyDescent="0.3">
      <c r="A432" s="88" t="s">
        <v>592</v>
      </c>
      <c r="B432" s="88">
        <v>46</v>
      </c>
      <c r="C432" s="88">
        <v>34</v>
      </c>
      <c r="D432" s="88" t="s">
        <v>133</v>
      </c>
      <c r="E432" s="88" t="s">
        <v>810</v>
      </c>
      <c r="F432" s="88" t="s">
        <v>922</v>
      </c>
      <c r="G432" s="88" t="s">
        <v>752</v>
      </c>
      <c r="H432" s="88" t="s">
        <v>596</v>
      </c>
    </row>
    <row r="433" spans="1:8" x14ac:dyDescent="0.3">
      <c r="A433" s="88" t="s">
        <v>592</v>
      </c>
      <c r="B433" s="88">
        <v>46</v>
      </c>
      <c r="C433" s="88">
        <v>35</v>
      </c>
      <c r="D433" s="88" t="s">
        <v>133</v>
      </c>
      <c r="E433" s="88" t="s">
        <v>652</v>
      </c>
      <c r="F433" s="88" t="s">
        <v>923</v>
      </c>
      <c r="G433" s="88" t="s">
        <v>755</v>
      </c>
      <c r="H433" s="88" t="s">
        <v>596</v>
      </c>
    </row>
    <row r="434" spans="1:8" x14ac:dyDescent="0.3">
      <c r="A434" s="88" t="s">
        <v>592</v>
      </c>
      <c r="B434" s="88">
        <v>46</v>
      </c>
      <c r="C434" s="88">
        <v>36</v>
      </c>
      <c r="D434" s="88" t="s">
        <v>133</v>
      </c>
      <c r="E434" s="88" t="s">
        <v>939</v>
      </c>
      <c r="F434" s="88" t="s">
        <v>651</v>
      </c>
      <c r="G434" s="88" t="s">
        <v>758</v>
      </c>
      <c r="H434" s="88" t="s">
        <v>596</v>
      </c>
    </row>
    <row r="435" spans="1:8" ht="28.8" x14ac:dyDescent="0.3">
      <c r="A435" s="88" t="s">
        <v>592</v>
      </c>
      <c r="B435" s="88">
        <v>46</v>
      </c>
      <c r="C435" s="88">
        <v>39</v>
      </c>
      <c r="D435" s="88" t="s">
        <v>133</v>
      </c>
      <c r="E435" s="88" t="s">
        <v>940</v>
      </c>
      <c r="F435" s="88" t="s">
        <v>941</v>
      </c>
      <c r="G435" s="88" t="s">
        <v>719</v>
      </c>
      <c r="H435" s="88" t="s">
        <v>596</v>
      </c>
    </row>
    <row r="436" spans="1:8" x14ac:dyDescent="0.3">
      <c r="A436" s="88" t="s">
        <v>592</v>
      </c>
      <c r="B436" s="88">
        <v>47</v>
      </c>
      <c r="C436" s="88">
        <v>33</v>
      </c>
      <c r="D436" s="88" t="s">
        <v>134</v>
      </c>
      <c r="E436" s="88" t="s">
        <v>923</v>
      </c>
      <c r="F436" s="88" t="s">
        <v>926</v>
      </c>
      <c r="G436" s="88" t="s">
        <v>749</v>
      </c>
      <c r="H436" s="88" t="s">
        <v>596</v>
      </c>
    </row>
    <row r="437" spans="1:8" x14ac:dyDescent="0.3">
      <c r="A437" s="88" t="s">
        <v>592</v>
      </c>
      <c r="B437" s="88">
        <v>47</v>
      </c>
      <c r="C437" s="88">
        <v>34</v>
      </c>
      <c r="D437" s="88" t="s">
        <v>134</v>
      </c>
      <c r="E437" s="88" t="s">
        <v>942</v>
      </c>
      <c r="F437" s="88" t="s">
        <v>927</v>
      </c>
      <c r="G437" s="88" t="s">
        <v>752</v>
      </c>
      <c r="H437" s="88" t="s">
        <v>596</v>
      </c>
    </row>
    <row r="438" spans="1:8" x14ac:dyDescent="0.3">
      <c r="A438" s="88" t="s">
        <v>592</v>
      </c>
      <c r="B438" s="88">
        <v>47</v>
      </c>
      <c r="C438" s="88">
        <v>35</v>
      </c>
      <c r="D438" s="88" t="s">
        <v>134</v>
      </c>
      <c r="E438" s="88" t="s">
        <v>943</v>
      </c>
      <c r="F438" s="88" t="s">
        <v>928</v>
      </c>
      <c r="G438" s="88" t="s">
        <v>755</v>
      </c>
      <c r="H438" s="88" t="s">
        <v>596</v>
      </c>
    </row>
    <row r="439" spans="1:8" x14ac:dyDescent="0.3">
      <c r="A439" s="88" t="s">
        <v>592</v>
      </c>
      <c r="B439" s="88">
        <v>47</v>
      </c>
      <c r="C439" s="88">
        <v>36</v>
      </c>
      <c r="D439" s="88" t="s">
        <v>134</v>
      </c>
      <c r="E439" s="88" t="s">
        <v>944</v>
      </c>
      <c r="F439" s="88" t="s">
        <v>882</v>
      </c>
      <c r="G439" s="88" t="s">
        <v>758</v>
      </c>
      <c r="H439" s="88" t="s">
        <v>596</v>
      </c>
    </row>
    <row r="440" spans="1:8" ht="28.8" x14ac:dyDescent="0.3">
      <c r="A440" s="88" t="s">
        <v>592</v>
      </c>
      <c r="B440" s="88">
        <v>47</v>
      </c>
      <c r="C440" s="88">
        <v>39</v>
      </c>
      <c r="D440" s="88" t="s">
        <v>134</v>
      </c>
      <c r="E440" s="88" t="s">
        <v>945</v>
      </c>
      <c r="F440" s="88" t="s">
        <v>946</v>
      </c>
      <c r="G440" s="88" t="s">
        <v>719</v>
      </c>
      <c r="H440" s="88" t="s">
        <v>596</v>
      </c>
    </row>
    <row r="441" spans="1:8" ht="28.8" x14ac:dyDescent="0.3">
      <c r="A441" s="88" t="s">
        <v>592</v>
      </c>
      <c r="B441" s="88">
        <v>47</v>
      </c>
      <c r="C441" s="88">
        <v>40</v>
      </c>
      <c r="D441" s="88" t="s">
        <v>134</v>
      </c>
      <c r="E441" s="88" t="s">
        <v>947</v>
      </c>
      <c r="F441" s="88" t="s">
        <v>948</v>
      </c>
      <c r="G441" s="88" t="s">
        <v>724</v>
      </c>
      <c r="H441" s="88" t="s">
        <v>596</v>
      </c>
    </row>
    <row r="442" spans="1:8" x14ac:dyDescent="0.3">
      <c r="A442" s="88" t="s">
        <v>592</v>
      </c>
      <c r="B442" s="88">
        <v>48</v>
      </c>
      <c r="C442" s="88">
        <v>18</v>
      </c>
      <c r="D442" s="88" t="s">
        <v>400</v>
      </c>
      <c r="E442" s="88" t="s">
        <v>949</v>
      </c>
      <c r="F442" s="88" t="s">
        <v>950</v>
      </c>
      <c r="G442" s="88" t="s">
        <v>896</v>
      </c>
      <c r="H442" s="88" t="s">
        <v>596</v>
      </c>
    </row>
    <row r="443" spans="1:8" x14ac:dyDescent="0.3">
      <c r="A443" s="88" t="s">
        <v>592</v>
      </c>
      <c r="B443" s="88">
        <v>48</v>
      </c>
      <c r="C443" s="88">
        <v>33</v>
      </c>
      <c r="D443" s="88" t="s">
        <v>400</v>
      </c>
      <c r="E443" s="88" t="s">
        <v>951</v>
      </c>
      <c r="F443" s="88" t="s">
        <v>933</v>
      </c>
      <c r="G443" s="88" t="s">
        <v>749</v>
      </c>
      <c r="H443" s="88" t="s">
        <v>596</v>
      </c>
    </row>
    <row r="444" spans="1:8" x14ac:dyDescent="0.3">
      <c r="A444" s="88" t="s">
        <v>592</v>
      </c>
      <c r="B444" s="88">
        <v>48</v>
      </c>
      <c r="C444" s="88">
        <v>34</v>
      </c>
      <c r="D444" s="88" t="s">
        <v>400</v>
      </c>
      <c r="E444" s="88" t="s">
        <v>952</v>
      </c>
      <c r="F444" s="88" t="s">
        <v>928</v>
      </c>
      <c r="G444" s="88" t="s">
        <v>752</v>
      </c>
      <c r="H444" s="88" t="s">
        <v>596</v>
      </c>
    </row>
    <row r="445" spans="1:8" x14ac:dyDescent="0.3">
      <c r="A445" s="88" t="s">
        <v>592</v>
      </c>
      <c r="B445" s="88">
        <v>48</v>
      </c>
      <c r="C445" s="88">
        <v>35</v>
      </c>
      <c r="D445" s="88" t="s">
        <v>400</v>
      </c>
      <c r="E445" s="88" t="s">
        <v>953</v>
      </c>
      <c r="F445" s="88" t="s">
        <v>935</v>
      </c>
      <c r="G445" s="88" t="s">
        <v>755</v>
      </c>
      <c r="H445" s="88" t="s">
        <v>596</v>
      </c>
    </row>
    <row r="446" spans="1:8" x14ac:dyDescent="0.3">
      <c r="A446" s="88" t="s">
        <v>592</v>
      </c>
      <c r="B446" s="88">
        <v>48</v>
      </c>
      <c r="C446" s="88">
        <v>36</v>
      </c>
      <c r="D446" s="88" t="s">
        <v>400</v>
      </c>
      <c r="E446" s="88" t="s">
        <v>954</v>
      </c>
      <c r="F446" s="88" t="s">
        <v>936</v>
      </c>
      <c r="G446" s="88" t="s">
        <v>758</v>
      </c>
      <c r="H446" s="88" t="s">
        <v>596</v>
      </c>
    </row>
    <row r="447" spans="1:8" ht="28.8" x14ac:dyDescent="0.3">
      <c r="A447" s="88" t="s">
        <v>592</v>
      </c>
      <c r="B447" s="88">
        <v>48</v>
      </c>
      <c r="C447" s="88">
        <v>39</v>
      </c>
      <c r="D447" s="88" t="s">
        <v>400</v>
      </c>
      <c r="E447" s="88" t="s">
        <v>955</v>
      </c>
      <c r="F447" s="88" t="s">
        <v>956</v>
      </c>
      <c r="G447" s="88" t="s">
        <v>719</v>
      </c>
      <c r="H447" s="88" t="s">
        <v>596</v>
      </c>
    </row>
    <row r="448" spans="1:8" ht="28.8" x14ac:dyDescent="0.3">
      <c r="A448" s="88" t="s">
        <v>592</v>
      </c>
      <c r="B448" s="88">
        <v>48</v>
      </c>
      <c r="C448" s="88">
        <v>40</v>
      </c>
      <c r="D448" s="88" t="s">
        <v>400</v>
      </c>
      <c r="E448" s="88" t="s">
        <v>666</v>
      </c>
      <c r="F448" s="88" t="s">
        <v>957</v>
      </c>
      <c r="G448" s="88" t="s">
        <v>724</v>
      </c>
      <c r="H448" s="88" t="s">
        <v>596</v>
      </c>
    </row>
    <row r="449" spans="1:8" x14ac:dyDescent="0.3">
      <c r="A449" s="88" t="s">
        <v>592</v>
      </c>
      <c r="B449" s="88">
        <v>49</v>
      </c>
      <c r="C449" s="88">
        <v>18</v>
      </c>
      <c r="D449" s="88" t="s">
        <v>136</v>
      </c>
      <c r="E449" s="88" t="s">
        <v>950</v>
      </c>
      <c r="F449" s="88" t="s">
        <v>949</v>
      </c>
      <c r="G449" s="88" t="s">
        <v>896</v>
      </c>
      <c r="H449" s="88" t="s">
        <v>596</v>
      </c>
    </row>
    <row r="450" spans="1:8" x14ac:dyDescent="0.3">
      <c r="A450" s="88" t="s">
        <v>592</v>
      </c>
      <c r="B450" s="88">
        <v>49</v>
      </c>
      <c r="C450" s="88">
        <v>33</v>
      </c>
      <c r="D450" s="88" t="s">
        <v>136</v>
      </c>
      <c r="E450" s="88" t="s">
        <v>784</v>
      </c>
      <c r="F450" s="88" t="s">
        <v>763</v>
      </c>
      <c r="G450" s="88" t="s">
        <v>749</v>
      </c>
      <c r="H450" s="88" t="s">
        <v>596</v>
      </c>
    </row>
    <row r="451" spans="1:8" x14ac:dyDescent="0.3">
      <c r="A451" s="88" t="s">
        <v>592</v>
      </c>
      <c r="B451" s="88">
        <v>49</v>
      </c>
      <c r="C451" s="88">
        <v>34</v>
      </c>
      <c r="D451" s="88" t="s">
        <v>136</v>
      </c>
      <c r="E451" s="88" t="s">
        <v>958</v>
      </c>
      <c r="F451" s="88" t="s">
        <v>959</v>
      </c>
      <c r="G451" s="88" t="s">
        <v>752</v>
      </c>
      <c r="H451" s="88" t="s">
        <v>596</v>
      </c>
    </row>
    <row r="452" spans="1:8" x14ac:dyDescent="0.3">
      <c r="A452" s="88" t="s">
        <v>592</v>
      </c>
      <c r="B452" s="88">
        <v>49</v>
      </c>
      <c r="C452" s="88">
        <v>35</v>
      </c>
      <c r="D452" s="88" t="s">
        <v>136</v>
      </c>
      <c r="E452" s="88" t="s">
        <v>960</v>
      </c>
      <c r="F452" s="88" t="s">
        <v>961</v>
      </c>
      <c r="G452" s="88" t="s">
        <v>755</v>
      </c>
      <c r="H452" s="88" t="s">
        <v>596</v>
      </c>
    </row>
    <row r="453" spans="1:8" x14ac:dyDescent="0.3">
      <c r="A453" s="88" t="s">
        <v>592</v>
      </c>
      <c r="B453" s="88">
        <v>49</v>
      </c>
      <c r="C453" s="88">
        <v>36</v>
      </c>
      <c r="D453" s="88" t="s">
        <v>136</v>
      </c>
      <c r="E453" s="88" t="s">
        <v>962</v>
      </c>
      <c r="F453" s="88" t="s">
        <v>804</v>
      </c>
      <c r="G453" s="88" t="s">
        <v>758</v>
      </c>
      <c r="H453" s="88" t="s">
        <v>596</v>
      </c>
    </row>
    <row r="454" spans="1:8" ht="28.8" x14ac:dyDescent="0.3">
      <c r="A454" s="88" t="s">
        <v>592</v>
      </c>
      <c r="B454" s="88">
        <v>49</v>
      </c>
      <c r="C454" s="88">
        <v>39</v>
      </c>
      <c r="D454" s="88" t="s">
        <v>136</v>
      </c>
      <c r="E454" s="88" t="s">
        <v>963</v>
      </c>
      <c r="F454" s="88" t="s">
        <v>964</v>
      </c>
      <c r="G454" s="88" t="s">
        <v>719</v>
      </c>
      <c r="H454" s="88" t="s">
        <v>596</v>
      </c>
    </row>
    <row r="455" spans="1:8" ht="28.8" x14ac:dyDescent="0.3">
      <c r="A455" s="88" t="s">
        <v>592</v>
      </c>
      <c r="B455" s="88">
        <v>49</v>
      </c>
      <c r="C455" s="88">
        <v>40</v>
      </c>
      <c r="D455" s="88" t="s">
        <v>136</v>
      </c>
      <c r="E455" s="88" t="s">
        <v>965</v>
      </c>
      <c r="F455" s="88" t="s">
        <v>666</v>
      </c>
      <c r="G455" s="88" t="s">
        <v>724</v>
      </c>
      <c r="H455" s="88" t="s">
        <v>596</v>
      </c>
    </row>
    <row r="456" spans="1:8" x14ac:dyDescent="0.3">
      <c r="A456" s="88" t="s">
        <v>592</v>
      </c>
      <c r="B456" s="88">
        <v>50</v>
      </c>
      <c r="C456" s="88">
        <v>33</v>
      </c>
      <c r="D456" s="88" t="s">
        <v>403</v>
      </c>
      <c r="E456" s="88" t="s">
        <v>966</v>
      </c>
      <c r="F456" s="88" t="s">
        <v>926</v>
      </c>
      <c r="G456" s="88" t="s">
        <v>749</v>
      </c>
      <c r="H456" s="88" t="s">
        <v>596</v>
      </c>
    </row>
    <row r="457" spans="1:8" x14ac:dyDescent="0.3">
      <c r="A457" s="88" t="s">
        <v>592</v>
      </c>
      <c r="B457" s="88">
        <v>50</v>
      </c>
      <c r="C457" s="88">
        <v>34</v>
      </c>
      <c r="D457" s="88" t="s">
        <v>403</v>
      </c>
      <c r="E457" s="88" t="s">
        <v>967</v>
      </c>
      <c r="F457" s="88" t="s">
        <v>810</v>
      </c>
      <c r="G457" s="88" t="s">
        <v>752</v>
      </c>
      <c r="H457" s="88" t="s">
        <v>596</v>
      </c>
    </row>
    <row r="458" spans="1:8" x14ac:dyDescent="0.3">
      <c r="A458" s="88" t="s">
        <v>592</v>
      </c>
      <c r="B458" s="88">
        <v>50</v>
      </c>
      <c r="C458" s="88">
        <v>35</v>
      </c>
      <c r="D458" s="88" t="s">
        <v>403</v>
      </c>
      <c r="E458" s="88" t="s">
        <v>968</v>
      </c>
      <c r="F458" s="88" t="s">
        <v>652</v>
      </c>
      <c r="G458" s="88" t="s">
        <v>755</v>
      </c>
      <c r="H458" s="88" t="s">
        <v>596</v>
      </c>
    </row>
    <row r="459" spans="1:8" x14ac:dyDescent="0.3">
      <c r="A459" s="88" t="s">
        <v>592</v>
      </c>
      <c r="B459" s="88">
        <v>50</v>
      </c>
      <c r="C459" s="88">
        <v>36</v>
      </c>
      <c r="D459" s="88" t="s">
        <v>403</v>
      </c>
      <c r="E459" s="88" t="s">
        <v>826</v>
      </c>
      <c r="F459" s="88" t="s">
        <v>939</v>
      </c>
      <c r="G459" s="88" t="s">
        <v>758</v>
      </c>
      <c r="H459" s="88" t="s">
        <v>596</v>
      </c>
    </row>
    <row r="460" spans="1:8" ht="28.8" x14ac:dyDescent="0.3">
      <c r="A460" s="88" t="s">
        <v>592</v>
      </c>
      <c r="B460" s="88">
        <v>50</v>
      </c>
      <c r="C460" s="88">
        <v>39</v>
      </c>
      <c r="D460" s="88" t="s">
        <v>403</v>
      </c>
      <c r="E460" s="88" t="s">
        <v>910</v>
      </c>
      <c r="F460" s="88" t="s">
        <v>969</v>
      </c>
      <c r="G460" s="88" t="s">
        <v>719</v>
      </c>
      <c r="H460" s="88" t="s">
        <v>596</v>
      </c>
    </row>
    <row r="461" spans="1:8" x14ac:dyDescent="0.3">
      <c r="A461" s="88" t="s">
        <v>592</v>
      </c>
      <c r="B461" s="88">
        <v>51</v>
      </c>
      <c r="C461" s="88">
        <v>33</v>
      </c>
      <c r="D461" s="88" t="s">
        <v>405</v>
      </c>
      <c r="E461" s="88" t="s">
        <v>970</v>
      </c>
      <c r="F461" s="88" t="s">
        <v>923</v>
      </c>
      <c r="G461" s="88" t="s">
        <v>749</v>
      </c>
      <c r="H461" s="88" t="s">
        <v>596</v>
      </c>
    </row>
    <row r="462" spans="1:8" x14ac:dyDescent="0.3">
      <c r="A462" s="88" t="s">
        <v>592</v>
      </c>
      <c r="B462" s="88">
        <v>51</v>
      </c>
      <c r="C462" s="88">
        <v>34</v>
      </c>
      <c r="D462" s="88" t="s">
        <v>405</v>
      </c>
      <c r="E462" s="88" t="s">
        <v>971</v>
      </c>
      <c r="F462" s="88" t="s">
        <v>942</v>
      </c>
      <c r="G462" s="88" t="s">
        <v>752</v>
      </c>
      <c r="H462" s="88" t="s">
        <v>596</v>
      </c>
    </row>
    <row r="463" spans="1:8" x14ac:dyDescent="0.3">
      <c r="A463" s="88" t="s">
        <v>592</v>
      </c>
      <c r="B463" s="88">
        <v>51</v>
      </c>
      <c r="C463" s="88">
        <v>35</v>
      </c>
      <c r="D463" s="88" t="s">
        <v>405</v>
      </c>
      <c r="E463" s="88" t="s">
        <v>972</v>
      </c>
      <c r="F463" s="88" t="s">
        <v>943</v>
      </c>
      <c r="G463" s="88" t="s">
        <v>755</v>
      </c>
      <c r="H463" s="88" t="s">
        <v>596</v>
      </c>
    </row>
    <row r="464" spans="1:8" x14ac:dyDescent="0.3">
      <c r="A464" s="88" t="s">
        <v>592</v>
      </c>
      <c r="B464" s="88">
        <v>51</v>
      </c>
      <c r="C464" s="88">
        <v>36</v>
      </c>
      <c r="D464" s="88" t="s">
        <v>405</v>
      </c>
      <c r="E464" s="88" t="s">
        <v>935</v>
      </c>
      <c r="F464" s="88" t="s">
        <v>944</v>
      </c>
      <c r="G464" s="88" t="s">
        <v>758</v>
      </c>
      <c r="H464" s="88" t="s">
        <v>596</v>
      </c>
    </row>
    <row r="465" spans="1:8" ht="28.8" x14ac:dyDescent="0.3">
      <c r="A465" s="88" t="s">
        <v>592</v>
      </c>
      <c r="B465" s="88">
        <v>51</v>
      </c>
      <c r="C465" s="88">
        <v>39</v>
      </c>
      <c r="D465" s="88" t="s">
        <v>405</v>
      </c>
      <c r="E465" s="88" t="s">
        <v>973</v>
      </c>
      <c r="F465" s="88" t="s">
        <v>974</v>
      </c>
      <c r="G465" s="88" t="s">
        <v>719</v>
      </c>
      <c r="H465" s="88" t="s">
        <v>596</v>
      </c>
    </row>
    <row r="466" spans="1:8" ht="28.8" x14ac:dyDescent="0.3">
      <c r="A466" s="88" t="s">
        <v>592</v>
      </c>
      <c r="B466" s="88">
        <v>51</v>
      </c>
      <c r="C466" s="88">
        <v>40</v>
      </c>
      <c r="D466" s="88" t="s">
        <v>405</v>
      </c>
      <c r="E466" s="88" t="s">
        <v>975</v>
      </c>
      <c r="F466" s="88" t="s">
        <v>976</v>
      </c>
      <c r="G466" s="88" t="s">
        <v>724</v>
      </c>
      <c r="H466" s="88" t="s">
        <v>596</v>
      </c>
    </row>
    <row r="467" spans="1:8" x14ac:dyDescent="0.3">
      <c r="A467" s="88" t="s">
        <v>592</v>
      </c>
      <c r="B467" s="88">
        <v>52</v>
      </c>
      <c r="C467" s="88">
        <v>33</v>
      </c>
      <c r="D467" s="88" t="s">
        <v>139</v>
      </c>
      <c r="E467" s="88" t="s">
        <v>977</v>
      </c>
      <c r="F467" s="88" t="s">
        <v>951</v>
      </c>
      <c r="G467" s="88" t="s">
        <v>749</v>
      </c>
      <c r="H467" s="88" t="s">
        <v>596</v>
      </c>
    </row>
    <row r="468" spans="1:8" x14ac:dyDescent="0.3">
      <c r="A468" s="88" t="s">
        <v>592</v>
      </c>
      <c r="B468" s="88">
        <v>52</v>
      </c>
      <c r="C468" s="88">
        <v>34</v>
      </c>
      <c r="D468" s="88" t="s">
        <v>139</v>
      </c>
      <c r="E468" s="88" t="s">
        <v>978</v>
      </c>
      <c r="F468" s="88" t="s">
        <v>952</v>
      </c>
      <c r="G468" s="88" t="s">
        <v>752</v>
      </c>
      <c r="H468" s="88" t="s">
        <v>596</v>
      </c>
    </row>
    <row r="469" spans="1:8" x14ac:dyDescent="0.3">
      <c r="A469" s="88" t="s">
        <v>592</v>
      </c>
      <c r="B469" s="88">
        <v>52</v>
      </c>
      <c r="C469" s="88">
        <v>35</v>
      </c>
      <c r="D469" s="88" t="s">
        <v>139</v>
      </c>
      <c r="E469" s="88" t="s">
        <v>979</v>
      </c>
      <c r="F469" s="88" t="s">
        <v>953</v>
      </c>
      <c r="G469" s="88" t="s">
        <v>755</v>
      </c>
      <c r="H469" s="88" t="s">
        <v>596</v>
      </c>
    </row>
    <row r="470" spans="1:8" x14ac:dyDescent="0.3">
      <c r="A470" s="88" t="s">
        <v>592</v>
      </c>
      <c r="B470" s="88">
        <v>52</v>
      </c>
      <c r="C470" s="88">
        <v>36</v>
      </c>
      <c r="D470" s="88" t="s">
        <v>139</v>
      </c>
      <c r="E470" s="88" t="s">
        <v>980</v>
      </c>
      <c r="F470" s="88" t="s">
        <v>954</v>
      </c>
      <c r="G470" s="88" t="s">
        <v>758</v>
      </c>
      <c r="H470" s="88" t="s">
        <v>596</v>
      </c>
    </row>
    <row r="471" spans="1:8" ht="28.8" x14ac:dyDescent="0.3">
      <c r="A471" s="88" t="s">
        <v>592</v>
      </c>
      <c r="B471" s="88">
        <v>52</v>
      </c>
      <c r="C471" s="88">
        <v>39</v>
      </c>
      <c r="D471" s="88" t="s">
        <v>139</v>
      </c>
      <c r="E471" s="88" t="s">
        <v>981</v>
      </c>
      <c r="F471" s="88" t="s">
        <v>982</v>
      </c>
      <c r="G471" s="88" t="s">
        <v>719</v>
      </c>
      <c r="H471" s="88" t="s">
        <v>596</v>
      </c>
    </row>
    <row r="472" spans="1:8" x14ac:dyDescent="0.3">
      <c r="A472" s="88" t="s">
        <v>592</v>
      </c>
      <c r="B472" s="88">
        <v>53</v>
      </c>
      <c r="C472" s="88">
        <v>33</v>
      </c>
      <c r="D472" s="88" t="s">
        <v>408</v>
      </c>
      <c r="E472" s="88" t="s">
        <v>983</v>
      </c>
      <c r="F472" s="88" t="s">
        <v>784</v>
      </c>
      <c r="G472" s="88" t="s">
        <v>749</v>
      </c>
      <c r="H472" s="88" t="s">
        <v>596</v>
      </c>
    </row>
    <row r="473" spans="1:8" x14ac:dyDescent="0.3">
      <c r="A473" s="88" t="s">
        <v>592</v>
      </c>
      <c r="B473" s="88">
        <v>53</v>
      </c>
      <c r="C473" s="88">
        <v>34</v>
      </c>
      <c r="D473" s="88" t="s">
        <v>408</v>
      </c>
      <c r="E473" s="88" t="s">
        <v>984</v>
      </c>
      <c r="F473" s="88" t="s">
        <v>958</v>
      </c>
      <c r="G473" s="88" t="s">
        <v>752</v>
      </c>
      <c r="H473" s="88" t="s">
        <v>596</v>
      </c>
    </row>
    <row r="474" spans="1:8" x14ac:dyDescent="0.3">
      <c r="A474" s="88" t="s">
        <v>592</v>
      </c>
      <c r="B474" s="88">
        <v>53</v>
      </c>
      <c r="C474" s="88">
        <v>35</v>
      </c>
      <c r="D474" s="88" t="s">
        <v>408</v>
      </c>
      <c r="E474" s="88" t="s">
        <v>985</v>
      </c>
      <c r="F474" s="88" t="s">
        <v>960</v>
      </c>
      <c r="G474" s="88" t="s">
        <v>755</v>
      </c>
      <c r="H474" s="88" t="s">
        <v>596</v>
      </c>
    </row>
    <row r="475" spans="1:8" x14ac:dyDescent="0.3">
      <c r="A475" s="88" t="s">
        <v>592</v>
      </c>
      <c r="B475" s="88">
        <v>53</v>
      </c>
      <c r="C475" s="88">
        <v>36</v>
      </c>
      <c r="D475" s="88" t="s">
        <v>408</v>
      </c>
      <c r="E475" s="88" t="s">
        <v>986</v>
      </c>
      <c r="F475" s="88" t="s">
        <v>962</v>
      </c>
      <c r="G475" s="88" t="s">
        <v>758</v>
      </c>
      <c r="H475" s="88" t="s">
        <v>596</v>
      </c>
    </row>
    <row r="476" spans="1:8" ht="28.8" x14ac:dyDescent="0.3">
      <c r="A476" s="88" t="s">
        <v>592</v>
      </c>
      <c r="B476" s="88">
        <v>53</v>
      </c>
      <c r="C476" s="88">
        <v>39</v>
      </c>
      <c r="D476" s="88" t="s">
        <v>408</v>
      </c>
      <c r="E476" s="88" t="s">
        <v>987</v>
      </c>
      <c r="F476" s="88" t="s">
        <v>988</v>
      </c>
      <c r="G476" s="88" t="s">
        <v>719</v>
      </c>
      <c r="H476" s="88" t="s">
        <v>596</v>
      </c>
    </row>
    <row r="477" spans="1:8" ht="28.8" x14ac:dyDescent="0.3">
      <c r="A477" s="88" t="s">
        <v>592</v>
      </c>
      <c r="B477" s="88">
        <v>53</v>
      </c>
      <c r="C477" s="88">
        <v>40</v>
      </c>
      <c r="D477" s="88" t="s">
        <v>408</v>
      </c>
      <c r="E477" s="88" t="s">
        <v>989</v>
      </c>
      <c r="F477" s="88" t="s">
        <v>990</v>
      </c>
      <c r="G477" s="88" t="s">
        <v>724</v>
      </c>
      <c r="H477" s="88" t="s">
        <v>596</v>
      </c>
    </row>
    <row r="478" spans="1:8" x14ac:dyDescent="0.3">
      <c r="A478" s="88" t="s">
        <v>592</v>
      </c>
      <c r="B478" s="88">
        <v>54</v>
      </c>
      <c r="C478" s="88">
        <v>33</v>
      </c>
      <c r="D478" s="88" t="s">
        <v>141</v>
      </c>
      <c r="E478" s="88" t="s">
        <v>991</v>
      </c>
      <c r="F478" s="88" t="s">
        <v>966</v>
      </c>
      <c r="G478" s="88" t="s">
        <v>749</v>
      </c>
      <c r="H478" s="88" t="s">
        <v>596</v>
      </c>
    </row>
    <row r="479" spans="1:8" x14ac:dyDescent="0.3">
      <c r="A479" s="88" t="s">
        <v>592</v>
      </c>
      <c r="B479" s="88">
        <v>54</v>
      </c>
      <c r="C479" s="88">
        <v>34</v>
      </c>
      <c r="D479" s="88" t="s">
        <v>141</v>
      </c>
      <c r="E479" s="88" t="s">
        <v>992</v>
      </c>
      <c r="F479" s="88" t="s">
        <v>967</v>
      </c>
      <c r="G479" s="88" t="s">
        <v>752</v>
      </c>
      <c r="H479" s="88" t="s">
        <v>596</v>
      </c>
    </row>
    <row r="480" spans="1:8" x14ac:dyDescent="0.3">
      <c r="A480" s="88" t="s">
        <v>592</v>
      </c>
      <c r="B480" s="88">
        <v>54</v>
      </c>
      <c r="C480" s="88">
        <v>35</v>
      </c>
      <c r="D480" s="88" t="s">
        <v>141</v>
      </c>
      <c r="E480" s="88" t="s">
        <v>993</v>
      </c>
      <c r="F480" s="88" t="s">
        <v>968</v>
      </c>
      <c r="G480" s="88" t="s">
        <v>755</v>
      </c>
      <c r="H480" s="88" t="s">
        <v>596</v>
      </c>
    </row>
    <row r="481" spans="1:8" x14ac:dyDescent="0.3">
      <c r="A481" s="88" t="s">
        <v>592</v>
      </c>
      <c r="B481" s="88">
        <v>54</v>
      </c>
      <c r="C481" s="88">
        <v>36</v>
      </c>
      <c r="D481" s="88" t="s">
        <v>141</v>
      </c>
      <c r="E481" s="88" t="s">
        <v>994</v>
      </c>
      <c r="F481" s="88" t="s">
        <v>826</v>
      </c>
      <c r="G481" s="88" t="s">
        <v>758</v>
      </c>
      <c r="H481" s="88" t="s">
        <v>596</v>
      </c>
    </row>
    <row r="482" spans="1:8" ht="28.8" x14ac:dyDescent="0.3">
      <c r="A482" s="88" t="s">
        <v>592</v>
      </c>
      <c r="B482" s="88">
        <v>54</v>
      </c>
      <c r="C482" s="88">
        <v>39</v>
      </c>
      <c r="D482" s="88" t="s">
        <v>141</v>
      </c>
      <c r="E482" s="88" t="s">
        <v>995</v>
      </c>
      <c r="F482" s="88" t="s">
        <v>996</v>
      </c>
      <c r="G482" s="88" t="s">
        <v>719</v>
      </c>
      <c r="H482" s="88" t="s">
        <v>596</v>
      </c>
    </row>
    <row r="483" spans="1:8" x14ac:dyDescent="0.3">
      <c r="A483" s="88" t="s">
        <v>592</v>
      </c>
      <c r="B483" s="88">
        <v>55</v>
      </c>
      <c r="C483" s="88">
        <v>33</v>
      </c>
      <c r="D483" s="88" t="s">
        <v>142</v>
      </c>
      <c r="E483" s="88" t="s">
        <v>753</v>
      </c>
      <c r="F483" s="88" t="s">
        <v>970</v>
      </c>
      <c r="G483" s="88" t="s">
        <v>749</v>
      </c>
      <c r="H483" s="88" t="s">
        <v>596</v>
      </c>
    </row>
    <row r="484" spans="1:8" x14ac:dyDescent="0.3">
      <c r="A484" s="88" t="s">
        <v>592</v>
      </c>
      <c r="B484" s="88">
        <v>55</v>
      </c>
      <c r="C484" s="88">
        <v>34</v>
      </c>
      <c r="D484" s="88" t="s">
        <v>142</v>
      </c>
      <c r="E484" s="88" t="s">
        <v>997</v>
      </c>
      <c r="F484" s="88" t="s">
        <v>971</v>
      </c>
      <c r="G484" s="88" t="s">
        <v>752</v>
      </c>
      <c r="H484" s="88" t="s">
        <v>596</v>
      </c>
    </row>
    <row r="485" spans="1:8" x14ac:dyDescent="0.3">
      <c r="A485" s="88" t="s">
        <v>592</v>
      </c>
      <c r="B485" s="88">
        <v>55</v>
      </c>
      <c r="C485" s="88">
        <v>35</v>
      </c>
      <c r="D485" s="88" t="s">
        <v>142</v>
      </c>
      <c r="E485" s="88" t="s">
        <v>756</v>
      </c>
      <c r="F485" s="88" t="s">
        <v>972</v>
      </c>
      <c r="G485" s="88" t="s">
        <v>755</v>
      </c>
      <c r="H485" s="88" t="s">
        <v>596</v>
      </c>
    </row>
    <row r="486" spans="1:8" x14ac:dyDescent="0.3">
      <c r="A486" s="88" t="s">
        <v>592</v>
      </c>
      <c r="B486" s="88">
        <v>55</v>
      </c>
      <c r="C486" s="88">
        <v>36</v>
      </c>
      <c r="D486" s="88" t="s">
        <v>142</v>
      </c>
      <c r="E486" s="88" t="s">
        <v>998</v>
      </c>
      <c r="F486" s="88" t="s">
        <v>935</v>
      </c>
      <c r="G486" s="88" t="s">
        <v>758</v>
      </c>
      <c r="H486" s="88" t="s">
        <v>596</v>
      </c>
    </row>
    <row r="487" spans="1:8" ht="28.8" x14ac:dyDescent="0.3">
      <c r="A487" s="88" t="s">
        <v>592</v>
      </c>
      <c r="B487" s="88">
        <v>55</v>
      </c>
      <c r="C487" s="88">
        <v>39</v>
      </c>
      <c r="D487" s="88" t="s">
        <v>142</v>
      </c>
      <c r="E487" s="88" t="s">
        <v>887</v>
      </c>
      <c r="F487" s="88" t="s">
        <v>999</v>
      </c>
      <c r="G487" s="88" t="s">
        <v>719</v>
      </c>
      <c r="H487" s="88" t="s">
        <v>596</v>
      </c>
    </row>
    <row r="488" spans="1:8" x14ac:dyDescent="0.3">
      <c r="A488" s="88" t="s">
        <v>592</v>
      </c>
      <c r="B488" s="88">
        <v>56</v>
      </c>
      <c r="C488" s="88">
        <v>33</v>
      </c>
      <c r="D488" s="88" t="s">
        <v>412</v>
      </c>
      <c r="E488" s="88" t="s">
        <v>1000</v>
      </c>
      <c r="F488" s="88" t="s">
        <v>977</v>
      </c>
      <c r="G488" s="88" t="s">
        <v>749</v>
      </c>
      <c r="H488" s="88" t="s">
        <v>596</v>
      </c>
    </row>
    <row r="489" spans="1:8" x14ac:dyDescent="0.3">
      <c r="A489" s="88" t="s">
        <v>592</v>
      </c>
      <c r="B489" s="88">
        <v>56</v>
      </c>
      <c r="C489" s="88">
        <v>34</v>
      </c>
      <c r="D489" s="88" t="s">
        <v>412</v>
      </c>
      <c r="E489" s="88" t="s">
        <v>1001</v>
      </c>
      <c r="F489" s="88" t="s">
        <v>978</v>
      </c>
      <c r="G489" s="88" t="s">
        <v>752</v>
      </c>
      <c r="H489" s="88" t="s">
        <v>596</v>
      </c>
    </row>
    <row r="490" spans="1:8" x14ac:dyDescent="0.3">
      <c r="A490" s="88" t="s">
        <v>592</v>
      </c>
      <c r="B490" s="88">
        <v>56</v>
      </c>
      <c r="C490" s="88">
        <v>35</v>
      </c>
      <c r="D490" s="88" t="s">
        <v>412</v>
      </c>
      <c r="E490" s="88" t="s">
        <v>872</v>
      </c>
      <c r="F490" s="88" t="s">
        <v>979</v>
      </c>
      <c r="G490" s="88" t="s">
        <v>755</v>
      </c>
      <c r="H490" s="88" t="s">
        <v>596</v>
      </c>
    </row>
    <row r="491" spans="1:8" x14ac:dyDescent="0.3">
      <c r="A491" s="88" t="s">
        <v>592</v>
      </c>
      <c r="B491" s="88">
        <v>56</v>
      </c>
      <c r="C491" s="88">
        <v>36</v>
      </c>
      <c r="D491" s="88" t="s">
        <v>412</v>
      </c>
      <c r="E491" s="88" t="s">
        <v>1002</v>
      </c>
      <c r="F491" s="88" t="s">
        <v>980</v>
      </c>
      <c r="G491" s="88" t="s">
        <v>758</v>
      </c>
      <c r="H491" s="88" t="s">
        <v>596</v>
      </c>
    </row>
    <row r="492" spans="1:8" ht="28.8" x14ac:dyDescent="0.3">
      <c r="A492" s="88" t="s">
        <v>592</v>
      </c>
      <c r="B492" s="88">
        <v>56</v>
      </c>
      <c r="C492" s="88">
        <v>39</v>
      </c>
      <c r="D492" s="88" t="s">
        <v>412</v>
      </c>
      <c r="E492" s="88" t="s">
        <v>1003</v>
      </c>
      <c r="F492" s="88" t="s">
        <v>1004</v>
      </c>
      <c r="G492" s="88" t="s">
        <v>719</v>
      </c>
      <c r="H492" s="88" t="s">
        <v>596</v>
      </c>
    </row>
    <row r="493" spans="1:8" x14ac:dyDescent="0.3">
      <c r="A493" s="88" t="s">
        <v>592</v>
      </c>
      <c r="B493" s="88">
        <v>57</v>
      </c>
      <c r="C493" s="88">
        <v>33</v>
      </c>
      <c r="D493" s="88" t="s">
        <v>414</v>
      </c>
      <c r="E493" s="88" t="s">
        <v>764</v>
      </c>
      <c r="F493" s="88" t="s">
        <v>1005</v>
      </c>
      <c r="G493" s="88" t="s">
        <v>749</v>
      </c>
      <c r="H493" s="88" t="s">
        <v>596</v>
      </c>
    </row>
    <row r="494" spans="1:8" x14ac:dyDescent="0.3">
      <c r="A494" s="88" t="s">
        <v>592</v>
      </c>
      <c r="B494" s="88">
        <v>57</v>
      </c>
      <c r="C494" s="88">
        <v>34</v>
      </c>
      <c r="D494" s="88" t="s">
        <v>414</v>
      </c>
      <c r="E494" s="88" t="s">
        <v>1006</v>
      </c>
      <c r="F494" s="88" t="s">
        <v>791</v>
      </c>
      <c r="G494" s="88" t="s">
        <v>752</v>
      </c>
      <c r="H494" s="88" t="s">
        <v>596</v>
      </c>
    </row>
    <row r="495" spans="1:8" x14ac:dyDescent="0.3">
      <c r="A495" s="88" t="s">
        <v>592</v>
      </c>
      <c r="B495" s="88">
        <v>57</v>
      </c>
      <c r="C495" s="88">
        <v>35</v>
      </c>
      <c r="D495" s="88" t="s">
        <v>414</v>
      </c>
      <c r="E495" s="88" t="s">
        <v>656</v>
      </c>
      <c r="F495" s="88" t="s">
        <v>972</v>
      </c>
      <c r="G495" s="88" t="s">
        <v>755</v>
      </c>
      <c r="H495" s="88" t="s">
        <v>596</v>
      </c>
    </row>
    <row r="496" spans="1:8" x14ac:dyDescent="0.3">
      <c r="A496" s="88" t="s">
        <v>592</v>
      </c>
      <c r="B496" s="88">
        <v>57</v>
      </c>
      <c r="C496" s="88">
        <v>36</v>
      </c>
      <c r="D496" s="88" t="s">
        <v>414</v>
      </c>
      <c r="E496" s="88" t="s">
        <v>799</v>
      </c>
      <c r="F496" s="88" t="s">
        <v>1007</v>
      </c>
      <c r="G496" s="88" t="s">
        <v>758</v>
      </c>
      <c r="H496" s="88" t="s">
        <v>596</v>
      </c>
    </row>
    <row r="497" spans="1:8" ht="28.8" x14ac:dyDescent="0.3">
      <c r="A497" s="88" t="s">
        <v>592</v>
      </c>
      <c r="B497" s="88">
        <v>57</v>
      </c>
      <c r="C497" s="88">
        <v>39</v>
      </c>
      <c r="D497" s="88" t="s">
        <v>414</v>
      </c>
      <c r="E497" s="88" t="s">
        <v>1008</v>
      </c>
      <c r="F497" s="88" t="s">
        <v>1009</v>
      </c>
      <c r="G497" s="88" t="s">
        <v>719</v>
      </c>
      <c r="H497" s="88" t="s">
        <v>596</v>
      </c>
    </row>
    <row r="498" spans="1:8" ht="28.8" x14ac:dyDescent="0.3">
      <c r="A498" s="88" t="s">
        <v>592</v>
      </c>
      <c r="B498" s="88">
        <v>57</v>
      </c>
      <c r="C498" s="88">
        <v>40</v>
      </c>
      <c r="D498" s="88" t="s">
        <v>414</v>
      </c>
      <c r="E498" s="88" t="s">
        <v>1010</v>
      </c>
      <c r="F498" s="88" t="s">
        <v>1011</v>
      </c>
      <c r="G498" s="88" t="s">
        <v>724</v>
      </c>
      <c r="H498" s="88" t="s">
        <v>596</v>
      </c>
    </row>
    <row r="499" spans="1:8" x14ac:dyDescent="0.3">
      <c r="A499" s="88" t="s">
        <v>592</v>
      </c>
      <c r="B499" s="88">
        <v>58</v>
      </c>
      <c r="C499" s="88">
        <v>33</v>
      </c>
      <c r="D499" s="88" t="s">
        <v>145</v>
      </c>
      <c r="E499" s="88" t="s">
        <v>1012</v>
      </c>
      <c r="F499" s="88" t="s">
        <v>983</v>
      </c>
      <c r="G499" s="88" t="s">
        <v>749</v>
      </c>
      <c r="H499" s="88" t="s">
        <v>596</v>
      </c>
    </row>
    <row r="500" spans="1:8" x14ac:dyDescent="0.3">
      <c r="A500" s="88" t="s">
        <v>592</v>
      </c>
      <c r="B500" s="88">
        <v>58</v>
      </c>
      <c r="C500" s="88">
        <v>34</v>
      </c>
      <c r="D500" s="88" t="s">
        <v>145</v>
      </c>
      <c r="E500" s="88" t="s">
        <v>1013</v>
      </c>
      <c r="F500" s="88" t="s">
        <v>984</v>
      </c>
      <c r="G500" s="88" t="s">
        <v>752</v>
      </c>
      <c r="H500" s="88" t="s">
        <v>596</v>
      </c>
    </row>
    <row r="501" spans="1:8" x14ac:dyDescent="0.3">
      <c r="A501" s="88" t="s">
        <v>592</v>
      </c>
      <c r="B501" s="88">
        <v>58</v>
      </c>
      <c r="C501" s="88">
        <v>35</v>
      </c>
      <c r="D501" s="88" t="s">
        <v>145</v>
      </c>
      <c r="E501" s="88" t="s">
        <v>1014</v>
      </c>
      <c r="F501" s="88" t="s">
        <v>985</v>
      </c>
      <c r="G501" s="88" t="s">
        <v>755</v>
      </c>
      <c r="H501" s="88" t="s">
        <v>596</v>
      </c>
    </row>
    <row r="502" spans="1:8" x14ac:dyDescent="0.3">
      <c r="A502" s="88" t="s">
        <v>592</v>
      </c>
      <c r="B502" s="88">
        <v>58</v>
      </c>
      <c r="C502" s="88">
        <v>36</v>
      </c>
      <c r="D502" s="88" t="s">
        <v>145</v>
      </c>
      <c r="E502" s="88" t="s">
        <v>1015</v>
      </c>
      <c r="F502" s="88" t="s">
        <v>986</v>
      </c>
      <c r="G502" s="88" t="s">
        <v>758</v>
      </c>
      <c r="H502" s="88" t="s">
        <v>596</v>
      </c>
    </row>
    <row r="503" spans="1:8" ht="28.8" x14ac:dyDescent="0.3">
      <c r="A503" s="88" t="s">
        <v>592</v>
      </c>
      <c r="B503" s="88">
        <v>58</v>
      </c>
      <c r="C503" s="88">
        <v>39</v>
      </c>
      <c r="D503" s="88" t="s">
        <v>145</v>
      </c>
      <c r="E503" s="88" t="s">
        <v>745</v>
      </c>
      <c r="F503" s="88" t="s">
        <v>1016</v>
      </c>
      <c r="G503" s="88" t="s">
        <v>719</v>
      </c>
      <c r="H503" s="88" t="s">
        <v>596</v>
      </c>
    </row>
    <row r="504" spans="1:8" x14ac:dyDescent="0.3">
      <c r="A504" s="88" t="s">
        <v>592</v>
      </c>
      <c r="B504" s="88">
        <v>59</v>
      </c>
      <c r="C504" s="88">
        <v>33</v>
      </c>
      <c r="D504" s="88" t="s">
        <v>146</v>
      </c>
      <c r="E504" s="88" t="s">
        <v>968</v>
      </c>
      <c r="F504" s="88" t="s">
        <v>991</v>
      </c>
      <c r="G504" s="88" t="s">
        <v>749</v>
      </c>
      <c r="H504" s="88" t="s">
        <v>596</v>
      </c>
    </row>
    <row r="505" spans="1:8" x14ac:dyDescent="0.3">
      <c r="A505" s="88" t="s">
        <v>592</v>
      </c>
      <c r="B505" s="88">
        <v>59</v>
      </c>
      <c r="C505" s="88">
        <v>34</v>
      </c>
      <c r="D505" s="88" t="s">
        <v>146</v>
      </c>
      <c r="E505" s="88" t="s">
        <v>953</v>
      </c>
      <c r="F505" s="88" t="s">
        <v>992</v>
      </c>
      <c r="G505" s="88" t="s">
        <v>752</v>
      </c>
      <c r="H505" s="88" t="s">
        <v>596</v>
      </c>
    </row>
    <row r="506" spans="1:8" x14ac:dyDescent="0.3">
      <c r="A506" s="88" t="s">
        <v>592</v>
      </c>
      <c r="B506" s="88">
        <v>59</v>
      </c>
      <c r="C506" s="88">
        <v>35</v>
      </c>
      <c r="D506" s="88" t="s">
        <v>146</v>
      </c>
      <c r="E506" s="88" t="s">
        <v>1017</v>
      </c>
      <c r="F506" s="88" t="s">
        <v>993</v>
      </c>
      <c r="G506" s="88" t="s">
        <v>755</v>
      </c>
      <c r="H506" s="88" t="s">
        <v>596</v>
      </c>
    </row>
    <row r="507" spans="1:8" x14ac:dyDescent="0.3">
      <c r="A507" s="88" t="s">
        <v>592</v>
      </c>
      <c r="B507" s="88">
        <v>59</v>
      </c>
      <c r="C507" s="88">
        <v>36</v>
      </c>
      <c r="D507" s="88" t="s">
        <v>146</v>
      </c>
      <c r="E507" s="88" t="s">
        <v>805</v>
      </c>
      <c r="F507" s="88" t="s">
        <v>994</v>
      </c>
      <c r="G507" s="88" t="s">
        <v>758</v>
      </c>
      <c r="H507" s="88" t="s">
        <v>596</v>
      </c>
    </row>
    <row r="508" spans="1:8" ht="28.8" x14ac:dyDescent="0.3">
      <c r="A508" s="88" t="s">
        <v>592</v>
      </c>
      <c r="B508" s="88">
        <v>59</v>
      </c>
      <c r="C508" s="88">
        <v>39</v>
      </c>
      <c r="D508" s="88" t="s">
        <v>146</v>
      </c>
      <c r="E508" s="88" t="s">
        <v>1018</v>
      </c>
      <c r="F508" s="88" t="s">
        <v>1019</v>
      </c>
      <c r="G508" s="88" t="s">
        <v>719</v>
      </c>
      <c r="H508" s="88" t="s">
        <v>596</v>
      </c>
    </row>
    <row r="509" spans="1:8" ht="28.8" x14ac:dyDescent="0.3">
      <c r="A509" s="88" t="s">
        <v>592</v>
      </c>
      <c r="B509" s="88">
        <v>59</v>
      </c>
      <c r="C509" s="88">
        <v>40</v>
      </c>
      <c r="D509" s="88" t="s">
        <v>146</v>
      </c>
      <c r="E509" s="88" t="s">
        <v>1020</v>
      </c>
      <c r="F509" s="88" t="s">
        <v>1021</v>
      </c>
      <c r="G509" s="88" t="s">
        <v>724</v>
      </c>
      <c r="H509" s="88" t="s">
        <v>596</v>
      </c>
    </row>
    <row r="510" spans="1:8" x14ac:dyDescent="0.3">
      <c r="A510" s="88" t="s">
        <v>592</v>
      </c>
      <c r="B510" s="88">
        <v>60</v>
      </c>
      <c r="C510" s="88">
        <v>33</v>
      </c>
      <c r="D510" s="88" t="s">
        <v>147</v>
      </c>
      <c r="E510" s="88" t="s">
        <v>641</v>
      </c>
      <c r="F510" s="88" t="s">
        <v>1022</v>
      </c>
      <c r="G510" s="88" t="s">
        <v>749</v>
      </c>
      <c r="H510" s="88" t="s">
        <v>596</v>
      </c>
    </row>
    <row r="511" spans="1:8" x14ac:dyDescent="0.3">
      <c r="A511" s="88" t="s">
        <v>592</v>
      </c>
      <c r="B511" s="88">
        <v>60</v>
      </c>
      <c r="C511" s="88">
        <v>34</v>
      </c>
      <c r="D511" s="88" t="s">
        <v>147</v>
      </c>
      <c r="E511" s="88" t="s">
        <v>1023</v>
      </c>
      <c r="F511" s="88" t="s">
        <v>1007</v>
      </c>
      <c r="G511" s="88" t="s">
        <v>752</v>
      </c>
      <c r="H511" s="88" t="s">
        <v>596</v>
      </c>
    </row>
    <row r="512" spans="1:8" x14ac:dyDescent="0.3">
      <c r="A512" s="88" t="s">
        <v>592</v>
      </c>
      <c r="B512" s="88">
        <v>60</v>
      </c>
      <c r="C512" s="88">
        <v>35</v>
      </c>
      <c r="D512" s="88" t="s">
        <v>147</v>
      </c>
      <c r="E512" s="88" t="s">
        <v>876</v>
      </c>
      <c r="F512" s="88" t="s">
        <v>1024</v>
      </c>
      <c r="G512" s="88" t="s">
        <v>755</v>
      </c>
      <c r="H512" s="88" t="s">
        <v>596</v>
      </c>
    </row>
    <row r="513" spans="1:8" x14ac:dyDescent="0.3">
      <c r="A513" s="88" t="s">
        <v>592</v>
      </c>
      <c r="B513" s="88">
        <v>60</v>
      </c>
      <c r="C513" s="88">
        <v>36</v>
      </c>
      <c r="D513" s="88" t="s">
        <v>147</v>
      </c>
      <c r="E513" s="88" t="s">
        <v>1025</v>
      </c>
      <c r="F513" s="88" t="s">
        <v>1026</v>
      </c>
      <c r="G513" s="88" t="s">
        <v>758</v>
      </c>
      <c r="H513" s="88" t="s">
        <v>596</v>
      </c>
    </row>
    <row r="514" spans="1:8" ht="28.8" x14ac:dyDescent="0.3">
      <c r="A514" s="88" t="s">
        <v>592</v>
      </c>
      <c r="B514" s="88">
        <v>60</v>
      </c>
      <c r="C514" s="88">
        <v>39</v>
      </c>
      <c r="D514" s="88" t="s">
        <v>147</v>
      </c>
      <c r="E514" s="88" t="s">
        <v>1027</v>
      </c>
      <c r="F514" s="88" t="s">
        <v>1028</v>
      </c>
      <c r="G514" s="88" t="s">
        <v>719</v>
      </c>
      <c r="H514" s="88" t="s">
        <v>596</v>
      </c>
    </row>
    <row r="515" spans="1:8" x14ac:dyDescent="0.3">
      <c r="A515" s="88" t="s">
        <v>592</v>
      </c>
      <c r="B515" s="88">
        <v>61</v>
      </c>
      <c r="C515" s="88">
        <v>33</v>
      </c>
      <c r="D515" s="88" t="s">
        <v>148</v>
      </c>
      <c r="E515" s="88" t="s">
        <v>1029</v>
      </c>
      <c r="F515" s="88" t="s">
        <v>753</v>
      </c>
      <c r="G515" s="88" t="s">
        <v>749</v>
      </c>
      <c r="H515" s="88" t="s">
        <v>596</v>
      </c>
    </row>
    <row r="516" spans="1:8" x14ac:dyDescent="0.3">
      <c r="A516" s="88" t="s">
        <v>592</v>
      </c>
      <c r="B516" s="88">
        <v>61</v>
      </c>
      <c r="C516" s="88">
        <v>34</v>
      </c>
      <c r="D516" s="88" t="s">
        <v>148</v>
      </c>
      <c r="E516" s="88" t="s">
        <v>1030</v>
      </c>
      <c r="F516" s="88" t="s">
        <v>997</v>
      </c>
      <c r="G516" s="88" t="s">
        <v>752</v>
      </c>
      <c r="H516" s="88" t="s">
        <v>596</v>
      </c>
    </row>
    <row r="517" spans="1:8" x14ac:dyDescent="0.3">
      <c r="A517" s="88" t="s">
        <v>592</v>
      </c>
      <c r="B517" s="88">
        <v>61</v>
      </c>
      <c r="C517" s="88">
        <v>35</v>
      </c>
      <c r="D517" s="88" t="s">
        <v>148</v>
      </c>
      <c r="E517" s="88" t="s">
        <v>831</v>
      </c>
      <c r="F517" s="88" t="s">
        <v>756</v>
      </c>
      <c r="G517" s="88" t="s">
        <v>755</v>
      </c>
      <c r="H517" s="88" t="s">
        <v>596</v>
      </c>
    </row>
    <row r="518" spans="1:8" x14ac:dyDescent="0.3">
      <c r="A518" s="88" t="s">
        <v>592</v>
      </c>
      <c r="B518" s="88">
        <v>61</v>
      </c>
      <c r="C518" s="88">
        <v>36</v>
      </c>
      <c r="D518" s="88" t="s">
        <v>148</v>
      </c>
      <c r="E518" s="88" t="s">
        <v>1031</v>
      </c>
      <c r="F518" s="88" t="s">
        <v>998</v>
      </c>
      <c r="G518" s="88" t="s">
        <v>758</v>
      </c>
      <c r="H518" s="88" t="s">
        <v>596</v>
      </c>
    </row>
    <row r="519" spans="1:8" ht="28.8" x14ac:dyDescent="0.3">
      <c r="A519" s="88" t="s">
        <v>592</v>
      </c>
      <c r="B519" s="88">
        <v>61</v>
      </c>
      <c r="C519" s="88">
        <v>39</v>
      </c>
      <c r="D519" s="88" t="s">
        <v>148</v>
      </c>
      <c r="E519" s="88" t="s">
        <v>1032</v>
      </c>
      <c r="F519" s="88" t="s">
        <v>1033</v>
      </c>
      <c r="G519" s="88" t="s">
        <v>719</v>
      </c>
      <c r="H519" s="88" t="s">
        <v>596</v>
      </c>
    </row>
    <row r="520" spans="1:8" ht="28.8" x14ac:dyDescent="0.3">
      <c r="A520" s="88" t="s">
        <v>592</v>
      </c>
      <c r="B520" s="88">
        <v>61</v>
      </c>
      <c r="C520" s="88">
        <v>40</v>
      </c>
      <c r="D520" s="88" t="s">
        <v>148</v>
      </c>
      <c r="E520" s="88" t="s">
        <v>1034</v>
      </c>
      <c r="F520" s="88" t="s">
        <v>1035</v>
      </c>
      <c r="G520" s="88" t="s">
        <v>724</v>
      </c>
      <c r="H520" s="88" t="s">
        <v>596</v>
      </c>
    </row>
    <row r="521" spans="1:8" x14ac:dyDescent="0.3">
      <c r="A521" s="88" t="s">
        <v>592</v>
      </c>
      <c r="B521" s="88">
        <v>62</v>
      </c>
      <c r="C521" s="88">
        <v>33</v>
      </c>
      <c r="D521" s="88" t="s">
        <v>149</v>
      </c>
      <c r="E521" s="88" t="s">
        <v>1036</v>
      </c>
      <c r="F521" s="88" t="s">
        <v>1000</v>
      </c>
      <c r="G521" s="88" t="s">
        <v>749</v>
      </c>
      <c r="H521" s="88" t="s">
        <v>596</v>
      </c>
    </row>
    <row r="522" spans="1:8" x14ac:dyDescent="0.3">
      <c r="A522" s="88" t="s">
        <v>592</v>
      </c>
      <c r="B522" s="88">
        <v>62</v>
      </c>
      <c r="C522" s="88">
        <v>34</v>
      </c>
      <c r="D522" s="88" t="s">
        <v>149</v>
      </c>
      <c r="E522" s="88" t="s">
        <v>1037</v>
      </c>
      <c r="F522" s="88" t="s">
        <v>1001</v>
      </c>
      <c r="G522" s="88" t="s">
        <v>752</v>
      </c>
      <c r="H522" s="88" t="s">
        <v>596</v>
      </c>
    </row>
    <row r="523" spans="1:8" x14ac:dyDescent="0.3">
      <c r="A523" s="88" t="s">
        <v>592</v>
      </c>
      <c r="B523" s="88">
        <v>62</v>
      </c>
      <c r="C523" s="88">
        <v>35</v>
      </c>
      <c r="D523" s="88" t="s">
        <v>149</v>
      </c>
      <c r="E523" s="88" t="s">
        <v>771</v>
      </c>
      <c r="F523" s="88" t="s">
        <v>872</v>
      </c>
      <c r="G523" s="88" t="s">
        <v>755</v>
      </c>
      <c r="H523" s="88" t="s">
        <v>596</v>
      </c>
    </row>
    <row r="524" spans="1:8" x14ac:dyDescent="0.3">
      <c r="A524" s="88" t="s">
        <v>592</v>
      </c>
      <c r="B524" s="88">
        <v>62</v>
      </c>
      <c r="C524" s="88">
        <v>36</v>
      </c>
      <c r="D524" s="88" t="s">
        <v>149</v>
      </c>
      <c r="E524" s="88" t="s">
        <v>876</v>
      </c>
      <c r="F524" s="88" t="s">
        <v>1002</v>
      </c>
      <c r="G524" s="88" t="s">
        <v>758</v>
      </c>
      <c r="H524" s="88" t="s">
        <v>596</v>
      </c>
    </row>
    <row r="525" spans="1:8" ht="28.8" x14ac:dyDescent="0.3">
      <c r="A525" s="88" t="s">
        <v>592</v>
      </c>
      <c r="B525" s="88">
        <v>62</v>
      </c>
      <c r="C525" s="88">
        <v>39</v>
      </c>
      <c r="D525" s="88" t="s">
        <v>149</v>
      </c>
      <c r="E525" s="88" t="s">
        <v>1038</v>
      </c>
      <c r="F525" s="88" t="s">
        <v>1039</v>
      </c>
      <c r="G525" s="88" t="s">
        <v>719</v>
      </c>
      <c r="H525" s="88" t="s">
        <v>596</v>
      </c>
    </row>
    <row r="526" spans="1:8" ht="28.8" x14ac:dyDescent="0.3">
      <c r="A526" s="88" t="s">
        <v>592</v>
      </c>
      <c r="B526" s="88">
        <v>62</v>
      </c>
      <c r="C526" s="88">
        <v>40</v>
      </c>
      <c r="D526" s="88" t="s">
        <v>149</v>
      </c>
      <c r="E526" s="88" t="s">
        <v>1040</v>
      </c>
      <c r="F526" s="88" t="s">
        <v>1041</v>
      </c>
      <c r="G526" s="88" t="s">
        <v>724</v>
      </c>
      <c r="H526" s="88" t="s">
        <v>596</v>
      </c>
    </row>
    <row r="527" spans="1:8" x14ac:dyDescent="0.3">
      <c r="A527" s="88" t="s">
        <v>592</v>
      </c>
      <c r="B527" s="88">
        <v>63</v>
      </c>
      <c r="C527" s="88">
        <v>33</v>
      </c>
      <c r="D527" s="88" t="s">
        <v>150</v>
      </c>
      <c r="E527" s="88" t="s">
        <v>1042</v>
      </c>
      <c r="F527" s="88" t="s">
        <v>764</v>
      </c>
      <c r="G527" s="88" t="s">
        <v>749</v>
      </c>
      <c r="H527" s="88" t="s">
        <v>596</v>
      </c>
    </row>
    <row r="528" spans="1:8" x14ac:dyDescent="0.3">
      <c r="A528" s="88" t="s">
        <v>592</v>
      </c>
      <c r="B528" s="88">
        <v>63</v>
      </c>
      <c r="C528" s="88">
        <v>34</v>
      </c>
      <c r="D528" s="88" t="s">
        <v>150</v>
      </c>
      <c r="E528" s="88" t="s">
        <v>1043</v>
      </c>
      <c r="F528" s="88" t="s">
        <v>1006</v>
      </c>
      <c r="G528" s="88" t="s">
        <v>752</v>
      </c>
      <c r="H528" s="88" t="s">
        <v>596</v>
      </c>
    </row>
    <row r="529" spans="1:8" x14ac:dyDescent="0.3">
      <c r="A529" s="88" t="s">
        <v>592</v>
      </c>
      <c r="B529" s="88">
        <v>63</v>
      </c>
      <c r="C529" s="88">
        <v>35</v>
      </c>
      <c r="D529" s="88" t="s">
        <v>150</v>
      </c>
      <c r="E529" s="88" t="s">
        <v>904</v>
      </c>
      <c r="F529" s="88" t="s">
        <v>656</v>
      </c>
      <c r="G529" s="88" t="s">
        <v>755</v>
      </c>
      <c r="H529" s="88" t="s">
        <v>596</v>
      </c>
    </row>
    <row r="530" spans="1:8" x14ac:dyDescent="0.3">
      <c r="A530" s="88" t="s">
        <v>592</v>
      </c>
      <c r="B530" s="88">
        <v>63</v>
      </c>
      <c r="C530" s="88">
        <v>36</v>
      </c>
      <c r="D530" s="88" t="s">
        <v>150</v>
      </c>
      <c r="E530" s="88" t="s">
        <v>1044</v>
      </c>
      <c r="F530" s="88" t="s">
        <v>799</v>
      </c>
      <c r="G530" s="88" t="s">
        <v>758</v>
      </c>
      <c r="H530" s="88" t="s">
        <v>596</v>
      </c>
    </row>
    <row r="531" spans="1:8" ht="28.8" x14ac:dyDescent="0.3">
      <c r="A531" s="88" t="s">
        <v>592</v>
      </c>
      <c r="B531" s="88">
        <v>63</v>
      </c>
      <c r="C531" s="88">
        <v>39</v>
      </c>
      <c r="D531" s="88" t="s">
        <v>150</v>
      </c>
      <c r="E531" s="88" t="s">
        <v>1045</v>
      </c>
      <c r="F531" s="88" t="s">
        <v>1046</v>
      </c>
      <c r="G531" s="88" t="s">
        <v>719</v>
      </c>
      <c r="H531" s="88" t="s">
        <v>596</v>
      </c>
    </row>
    <row r="532" spans="1:8" x14ac:dyDescent="0.3">
      <c r="A532" s="88" t="s">
        <v>592</v>
      </c>
      <c r="B532" s="88">
        <v>64</v>
      </c>
      <c r="C532" s="88">
        <v>18</v>
      </c>
      <c r="D532" s="88" t="s">
        <v>422</v>
      </c>
      <c r="E532" s="88" t="s">
        <v>1047</v>
      </c>
      <c r="F532" s="88" t="s">
        <v>692</v>
      </c>
      <c r="G532" s="88" t="s">
        <v>896</v>
      </c>
      <c r="H532" s="88" t="s">
        <v>596</v>
      </c>
    </row>
    <row r="533" spans="1:8" x14ac:dyDescent="0.3">
      <c r="A533" s="88" t="s">
        <v>592</v>
      </c>
      <c r="B533" s="88">
        <v>64</v>
      </c>
      <c r="C533" s="88">
        <v>33</v>
      </c>
      <c r="D533" s="88" t="s">
        <v>422</v>
      </c>
      <c r="E533" s="88" t="s">
        <v>698</v>
      </c>
      <c r="F533" s="88" t="s">
        <v>641</v>
      </c>
      <c r="G533" s="88" t="s">
        <v>749</v>
      </c>
      <c r="H533" s="88" t="s">
        <v>596</v>
      </c>
    </row>
    <row r="534" spans="1:8" x14ac:dyDescent="0.3">
      <c r="A534" s="88" t="s">
        <v>592</v>
      </c>
      <c r="B534" s="88">
        <v>64</v>
      </c>
      <c r="C534" s="88">
        <v>34</v>
      </c>
      <c r="D534" s="88" t="s">
        <v>422</v>
      </c>
      <c r="E534" s="88" t="s">
        <v>952</v>
      </c>
      <c r="F534" s="88" t="s">
        <v>1023</v>
      </c>
      <c r="G534" s="88" t="s">
        <v>752</v>
      </c>
      <c r="H534" s="88" t="s">
        <v>596</v>
      </c>
    </row>
    <row r="535" spans="1:8" x14ac:dyDescent="0.3">
      <c r="A535" s="88" t="s">
        <v>592</v>
      </c>
      <c r="B535" s="88">
        <v>64</v>
      </c>
      <c r="C535" s="88">
        <v>35</v>
      </c>
      <c r="D535" s="88" t="s">
        <v>422</v>
      </c>
      <c r="E535" s="88" t="s">
        <v>1048</v>
      </c>
      <c r="F535" s="88" t="s">
        <v>876</v>
      </c>
      <c r="G535" s="88" t="s">
        <v>755</v>
      </c>
      <c r="H535" s="88" t="s">
        <v>596</v>
      </c>
    </row>
    <row r="536" spans="1:8" x14ac:dyDescent="0.3">
      <c r="A536" s="88" t="s">
        <v>592</v>
      </c>
      <c r="B536" s="88">
        <v>64</v>
      </c>
      <c r="C536" s="88">
        <v>36</v>
      </c>
      <c r="D536" s="88" t="s">
        <v>422</v>
      </c>
      <c r="E536" s="88" t="s">
        <v>993</v>
      </c>
      <c r="F536" s="88" t="s">
        <v>1025</v>
      </c>
      <c r="G536" s="88" t="s">
        <v>758</v>
      </c>
      <c r="H536" s="88" t="s">
        <v>596</v>
      </c>
    </row>
    <row r="537" spans="1:8" ht="28.8" x14ac:dyDescent="0.3">
      <c r="A537" s="88" t="s">
        <v>592</v>
      </c>
      <c r="B537" s="88">
        <v>64</v>
      </c>
      <c r="C537" s="88">
        <v>39</v>
      </c>
      <c r="D537" s="88" t="s">
        <v>422</v>
      </c>
      <c r="E537" s="88" t="s">
        <v>1049</v>
      </c>
      <c r="F537" s="88" t="s">
        <v>1050</v>
      </c>
      <c r="G537" s="88" t="s">
        <v>719</v>
      </c>
      <c r="H537" s="88" t="s">
        <v>596</v>
      </c>
    </row>
    <row r="538" spans="1:8" ht="28.8" x14ac:dyDescent="0.3">
      <c r="A538" s="88" t="s">
        <v>592</v>
      </c>
      <c r="B538" s="88">
        <v>64</v>
      </c>
      <c r="C538" s="88">
        <v>40</v>
      </c>
      <c r="D538" s="88" t="s">
        <v>422</v>
      </c>
      <c r="E538" s="88" t="s">
        <v>1051</v>
      </c>
      <c r="F538" s="88" t="s">
        <v>1052</v>
      </c>
      <c r="G538" s="88" t="s">
        <v>724</v>
      </c>
      <c r="H538" s="88" t="s">
        <v>596</v>
      </c>
    </row>
    <row r="539" spans="1:8" x14ac:dyDescent="0.3">
      <c r="A539" s="88" t="s">
        <v>592</v>
      </c>
      <c r="B539" s="88">
        <v>65</v>
      </c>
      <c r="C539" s="88">
        <v>18</v>
      </c>
      <c r="D539" s="88" t="s">
        <v>152</v>
      </c>
      <c r="E539" s="88" t="s">
        <v>627</v>
      </c>
      <c r="F539" s="88" t="s">
        <v>1047</v>
      </c>
      <c r="G539" s="88" t="s">
        <v>896</v>
      </c>
      <c r="H539" s="88" t="s">
        <v>596</v>
      </c>
    </row>
    <row r="540" spans="1:8" x14ac:dyDescent="0.3">
      <c r="A540" s="88" t="s">
        <v>592</v>
      </c>
      <c r="B540" s="88">
        <v>65</v>
      </c>
      <c r="C540" s="88">
        <v>33</v>
      </c>
      <c r="D540" s="88" t="s">
        <v>152</v>
      </c>
      <c r="E540" s="88" t="s">
        <v>649</v>
      </c>
      <c r="F540" s="88" t="s">
        <v>1012</v>
      </c>
      <c r="G540" s="88" t="s">
        <v>749</v>
      </c>
      <c r="H540" s="88" t="s">
        <v>596</v>
      </c>
    </row>
    <row r="541" spans="1:8" x14ac:dyDescent="0.3">
      <c r="A541" s="88" t="s">
        <v>592</v>
      </c>
      <c r="B541" s="88">
        <v>65</v>
      </c>
      <c r="C541" s="88">
        <v>34</v>
      </c>
      <c r="D541" s="88" t="s">
        <v>152</v>
      </c>
      <c r="E541" s="88" t="s">
        <v>1053</v>
      </c>
      <c r="F541" s="88" t="s">
        <v>1013</v>
      </c>
      <c r="G541" s="88" t="s">
        <v>752</v>
      </c>
      <c r="H541" s="88" t="s">
        <v>596</v>
      </c>
    </row>
    <row r="542" spans="1:8" x14ac:dyDescent="0.3">
      <c r="A542" s="88" t="s">
        <v>592</v>
      </c>
      <c r="B542" s="88">
        <v>65</v>
      </c>
      <c r="C542" s="88">
        <v>35</v>
      </c>
      <c r="D542" s="88" t="s">
        <v>152</v>
      </c>
      <c r="E542" s="88" t="s">
        <v>655</v>
      </c>
      <c r="F542" s="88" t="s">
        <v>1014</v>
      </c>
      <c r="G542" s="88" t="s">
        <v>755</v>
      </c>
      <c r="H542" s="88" t="s">
        <v>596</v>
      </c>
    </row>
    <row r="543" spans="1:8" x14ac:dyDescent="0.3">
      <c r="A543" s="88" t="s">
        <v>592</v>
      </c>
      <c r="B543" s="88">
        <v>65</v>
      </c>
      <c r="C543" s="88">
        <v>36</v>
      </c>
      <c r="D543" s="88" t="s">
        <v>152</v>
      </c>
      <c r="E543" s="88" t="s">
        <v>1054</v>
      </c>
      <c r="F543" s="88" t="s">
        <v>1015</v>
      </c>
      <c r="G543" s="88" t="s">
        <v>758</v>
      </c>
      <c r="H543" s="88" t="s">
        <v>596</v>
      </c>
    </row>
    <row r="544" spans="1:8" ht="28.8" x14ac:dyDescent="0.3">
      <c r="A544" s="88" t="s">
        <v>592</v>
      </c>
      <c r="B544" s="88">
        <v>65</v>
      </c>
      <c r="C544" s="88">
        <v>39</v>
      </c>
      <c r="D544" s="88" t="s">
        <v>152</v>
      </c>
      <c r="E544" s="88" t="s">
        <v>1055</v>
      </c>
      <c r="F544" s="88" t="s">
        <v>1056</v>
      </c>
      <c r="G544" s="88" t="s">
        <v>719</v>
      </c>
      <c r="H544" s="88" t="s">
        <v>596</v>
      </c>
    </row>
    <row r="545" spans="1:8" ht="28.8" x14ac:dyDescent="0.3">
      <c r="A545" s="88" t="s">
        <v>592</v>
      </c>
      <c r="B545" s="88">
        <v>65</v>
      </c>
      <c r="C545" s="88">
        <v>40</v>
      </c>
      <c r="D545" s="88" t="s">
        <v>152</v>
      </c>
      <c r="E545" s="88" t="s">
        <v>1057</v>
      </c>
      <c r="F545" s="88" t="s">
        <v>1058</v>
      </c>
      <c r="G545" s="88" t="s">
        <v>724</v>
      </c>
      <c r="H545" s="88" t="s">
        <v>596</v>
      </c>
    </row>
    <row r="546" spans="1:8" x14ac:dyDescent="0.3">
      <c r="A546" s="88" t="s">
        <v>592</v>
      </c>
      <c r="B546" s="88">
        <v>66</v>
      </c>
      <c r="C546" s="88">
        <v>18</v>
      </c>
      <c r="D546" s="88" t="s">
        <v>153</v>
      </c>
      <c r="E546" s="88" t="s">
        <v>692</v>
      </c>
      <c r="F546" s="88" t="s">
        <v>627</v>
      </c>
      <c r="G546" s="88" t="s">
        <v>896</v>
      </c>
      <c r="H546" s="88" t="s">
        <v>596</v>
      </c>
    </row>
    <row r="547" spans="1:8" x14ac:dyDescent="0.3">
      <c r="A547" s="88" t="s">
        <v>592</v>
      </c>
      <c r="B547" s="88">
        <v>66</v>
      </c>
      <c r="C547" s="88">
        <v>33</v>
      </c>
      <c r="D547" s="88" t="s">
        <v>153</v>
      </c>
      <c r="E547" s="88" t="s">
        <v>864</v>
      </c>
      <c r="F547" s="88" t="s">
        <v>968</v>
      </c>
      <c r="G547" s="88" t="s">
        <v>749</v>
      </c>
      <c r="H547" s="88" t="s">
        <v>596</v>
      </c>
    </row>
    <row r="548" spans="1:8" x14ac:dyDescent="0.3">
      <c r="A548" s="88" t="s">
        <v>592</v>
      </c>
      <c r="B548" s="88">
        <v>66</v>
      </c>
      <c r="C548" s="88">
        <v>34</v>
      </c>
      <c r="D548" s="88" t="s">
        <v>153</v>
      </c>
      <c r="E548" s="88" t="s">
        <v>1059</v>
      </c>
      <c r="F548" s="88" t="s">
        <v>953</v>
      </c>
      <c r="G548" s="88" t="s">
        <v>752</v>
      </c>
      <c r="H548" s="88" t="s">
        <v>596</v>
      </c>
    </row>
    <row r="549" spans="1:8" x14ac:dyDescent="0.3">
      <c r="A549" s="88" t="s">
        <v>592</v>
      </c>
      <c r="B549" s="88">
        <v>66</v>
      </c>
      <c r="C549" s="88">
        <v>35</v>
      </c>
      <c r="D549" s="88" t="s">
        <v>153</v>
      </c>
      <c r="E549" s="88" t="s">
        <v>1013</v>
      </c>
      <c r="F549" s="88" t="s">
        <v>1017</v>
      </c>
      <c r="G549" s="88" t="s">
        <v>755</v>
      </c>
      <c r="H549" s="88" t="s">
        <v>596</v>
      </c>
    </row>
    <row r="550" spans="1:8" x14ac:dyDescent="0.3">
      <c r="A550" s="88" t="s">
        <v>592</v>
      </c>
      <c r="B550" s="88">
        <v>66</v>
      </c>
      <c r="C550" s="88">
        <v>36</v>
      </c>
      <c r="D550" s="88" t="s">
        <v>153</v>
      </c>
      <c r="E550" s="88" t="s">
        <v>920</v>
      </c>
      <c r="F550" s="88" t="s">
        <v>805</v>
      </c>
      <c r="G550" s="88" t="s">
        <v>758</v>
      </c>
      <c r="H550" s="88" t="s">
        <v>596</v>
      </c>
    </row>
    <row r="551" spans="1:8" ht="28.8" x14ac:dyDescent="0.3">
      <c r="A551" s="88" t="s">
        <v>592</v>
      </c>
      <c r="B551" s="88">
        <v>66</v>
      </c>
      <c r="C551" s="88">
        <v>39</v>
      </c>
      <c r="D551" s="88" t="s">
        <v>153</v>
      </c>
      <c r="E551" s="88" t="s">
        <v>734</v>
      </c>
      <c r="F551" s="88"/>
      <c r="G551" s="88" t="s">
        <v>719</v>
      </c>
      <c r="H551" s="88" t="s">
        <v>596</v>
      </c>
    </row>
    <row r="552" spans="1:8" ht="28.8" x14ac:dyDescent="0.3">
      <c r="A552" s="88" t="s">
        <v>592</v>
      </c>
      <c r="B552" s="88">
        <v>66</v>
      </c>
      <c r="C552" s="88">
        <v>40</v>
      </c>
      <c r="D552" s="88" t="s">
        <v>153</v>
      </c>
      <c r="E552" s="88" t="s">
        <v>1052</v>
      </c>
      <c r="F552" s="88" t="s">
        <v>1060</v>
      </c>
      <c r="G552" s="88" t="s">
        <v>724</v>
      </c>
      <c r="H552" s="88" t="s">
        <v>596</v>
      </c>
    </row>
    <row r="553" spans="1:8" x14ac:dyDescent="0.3">
      <c r="A553" s="88" t="s">
        <v>592</v>
      </c>
      <c r="B553" s="88">
        <v>67</v>
      </c>
      <c r="C553" s="88">
        <v>33</v>
      </c>
      <c r="D553" s="88" t="s">
        <v>426</v>
      </c>
      <c r="E553" s="88" t="s">
        <v>968</v>
      </c>
      <c r="F553" s="88" t="s">
        <v>1029</v>
      </c>
      <c r="G553" s="88" t="s">
        <v>749</v>
      </c>
      <c r="H553" s="88" t="s">
        <v>596</v>
      </c>
    </row>
    <row r="554" spans="1:8" x14ac:dyDescent="0.3">
      <c r="A554" s="88" t="s">
        <v>592</v>
      </c>
      <c r="B554" s="88">
        <v>67</v>
      </c>
      <c r="C554" s="88">
        <v>34</v>
      </c>
      <c r="D554" s="88" t="s">
        <v>426</v>
      </c>
      <c r="E554" s="88" t="s">
        <v>842</v>
      </c>
      <c r="F554" s="88" t="s">
        <v>1030</v>
      </c>
      <c r="G554" s="88" t="s">
        <v>752</v>
      </c>
      <c r="H554" s="88" t="s">
        <v>596</v>
      </c>
    </row>
    <row r="555" spans="1:8" x14ac:dyDescent="0.3">
      <c r="A555" s="88" t="s">
        <v>592</v>
      </c>
      <c r="B555" s="88">
        <v>67</v>
      </c>
      <c r="C555" s="88">
        <v>35</v>
      </c>
      <c r="D555" s="88" t="s">
        <v>426</v>
      </c>
      <c r="E555" s="88" t="s">
        <v>1061</v>
      </c>
      <c r="F555" s="88" t="s">
        <v>831</v>
      </c>
      <c r="G555" s="88" t="s">
        <v>755</v>
      </c>
      <c r="H555" s="88" t="s">
        <v>596</v>
      </c>
    </row>
    <row r="556" spans="1:8" x14ac:dyDescent="0.3">
      <c r="A556" s="88" t="s">
        <v>592</v>
      </c>
      <c r="B556" s="88">
        <v>67</v>
      </c>
      <c r="C556" s="88">
        <v>36</v>
      </c>
      <c r="D556" s="88" t="s">
        <v>426</v>
      </c>
      <c r="E556" s="88" t="s">
        <v>913</v>
      </c>
      <c r="F556" s="88" t="s">
        <v>1031</v>
      </c>
      <c r="G556" s="88" t="s">
        <v>758</v>
      </c>
      <c r="H556" s="88" t="s">
        <v>596</v>
      </c>
    </row>
    <row r="557" spans="1:8" ht="28.8" x14ac:dyDescent="0.3">
      <c r="A557" s="88" t="s">
        <v>592</v>
      </c>
      <c r="B557" s="88">
        <v>67</v>
      </c>
      <c r="C557" s="88">
        <v>39</v>
      </c>
      <c r="D557" s="88" t="s">
        <v>426</v>
      </c>
      <c r="E557" s="88" t="s">
        <v>1062</v>
      </c>
      <c r="F557" s="88" t="s">
        <v>1063</v>
      </c>
      <c r="G557" s="88" t="s">
        <v>719</v>
      </c>
      <c r="H557" s="88" t="s">
        <v>596</v>
      </c>
    </row>
    <row r="558" spans="1:8" ht="28.8" x14ac:dyDescent="0.3">
      <c r="A558" s="88" t="s">
        <v>592</v>
      </c>
      <c r="B558" s="88">
        <v>67</v>
      </c>
      <c r="C558" s="88">
        <v>40</v>
      </c>
      <c r="D558" s="88" t="s">
        <v>426</v>
      </c>
      <c r="E558" s="88" t="s">
        <v>1064</v>
      </c>
      <c r="F558" s="88" t="s">
        <v>1065</v>
      </c>
      <c r="G558" s="88" t="s">
        <v>724</v>
      </c>
      <c r="H558" s="88" t="s">
        <v>596</v>
      </c>
    </row>
    <row r="559" spans="1:8" x14ac:dyDescent="0.3">
      <c r="A559" s="88" t="s">
        <v>592</v>
      </c>
      <c r="B559" s="88">
        <v>68</v>
      </c>
      <c r="C559" s="88">
        <v>33</v>
      </c>
      <c r="D559" s="88" t="s">
        <v>428</v>
      </c>
      <c r="E559" s="88" t="s">
        <v>879</v>
      </c>
      <c r="F559" s="88" t="s">
        <v>1053</v>
      </c>
      <c r="G559" s="88" t="s">
        <v>749</v>
      </c>
      <c r="H559" s="88" t="s">
        <v>596</v>
      </c>
    </row>
    <row r="560" spans="1:8" x14ac:dyDescent="0.3">
      <c r="A560" s="88" t="s">
        <v>592</v>
      </c>
      <c r="B560" s="88">
        <v>68</v>
      </c>
      <c r="C560" s="88">
        <v>34</v>
      </c>
      <c r="D560" s="88" t="s">
        <v>428</v>
      </c>
      <c r="E560" s="88" t="s">
        <v>802</v>
      </c>
      <c r="F560" s="88" t="s">
        <v>1066</v>
      </c>
      <c r="G560" s="88" t="s">
        <v>752</v>
      </c>
      <c r="H560" s="88" t="s">
        <v>596</v>
      </c>
    </row>
    <row r="561" spans="1:8" x14ac:dyDescent="0.3">
      <c r="A561" s="88" t="s">
        <v>592</v>
      </c>
      <c r="B561" s="88">
        <v>68</v>
      </c>
      <c r="C561" s="88">
        <v>35</v>
      </c>
      <c r="D561" s="88" t="s">
        <v>428</v>
      </c>
      <c r="E561" s="88" t="s">
        <v>1067</v>
      </c>
      <c r="F561" s="88" t="s">
        <v>1068</v>
      </c>
      <c r="G561" s="88" t="s">
        <v>755</v>
      </c>
      <c r="H561" s="88" t="s">
        <v>596</v>
      </c>
    </row>
    <row r="562" spans="1:8" x14ac:dyDescent="0.3">
      <c r="A562" s="88" t="s">
        <v>592</v>
      </c>
      <c r="B562" s="88">
        <v>68</v>
      </c>
      <c r="C562" s="88">
        <v>36</v>
      </c>
      <c r="D562" s="88" t="s">
        <v>428</v>
      </c>
      <c r="E562" s="88" t="s">
        <v>875</v>
      </c>
      <c r="F562" s="88" t="s">
        <v>814</v>
      </c>
      <c r="G562" s="88" t="s">
        <v>758</v>
      </c>
      <c r="H562" s="88" t="s">
        <v>596</v>
      </c>
    </row>
    <row r="563" spans="1:8" ht="28.8" x14ac:dyDescent="0.3">
      <c r="A563" s="88" t="s">
        <v>592</v>
      </c>
      <c r="B563" s="88">
        <v>68</v>
      </c>
      <c r="C563" s="88">
        <v>39</v>
      </c>
      <c r="D563" s="88" t="s">
        <v>428</v>
      </c>
      <c r="E563" s="88" t="s">
        <v>1027</v>
      </c>
      <c r="F563" s="88" t="s">
        <v>1069</v>
      </c>
      <c r="G563" s="88" t="s">
        <v>719</v>
      </c>
      <c r="H563" s="88" t="s">
        <v>596</v>
      </c>
    </row>
    <row r="564" spans="1:8" x14ac:dyDescent="0.3">
      <c r="A564" s="88" t="s">
        <v>592</v>
      </c>
      <c r="B564" s="88">
        <v>69</v>
      </c>
      <c r="C564" s="88">
        <v>33</v>
      </c>
      <c r="D564" s="88" t="s">
        <v>156</v>
      </c>
      <c r="E564" s="88" t="s">
        <v>1070</v>
      </c>
      <c r="F564" s="88" t="s">
        <v>1036</v>
      </c>
      <c r="G564" s="88" t="s">
        <v>749</v>
      </c>
      <c r="H564" s="88" t="s">
        <v>596</v>
      </c>
    </row>
    <row r="565" spans="1:8" x14ac:dyDescent="0.3">
      <c r="A565" s="88" t="s">
        <v>592</v>
      </c>
      <c r="B565" s="88">
        <v>69</v>
      </c>
      <c r="C565" s="88">
        <v>34</v>
      </c>
      <c r="D565" s="88" t="s">
        <v>156</v>
      </c>
      <c r="E565" s="88" t="s">
        <v>952</v>
      </c>
      <c r="F565" s="88" t="s">
        <v>1037</v>
      </c>
      <c r="G565" s="88" t="s">
        <v>752</v>
      </c>
      <c r="H565" s="88" t="s">
        <v>596</v>
      </c>
    </row>
    <row r="566" spans="1:8" x14ac:dyDescent="0.3">
      <c r="A566" s="88" t="s">
        <v>592</v>
      </c>
      <c r="B566" s="88">
        <v>69</v>
      </c>
      <c r="C566" s="88">
        <v>35</v>
      </c>
      <c r="D566" s="88" t="s">
        <v>156</v>
      </c>
      <c r="E566" s="88" t="s">
        <v>889</v>
      </c>
      <c r="F566" s="88" t="s">
        <v>771</v>
      </c>
      <c r="G566" s="88" t="s">
        <v>755</v>
      </c>
      <c r="H566" s="88" t="s">
        <v>596</v>
      </c>
    </row>
    <row r="567" spans="1:8" x14ac:dyDescent="0.3">
      <c r="A567" s="88" t="s">
        <v>592</v>
      </c>
      <c r="B567" s="88">
        <v>69</v>
      </c>
      <c r="C567" s="88">
        <v>36</v>
      </c>
      <c r="D567" s="88" t="s">
        <v>156</v>
      </c>
      <c r="E567" s="88" t="s">
        <v>1071</v>
      </c>
      <c r="F567" s="88" t="s">
        <v>876</v>
      </c>
      <c r="G567" s="88" t="s">
        <v>758</v>
      </c>
      <c r="H567" s="88" t="s">
        <v>596</v>
      </c>
    </row>
    <row r="568" spans="1:8" ht="28.8" x14ac:dyDescent="0.3">
      <c r="A568" s="88" t="s">
        <v>592</v>
      </c>
      <c r="B568" s="88">
        <v>69</v>
      </c>
      <c r="C568" s="88">
        <v>39</v>
      </c>
      <c r="D568" s="88" t="s">
        <v>156</v>
      </c>
      <c r="E568" s="88" t="s">
        <v>1072</v>
      </c>
      <c r="F568" s="88" t="s">
        <v>1073</v>
      </c>
      <c r="G568" s="88" t="s">
        <v>719</v>
      </c>
      <c r="H568" s="88" t="s">
        <v>596</v>
      </c>
    </row>
    <row r="569" spans="1:8" x14ac:dyDescent="0.3">
      <c r="A569" s="88" t="s">
        <v>592</v>
      </c>
      <c r="B569" s="88">
        <v>70</v>
      </c>
      <c r="C569" s="88">
        <v>33</v>
      </c>
      <c r="D569" s="88" t="s">
        <v>157</v>
      </c>
      <c r="E569" s="88" t="s">
        <v>1074</v>
      </c>
      <c r="F569" s="88" t="s">
        <v>1042</v>
      </c>
      <c r="G569" s="88" t="s">
        <v>749</v>
      </c>
      <c r="H569" s="88" t="s">
        <v>596</v>
      </c>
    </row>
    <row r="570" spans="1:8" x14ac:dyDescent="0.3">
      <c r="A570" s="88" t="s">
        <v>592</v>
      </c>
      <c r="B570" s="88">
        <v>70</v>
      </c>
      <c r="C570" s="88">
        <v>34</v>
      </c>
      <c r="D570" s="88" t="s">
        <v>157</v>
      </c>
      <c r="E570" s="88" t="s">
        <v>1075</v>
      </c>
      <c r="F570" s="88" t="s">
        <v>1043</v>
      </c>
      <c r="G570" s="88" t="s">
        <v>752</v>
      </c>
      <c r="H570" s="88" t="s">
        <v>596</v>
      </c>
    </row>
    <row r="571" spans="1:8" x14ac:dyDescent="0.3">
      <c r="A571" s="88" t="s">
        <v>592</v>
      </c>
      <c r="B571" s="88">
        <v>70</v>
      </c>
      <c r="C571" s="88">
        <v>35</v>
      </c>
      <c r="D571" s="88" t="s">
        <v>157</v>
      </c>
      <c r="E571" s="88" t="s">
        <v>1076</v>
      </c>
      <c r="F571" s="88" t="s">
        <v>904</v>
      </c>
      <c r="G571" s="88" t="s">
        <v>755</v>
      </c>
      <c r="H571" s="88" t="s">
        <v>596</v>
      </c>
    </row>
    <row r="572" spans="1:8" x14ac:dyDescent="0.3">
      <c r="A572" s="88" t="s">
        <v>592</v>
      </c>
      <c r="B572" s="88">
        <v>70</v>
      </c>
      <c r="C572" s="88">
        <v>36</v>
      </c>
      <c r="D572" s="88" t="s">
        <v>157</v>
      </c>
      <c r="E572" s="88" t="s">
        <v>1077</v>
      </c>
      <c r="F572" s="88" t="s">
        <v>1044</v>
      </c>
      <c r="G572" s="88" t="s">
        <v>758</v>
      </c>
      <c r="H572" s="88" t="s">
        <v>596</v>
      </c>
    </row>
    <row r="573" spans="1:8" ht="28.8" x14ac:dyDescent="0.3">
      <c r="A573" s="88" t="s">
        <v>592</v>
      </c>
      <c r="B573" s="88">
        <v>70</v>
      </c>
      <c r="C573" s="88">
        <v>39</v>
      </c>
      <c r="D573" s="88" t="s">
        <v>157</v>
      </c>
      <c r="E573" s="88" t="s">
        <v>725</v>
      </c>
      <c r="F573" s="88" t="s">
        <v>1078</v>
      </c>
      <c r="G573" s="88" t="s">
        <v>719</v>
      </c>
      <c r="H573" s="88" t="s">
        <v>596</v>
      </c>
    </row>
    <row r="574" spans="1:8" x14ac:dyDescent="0.3">
      <c r="A574" s="88" t="s">
        <v>592</v>
      </c>
      <c r="B574" s="88">
        <v>71</v>
      </c>
      <c r="C574" s="88">
        <v>33</v>
      </c>
      <c r="D574" s="88" t="s">
        <v>432</v>
      </c>
      <c r="E574" s="88" t="s">
        <v>1079</v>
      </c>
      <c r="F574" s="88" t="s">
        <v>698</v>
      </c>
      <c r="G574" s="88" t="s">
        <v>749</v>
      </c>
      <c r="H574" s="88" t="s">
        <v>596</v>
      </c>
    </row>
    <row r="575" spans="1:8" x14ac:dyDescent="0.3">
      <c r="A575" s="88" t="s">
        <v>592</v>
      </c>
      <c r="B575" s="88">
        <v>71</v>
      </c>
      <c r="C575" s="88">
        <v>34</v>
      </c>
      <c r="D575" s="88" t="s">
        <v>432</v>
      </c>
      <c r="E575" s="88" t="s">
        <v>1080</v>
      </c>
      <c r="F575" s="88" t="s">
        <v>952</v>
      </c>
      <c r="G575" s="88" t="s">
        <v>752</v>
      </c>
      <c r="H575" s="88" t="s">
        <v>596</v>
      </c>
    </row>
    <row r="576" spans="1:8" x14ac:dyDescent="0.3">
      <c r="A576" s="88" t="s">
        <v>592</v>
      </c>
      <c r="B576" s="88">
        <v>71</v>
      </c>
      <c r="C576" s="88">
        <v>35</v>
      </c>
      <c r="D576" s="88" t="s">
        <v>432</v>
      </c>
      <c r="E576" s="88" t="s">
        <v>1081</v>
      </c>
      <c r="F576" s="88" t="s">
        <v>1048</v>
      </c>
      <c r="G576" s="88" t="s">
        <v>755</v>
      </c>
      <c r="H576" s="88" t="s">
        <v>596</v>
      </c>
    </row>
    <row r="577" spans="1:8" x14ac:dyDescent="0.3">
      <c r="A577" s="88" t="s">
        <v>592</v>
      </c>
      <c r="B577" s="88">
        <v>71</v>
      </c>
      <c r="C577" s="88">
        <v>36</v>
      </c>
      <c r="D577" s="88" t="s">
        <v>432</v>
      </c>
      <c r="E577" s="88" t="s">
        <v>1082</v>
      </c>
      <c r="F577" s="88" t="s">
        <v>993</v>
      </c>
      <c r="G577" s="88" t="s">
        <v>758</v>
      </c>
      <c r="H577" s="88" t="s">
        <v>596</v>
      </c>
    </row>
    <row r="578" spans="1:8" ht="28.8" x14ac:dyDescent="0.3">
      <c r="A578" s="88" t="s">
        <v>592</v>
      </c>
      <c r="B578" s="88">
        <v>71</v>
      </c>
      <c r="C578" s="88">
        <v>39</v>
      </c>
      <c r="D578" s="88" t="s">
        <v>432</v>
      </c>
      <c r="E578" s="88" t="s">
        <v>1083</v>
      </c>
      <c r="F578" s="88" t="s">
        <v>1084</v>
      </c>
      <c r="G578" s="88" t="s">
        <v>719</v>
      </c>
      <c r="H578" s="88" t="s">
        <v>596</v>
      </c>
    </row>
    <row r="579" spans="1:8" x14ac:dyDescent="0.3">
      <c r="A579" s="88" t="s">
        <v>592</v>
      </c>
      <c r="B579" s="88">
        <v>72</v>
      </c>
      <c r="C579" s="88">
        <v>33</v>
      </c>
      <c r="D579" s="88" t="s">
        <v>159</v>
      </c>
      <c r="E579" s="88" t="s">
        <v>968</v>
      </c>
      <c r="F579" s="88" t="s">
        <v>1085</v>
      </c>
      <c r="G579" s="88" t="s">
        <v>749</v>
      </c>
      <c r="H579" s="88" t="s">
        <v>596</v>
      </c>
    </row>
    <row r="580" spans="1:8" x14ac:dyDescent="0.3">
      <c r="A580" s="88" t="s">
        <v>592</v>
      </c>
      <c r="B580" s="88">
        <v>72</v>
      </c>
      <c r="C580" s="88">
        <v>34</v>
      </c>
      <c r="D580" s="88" t="s">
        <v>159</v>
      </c>
      <c r="E580" s="88" t="s">
        <v>1086</v>
      </c>
      <c r="F580" s="88" t="s">
        <v>1087</v>
      </c>
      <c r="G580" s="88" t="s">
        <v>752</v>
      </c>
      <c r="H580" s="88" t="s">
        <v>596</v>
      </c>
    </row>
    <row r="581" spans="1:8" x14ac:dyDescent="0.3">
      <c r="A581" s="88" t="s">
        <v>592</v>
      </c>
      <c r="B581" s="88">
        <v>72</v>
      </c>
      <c r="C581" s="88">
        <v>35</v>
      </c>
      <c r="D581" s="88" t="s">
        <v>159</v>
      </c>
      <c r="E581" s="88" t="s">
        <v>1088</v>
      </c>
      <c r="F581" s="88" t="s">
        <v>1081</v>
      </c>
      <c r="G581" s="88" t="s">
        <v>755</v>
      </c>
      <c r="H581" s="88" t="s">
        <v>596</v>
      </c>
    </row>
    <row r="582" spans="1:8" x14ac:dyDescent="0.3">
      <c r="A582" s="88" t="s">
        <v>592</v>
      </c>
      <c r="B582" s="88">
        <v>72</v>
      </c>
      <c r="C582" s="88">
        <v>36</v>
      </c>
      <c r="D582" s="88" t="s">
        <v>159</v>
      </c>
      <c r="E582" s="88" t="s">
        <v>1089</v>
      </c>
      <c r="F582" s="88" t="s">
        <v>864</v>
      </c>
      <c r="G582" s="88" t="s">
        <v>758</v>
      </c>
      <c r="H582" s="88" t="s">
        <v>596</v>
      </c>
    </row>
    <row r="583" spans="1:8" ht="28.8" x14ac:dyDescent="0.3">
      <c r="A583" s="88" t="s">
        <v>592</v>
      </c>
      <c r="B583" s="88">
        <v>72</v>
      </c>
      <c r="C583" s="88">
        <v>39</v>
      </c>
      <c r="D583" s="88" t="s">
        <v>159</v>
      </c>
      <c r="E583" s="88" t="s">
        <v>897</v>
      </c>
      <c r="F583" s="88" t="s">
        <v>1090</v>
      </c>
      <c r="G583" s="88" t="s">
        <v>719</v>
      </c>
      <c r="H583" s="88" t="s">
        <v>596</v>
      </c>
    </row>
    <row r="584" spans="1:8" ht="28.8" x14ac:dyDescent="0.3">
      <c r="A584" s="88" t="s">
        <v>592</v>
      </c>
      <c r="B584" s="88">
        <v>72</v>
      </c>
      <c r="C584" s="88">
        <v>40</v>
      </c>
      <c r="D584" s="88" t="s">
        <v>159</v>
      </c>
      <c r="E584" s="88" t="s">
        <v>1091</v>
      </c>
      <c r="F584" s="88" t="s">
        <v>1092</v>
      </c>
      <c r="G584" s="88" t="s">
        <v>724</v>
      </c>
      <c r="H584" s="88" t="s">
        <v>596</v>
      </c>
    </row>
    <row r="585" spans="1:8" x14ac:dyDescent="0.3">
      <c r="A585" s="88" t="s">
        <v>592</v>
      </c>
      <c r="B585" s="88">
        <v>73</v>
      </c>
      <c r="C585" s="88">
        <v>33</v>
      </c>
      <c r="D585" s="88" t="s">
        <v>160</v>
      </c>
      <c r="E585" s="88" t="s">
        <v>1093</v>
      </c>
      <c r="F585" s="88" t="s">
        <v>649</v>
      </c>
      <c r="G585" s="88" t="s">
        <v>749</v>
      </c>
      <c r="H585" s="88" t="s">
        <v>596</v>
      </c>
    </row>
    <row r="586" spans="1:8" x14ac:dyDescent="0.3">
      <c r="A586" s="88" t="s">
        <v>592</v>
      </c>
      <c r="B586" s="88">
        <v>73</v>
      </c>
      <c r="C586" s="88">
        <v>34</v>
      </c>
      <c r="D586" s="88" t="s">
        <v>160</v>
      </c>
      <c r="E586" s="88" t="s">
        <v>1094</v>
      </c>
      <c r="F586" s="88" t="s">
        <v>1053</v>
      </c>
      <c r="G586" s="88" t="s">
        <v>752</v>
      </c>
      <c r="H586" s="88" t="s">
        <v>596</v>
      </c>
    </row>
    <row r="587" spans="1:8" x14ac:dyDescent="0.3">
      <c r="A587" s="88" t="s">
        <v>592</v>
      </c>
      <c r="B587" s="88">
        <v>73</v>
      </c>
      <c r="C587" s="88">
        <v>35</v>
      </c>
      <c r="D587" s="88" t="s">
        <v>160</v>
      </c>
      <c r="E587" s="88" t="s">
        <v>765</v>
      </c>
      <c r="F587" s="88" t="s">
        <v>655</v>
      </c>
      <c r="G587" s="88" t="s">
        <v>755</v>
      </c>
      <c r="H587" s="88" t="s">
        <v>596</v>
      </c>
    </row>
    <row r="588" spans="1:8" x14ac:dyDescent="0.3">
      <c r="A588" s="88" t="s">
        <v>592</v>
      </c>
      <c r="B588" s="88">
        <v>73</v>
      </c>
      <c r="C588" s="88">
        <v>36</v>
      </c>
      <c r="D588" s="88" t="s">
        <v>160</v>
      </c>
      <c r="E588" s="88" t="s">
        <v>787</v>
      </c>
      <c r="F588" s="88" t="s">
        <v>1054</v>
      </c>
      <c r="G588" s="88" t="s">
        <v>758</v>
      </c>
      <c r="H588" s="88" t="s">
        <v>596</v>
      </c>
    </row>
    <row r="589" spans="1:8" ht="28.8" x14ac:dyDescent="0.3">
      <c r="A589" s="88" t="s">
        <v>592</v>
      </c>
      <c r="B589" s="88">
        <v>73</v>
      </c>
      <c r="C589" s="88">
        <v>39</v>
      </c>
      <c r="D589" s="88" t="s">
        <v>160</v>
      </c>
      <c r="E589" s="88" t="s">
        <v>910</v>
      </c>
      <c r="F589" s="88" t="s">
        <v>911</v>
      </c>
      <c r="G589" s="88" t="s">
        <v>719</v>
      </c>
      <c r="H589" s="88" t="s">
        <v>596</v>
      </c>
    </row>
    <row r="590" spans="1:8" x14ac:dyDescent="0.3">
      <c r="A590" s="88" t="s">
        <v>592</v>
      </c>
      <c r="B590" s="88">
        <v>74</v>
      </c>
      <c r="C590" s="88">
        <v>33</v>
      </c>
      <c r="D590" s="88" t="s">
        <v>161</v>
      </c>
      <c r="E590" s="88" t="s">
        <v>1095</v>
      </c>
      <c r="F590" s="88" t="s">
        <v>864</v>
      </c>
      <c r="G590" s="88" t="s">
        <v>749</v>
      </c>
      <c r="H590" s="88" t="s">
        <v>596</v>
      </c>
    </row>
    <row r="591" spans="1:8" x14ac:dyDescent="0.3">
      <c r="A591" s="88" t="s">
        <v>592</v>
      </c>
      <c r="B591" s="88">
        <v>74</v>
      </c>
      <c r="C591" s="88">
        <v>34</v>
      </c>
      <c r="D591" s="88" t="s">
        <v>161</v>
      </c>
      <c r="E591" s="88" t="s">
        <v>1096</v>
      </c>
      <c r="F591" s="88" t="s">
        <v>1059</v>
      </c>
      <c r="G591" s="88" t="s">
        <v>752</v>
      </c>
      <c r="H591" s="88" t="s">
        <v>596</v>
      </c>
    </row>
    <row r="592" spans="1:8" x14ac:dyDescent="0.3">
      <c r="A592" s="88" t="s">
        <v>592</v>
      </c>
      <c r="B592" s="88">
        <v>74</v>
      </c>
      <c r="C592" s="88">
        <v>35</v>
      </c>
      <c r="D592" s="88" t="s">
        <v>161</v>
      </c>
      <c r="E592" s="88" t="s">
        <v>1097</v>
      </c>
      <c r="F592" s="88" t="s">
        <v>1013</v>
      </c>
      <c r="G592" s="88" t="s">
        <v>755</v>
      </c>
      <c r="H592" s="88" t="s">
        <v>596</v>
      </c>
    </row>
    <row r="593" spans="1:8" x14ac:dyDescent="0.3">
      <c r="A593" s="88" t="s">
        <v>592</v>
      </c>
      <c r="B593" s="88">
        <v>74</v>
      </c>
      <c r="C593" s="88">
        <v>36</v>
      </c>
      <c r="D593" s="88" t="s">
        <v>161</v>
      </c>
      <c r="E593" s="88" t="s">
        <v>832</v>
      </c>
      <c r="F593" s="88" t="s">
        <v>920</v>
      </c>
      <c r="G593" s="88" t="s">
        <v>758</v>
      </c>
      <c r="H593" s="88" t="s">
        <v>596</v>
      </c>
    </row>
    <row r="594" spans="1:8" x14ac:dyDescent="0.3">
      <c r="A594" s="88" t="s">
        <v>592</v>
      </c>
      <c r="B594" s="88">
        <v>75</v>
      </c>
      <c r="C594" s="88">
        <v>33</v>
      </c>
      <c r="D594" s="88" t="s">
        <v>162</v>
      </c>
      <c r="E594" s="88" t="s">
        <v>1098</v>
      </c>
      <c r="F594" s="88" t="s">
        <v>968</v>
      </c>
      <c r="G594" s="88" t="s">
        <v>749</v>
      </c>
      <c r="H594" s="88" t="s">
        <v>596</v>
      </c>
    </row>
    <row r="595" spans="1:8" x14ac:dyDescent="0.3">
      <c r="A595" s="88" t="s">
        <v>592</v>
      </c>
      <c r="B595" s="88">
        <v>75</v>
      </c>
      <c r="C595" s="88">
        <v>34</v>
      </c>
      <c r="D595" s="88" t="s">
        <v>162</v>
      </c>
      <c r="E595" s="88" t="s">
        <v>1099</v>
      </c>
      <c r="F595" s="88" t="s">
        <v>842</v>
      </c>
      <c r="G595" s="88" t="s">
        <v>752</v>
      </c>
      <c r="H595" s="88" t="s">
        <v>596</v>
      </c>
    </row>
    <row r="596" spans="1:8" x14ac:dyDescent="0.3">
      <c r="A596" s="88" t="s">
        <v>592</v>
      </c>
      <c r="B596" s="88">
        <v>75</v>
      </c>
      <c r="C596" s="88">
        <v>35</v>
      </c>
      <c r="D596" s="88" t="s">
        <v>162</v>
      </c>
      <c r="E596" s="88" t="s">
        <v>642</v>
      </c>
      <c r="F596" s="88" t="s">
        <v>1061</v>
      </c>
      <c r="G596" s="88" t="s">
        <v>755</v>
      </c>
      <c r="H596" s="88" t="s">
        <v>596</v>
      </c>
    </row>
    <row r="597" spans="1:8" x14ac:dyDescent="0.3">
      <c r="A597" s="88" t="s">
        <v>592</v>
      </c>
      <c r="B597" s="88">
        <v>75</v>
      </c>
      <c r="C597" s="88">
        <v>36</v>
      </c>
      <c r="D597" s="88" t="s">
        <v>162</v>
      </c>
      <c r="E597" s="88" t="s">
        <v>1100</v>
      </c>
      <c r="F597" s="88" t="s">
        <v>913</v>
      </c>
      <c r="G597" s="88" t="s">
        <v>758</v>
      </c>
      <c r="H597" s="88" t="s">
        <v>596</v>
      </c>
    </row>
    <row r="598" spans="1:8" ht="28.8" x14ac:dyDescent="0.3">
      <c r="A598" s="88" t="s">
        <v>592</v>
      </c>
      <c r="B598" s="88">
        <v>75</v>
      </c>
      <c r="C598" s="88">
        <v>39</v>
      </c>
      <c r="D598" s="88" t="s">
        <v>162</v>
      </c>
      <c r="E598" s="88" t="s">
        <v>734</v>
      </c>
      <c r="F598" s="88"/>
      <c r="G598" s="88" t="s">
        <v>719</v>
      </c>
      <c r="H598" s="88" t="s">
        <v>596</v>
      </c>
    </row>
    <row r="599" spans="1:8" ht="28.8" x14ac:dyDescent="0.3">
      <c r="A599" s="88" t="s">
        <v>592</v>
      </c>
      <c r="B599" s="88">
        <v>75</v>
      </c>
      <c r="C599" s="88">
        <v>40</v>
      </c>
      <c r="D599" s="88" t="s">
        <v>162</v>
      </c>
      <c r="E599" s="88" t="s">
        <v>1101</v>
      </c>
      <c r="F599" s="88" t="s">
        <v>1102</v>
      </c>
      <c r="G599" s="88" t="s">
        <v>724</v>
      </c>
      <c r="H599" s="88" t="s">
        <v>596</v>
      </c>
    </row>
    <row r="600" spans="1:8" x14ac:dyDescent="0.3">
      <c r="A600" s="88" t="s">
        <v>592</v>
      </c>
      <c r="B600" s="88">
        <v>76</v>
      </c>
      <c r="C600" s="88">
        <v>33</v>
      </c>
      <c r="D600" s="88" t="s">
        <v>438</v>
      </c>
      <c r="E600" s="88" t="s">
        <v>1103</v>
      </c>
      <c r="F600" s="88" t="s">
        <v>879</v>
      </c>
      <c r="G600" s="88" t="s">
        <v>749</v>
      </c>
      <c r="H600" s="88" t="s">
        <v>596</v>
      </c>
    </row>
    <row r="601" spans="1:8" x14ac:dyDescent="0.3">
      <c r="A601" s="88" t="s">
        <v>592</v>
      </c>
      <c r="B601" s="88">
        <v>76</v>
      </c>
      <c r="C601" s="88">
        <v>34</v>
      </c>
      <c r="D601" s="88" t="s">
        <v>438</v>
      </c>
      <c r="E601" s="88" t="s">
        <v>1104</v>
      </c>
      <c r="F601" s="88" t="s">
        <v>802</v>
      </c>
      <c r="G601" s="88" t="s">
        <v>752</v>
      </c>
      <c r="H601" s="88" t="s">
        <v>596</v>
      </c>
    </row>
    <row r="602" spans="1:8" x14ac:dyDescent="0.3">
      <c r="A602" s="88" t="s">
        <v>592</v>
      </c>
      <c r="B602" s="88">
        <v>76</v>
      </c>
      <c r="C602" s="88">
        <v>35</v>
      </c>
      <c r="D602" s="88" t="s">
        <v>438</v>
      </c>
      <c r="E602" s="88" t="s">
        <v>706</v>
      </c>
      <c r="F602" s="88" t="s">
        <v>1067</v>
      </c>
      <c r="G602" s="88" t="s">
        <v>755</v>
      </c>
      <c r="H602" s="88" t="s">
        <v>596</v>
      </c>
    </row>
    <row r="603" spans="1:8" x14ac:dyDescent="0.3">
      <c r="A603" s="88" t="s">
        <v>592</v>
      </c>
      <c r="B603" s="88">
        <v>76</v>
      </c>
      <c r="C603" s="88">
        <v>36</v>
      </c>
      <c r="D603" s="88" t="s">
        <v>438</v>
      </c>
      <c r="E603" s="88" t="s">
        <v>1071</v>
      </c>
      <c r="F603" s="88" t="s">
        <v>875</v>
      </c>
      <c r="G603" s="88" t="s">
        <v>758</v>
      </c>
      <c r="H603" s="88" t="s">
        <v>596</v>
      </c>
    </row>
    <row r="604" spans="1:8" ht="28.8" x14ac:dyDescent="0.3">
      <c r="A604" s="88" t="s">
        <v>592</v>
      </c>
      <c r="B604" s="88">
        <v>76</v>
      </c>
      <c r="C604" s="88">
        <v>39</v>
      </c>
      <c r="D604" s="88" t="s">
        <v>438</v>
      </c>
      <c r="E604" s="88" t="s">
        <v>1105</v>
      </c>
      <c r="F604" s="88" t="s">
        <v>1106</v>
      </c>
      <c r="G604" s="88" t="s">
        <v>719</v>
      </c>
      <c r="H604" s="88" t="s">
        <v>596</v>
      </c>
    </row>
    <row r="605" spans="1:8" ht="28.8" x14ac:dyDescent="0.3">
      <c r="A605" s="88" t="s">
        <v>592</v>
      </c>
      <c r="B605" s="88">
        <v>76</v>
      </c>
      <c r="C605" s="88">
        <v>40</v>
      </c>
      <c r="D605" s="88" t="s">
        <v>438</v>
      </c>
      <c r="E605" s="88" t="s">
        <v>1107</v>
      </c>
      <c r="F605" s="88" t="s">
        <v>1108</v>
      </c>
      <c r="G605" s="88" t="s">
        <v>724</v>
      </c>
      <c r="H605" s="88" t="s">
        <v>596</v>
      </c>
    </row>
    <row r="606" spans="1:8" x14ac:dyDescent="0.3">
      <c r="A606" s="88" t="s">
        <v>592</v>
      </c>
      <c r="B606" s="88">
        <v>77</v>
      </c>
      <c r="C606" s="88">
        <v>33</v>
      </c>
      <c r="D606" s="88" t="s">
        <v>440</v>
      </c>
      <c r="E606" s="88" t="s">
        <v>654</v>
      </c>
      <c r="F606" s="88" t="s">
        <v>1070</v>
      </c>
      <c r="G606" s="88" t="s">
        <v>749</v>
      </c>
      <c r="H606" s="88" t="s">
        <v>596</v>
      </c>
    </row>
    <row r="607" spans="1:8" x14ac:dyDescent="0.3">
      <c r="A607" s="88" t="s">
        <v>592</v>
      </c>
      <c r="B607" s="88">
        <v>77</v>
      </c>
      <c r="C607" s="88">
        <v>34</v>
      </c>
      <c r="D607" s="88" t="s">
        <v>440</v>
      </c>
      <c r="E607" s="88" t="s">
        <v>1109</v>
      </c>
      <c r="F607" s="88" t="s">
        <v>952</v>
      </c>
      <c r="G607" s="88" t="s">
        <v>752</v>
      </c>
      <c r="H607" s="88" t="s">
        <v>596</v>
      </c>
    </row>
    <row r="608" spans="1:8" x14ac:dyDescent="0.3">
      <c r="A608" s="88" t="s">
        <v>592</v>
      </c>
      <c r="B608" s="88">
        <v>77</v>
      </c>
      <c r="C608" s="88">
        <v>35</v>
      </c>
      <c r="D608" s="88" t="s">
        <v>440</v>
      </c>
      <c r="E608" s="88" t="s">
        <v>1110</v>
      </c>
      <c r="F608" s="88" t="s">
        <v>889</v>
      </c>
      <c r="G608" s="88" t="s">
        <v>755</v>
      </c>
      <c r="H608" s="88" t="s">
        <v>596</v>
      </c>
    </row>
    <row r="609" spans="1:8" x14ac:dyDescent="0.3">
      <c r="A609" s="88" t="s">
        <v>592</v>
      </c>
      <c r="B609" s="88">
        <v>77</v>
      </c>
      <c r="C609" s="88">
        <v>36</v>
      </c>
      <c r="D609" s="88" t="s">
        <v>440</v>
      </c>
      <c r="E609" s="88" t="s">
        <v>1111</v>
      </c>
      <c r="F609" s="88" t="s">
        <v>1071</v>
      </c>
      <c r="G609" s="88" t="s">
        <v>758</v>
      </c>
      <c r="H609" s="88" t="s">
        <v>596</v>
      </c>
    </row>
    <row r="610" spans="1:8" ht="28.8" x14ac:dyDescent="0.3">
      <c r="A610" s="88" t="s">
        <v>592</v>
      </c>
      <c r="B610" s="88">
        <v>77</v>
      </c>
      <c r="C610" s="88">
        <v>39</v>
      </c>
      <c r="D610" s="88" t="s">
        <v>440</v>
      </c>
      <c r="E610" s="88" t="s">
        <v>717</v>
      </c>
      <c r="F610" s="88" t="s">
        <v>1112</v>
      </c>
      <c r="G610" s="88" t="s">
        <v>719</v>
      </c>
      <c r="H610" s="88" t="s">
        <v>596</v>
      </c>
    </row>
    <row r="611" spans="1:8" ht="28.8" x14ac:dyDescent="0.3">
      <c r="A611" s="88" t="s">
        <v>592</v>
      </c>
      <c r="B611" s="88">
        <v>77</v>
      </c>
      <c r="C611" s="88">
        <v>40</v>
      </c>
      <c r="D611" s="88" t="s">
        <v>440</v>
      </c>
      <c r="E611" s="88" t="s">
        <v>1113</v>
      </c>
      <c r="F611" s="88" t="s">
        <v>1114</v>
      </c>
      <c r="G611" s="88" t="s">
        <v>724</v>
      </c>
      <c r="H611" s="88" t="s">
        <v>596</v>
      </c>
    </row>
    <row r="612" spans="1:8" x14ac:dyDescent="0.3">
      <c r="A612" s="88" t="s">
        <v>592</v>
      </c>
      <c r="B612" s="88">
        <v>78</v>
      </c>
      <c r="C612" s="88">
        <v>33</v>
      </c>
      <c r="D612" s="88" t="s">
        <v>165</v>
      </c>
      <c r="E612" s="88" t="s">
        <v>1115</v>
      </c>
      <c r="F612" s="88" t="s">
        <v>1074</v>
      </c>
      <c r="G612" s="88" t="s">
        <v>749</v>
      </c>
      <c r="H612" s="88" t="s">
        <v>596</v>
      </c>
    </row>
    <row r="613" spans="1:8" x14ac:dyDescent="0.3">
      <c r="A613" s="88" t="s">
        <v>592</v>
      </c>
      <c r="B613" s="88">
        <v>78</v>
      </c>
      <c r="C613" s="88">
        <v>34</v>
      </c>
      <c r="D613" s="88" t="s">
        <v>165</v>
      </c>
      <c r="E613" s="88" t="s">
        <v>1116</v>
      </c>
      <c r="F613" s="88" t="s">
        <v>1075</v>
      </c>
      <c r="G613" s="88" t="s">
        <v>752</v>
      </c>
      <c r="H613" s="88" t="s">
        <v>596</v>
      </c>
    </row>
    <row r="614" spans="1:8" x14ac:dyDescent="0.3">
      <c r="A614" s="88" t="s">
        <v>592</v>
      </c>
      <c r="B614" s="88">
        <v>78</v>
      </c>
      <c r="C614" s="88">
        <v>35</v>
      </c>
      <c r="D614" s="88" t="s">
        <v>165</v>
      </c>
      <c r="E614" s="88" t="s">
        <v>1117</v>
      </c>
      <c r="F614" s="88" t="s">
        <v>1076</v>
      </c>
      <c r="G614" s="88" t="s">
        <v>755</v>
      </c>
      <c r="H614" s="88" t="s">
        <v>596</v>
      </c>
    </row>
    <row r="615" spans="1:8" x14ac:dyDescent="0.3">
      <c r="A615" s="88" t="s">
        <v>592</v>
      </c>
      <c r="B615" s="88">
        <v>78</v>
      </c>
      <c r="C615" s="88">
        <v>36</v>
      </c>
      <c r="D615" s="88" t="s">
        <v>165</v>
      </c>
      <c r="E615" s="88" t="s">
        <v>826</v>
      </c>
      <c r="F615" s="88" t="s">
        <v>1077</v>
      </c>
      <c r="G615" s="88" t="s">
        <v>758</v>
      </c>
      <c r="H615" s="88" t="s">
        <v>596</v>
      </c>
    </row>
    <row r="616" spans="1:8" ht="28.8" x14ac:dyDescent="0.3">
      <c r="A616" s="88" t="s">
        <v>592</v>
      </c>
      <c r="B616" s="88">
        <v>78</v>
      </c>
      <c r="C616" s="88">
        <v>39</v>
      </c>
      <c r="D616" s="88" t="s">
        <v>165</v>
      </c>
      <c r="E616" s="88" t="s">
        <v>1118</v>
      </c>
      <c r="F616" s="88" t="s">
        <v>1119</v>
      </c>
      <c r="G616" s="88" t="s">
        <v>719</v>
      </c>
      <c r="H616" s="88" t="s">
        <v>596</v>
      </c>
    </row>
    <row r="617" spans="1:8" ht="28.8" x14ac:dyDescent="0.3">
      <c r="A617" s="88" t="s">
        <v>592</v>
      </c>
      <c r="B617" s="88">
        <v>78</v>
      </c>
      <c r="C617" s="88">
        <v>40</v>
      </c>
      <c r="D617" s="88" t="s">
        <v>165</v>
      </c>
      <c r="E617" s="88" t="s">
        <v>1120</v>
      </c>
      <c r="F617" s="88" t="s">
        <v>1121</v>
      </c>
      <c r="G617" s="88" t="s">
        <v>724</v>
      </c>
      <c r="H617" s="88" t="s">
        <v>596</v>
      </c>
    </row>
    <row r="618" spans="1:8" x14ac:dyDescent="0.3">
      <c r="A618" s="88" t="s">
        <v>592</v>
      </c>
      <c r="B618" s="88">
        <v>79</v>
      </c>
      <c r="C618" s="88">
        <v>33</v>
      </c>
      <c r="D618" s="88" t="s">
        <v>443</v>
      </c>
      <c r="E618" s="88" t="s">
        <v>871</v>
      </c>
      <c r="F618" s="88" t="s">
        <v>1079</v>
      </c>
      <c r="G618" s="88" t="s">
        <v>749</v>
      </c>
      <c r="H618" s="88" t="s">
        <v>596</v>
      </c>
    </row>
    <row r="619" spans="1:8" x14ac:dyDescent="0.3">
      <c r="A619" s="88" t="s">
        <v>592</v>
      </c>
      <c r="B619" s="88">
        <v>79</v>
      </c>
      <c r="C619" s="88">
        <v>34</v>
      </c>
      <c r="D619" s="88" t="s">
        <v>443</v>
      </c>
      <c r="E619" s="88" t="s">
        <v>1122</v>
      </c>
      <c r="F619" s="88" t="s">
        <v>1080</v>
      </c>
      <c r="G619" s="88" t="s">
        <v>752</v>
      </c>
      <c r="H619" s="88" t="s">
        <v>596</v>
      </c>
    </row>
    <row r="620" spans="1:8" x14ac:dyDescent="0.3">
      <c r="A620" s="88" t="s">
        <v>592</v>
      </c>
      <c r="B620" s="88">
        <v>79</v>
      </c>
      <c r="C620" s="88">
        <v>35</v>
      </c>
      <c r="D620" s="88" t="s">
        <v>443</v>
      </c>
      <c r="E620" s="88" t="s">
        <v>1123</v>
      </c>
      <c r="F620" s="88" t="s">
        <v>1081</v>
      </c>
      <c r="G620" s="88" t="s">
        <v>755</v>
      </c>
      <c r="H620" s="88" t="s">
        <v>596</v>
      </c>
    </row>
    <row r="621" spans="1:8" x14ac:dyDescent="0.3">
      <c r="A621" s="88" t="s">
        <v>592</v>
      </c>
      <c r="B621" s="88">
        <v>79</v>
      </c>
      <c r="C621" s="88">
        <v>36</v>
      </c>
      <c r="D621" s="88" t="s">
        <v>443</v>
      </c>
      <c r="E621" s="88" t="s">
        <v>843</v>
      </c>
      <c r="F621" s="88" t="s">
        <v>1082</v>
      </c>
      <c r="G621" s="88" t="s">
        <v>758</v>
      </c>
      <c r="H621" s="88" t="s">
        <v>596</v>
      </c>
    </row>
    <row r="622" spans="1:8" ht="28.8" x14ac:dyDescent="0.3">
      <c r="A622" s="88" t="s">
        <v>592</v>
      </c>
      <c r="B622" s="88">
        <v>79</v>
      </c>
      <c r="C622" s="88">
        <v>39</v>
      </c>
      <c r="D622" s="88" t="s">
        <v>443</v>
      </c>
      <c r="E622" s="88" t="s">
        <v>1124</v>
      </c>
      <c r="F622" s="88" t="s">
        <v>1125</v>
      </c>
      <c r="G622" s="88" t="s">
        <v>719</v>
      </c>
      <c r="H622" s="88" t="s">
        <v>596</v>
      </c>
    </row>
    <row r="623" spans="1:8" ht="28.8" x14ac:dyDescent="0.3">
      <c r="A623" s="88" t="s">
        <v>592</v>
      </c>
      <c r="B623" s="88">
        <v>79</v>
      </c>
      <c r="C623" s="88">
        <v>40</v>
      </c>
      <c r="D623" s="88" t="s">
        <v>443</v>
      </c>
      <c r="E623" s="88" t="s">
        <v>1126</v>
      </c>
      <c r="F623" s="88" t="s">
        <v>1127</v>
      </c>
      <c r="G623" s="88" t="s">
        <v>724</v>
      </c>
      <c r="H623" s="88" t="s">
        <v>596</v>
      </c>
    </row>
    <row r="624" spans="1:8" x14ac:dyDescent="0.3">
      <c r="A624" s="88" t="s">
        <v>592</v>
      </c>
      <c r="B624" s="88">
        <v>80</v>
      </c>
      <c r="C624" s="88">
        <v>33</v>
      </c>
      <c r="D624" s="88" t="s">
        <v>167</v>
      </c>
      <c r="E624" s="88" t="s">
        <v>1128</v>
      </c>
      <c r="F624" s="88" t="s">
        <v>968</v>
      </c>
      <c r="G624" s="88" t="s">
        <v>749</v>
      </c>
      <c r="H624" s="88" t="s">
        <v>596</v>
      </c>
    </row>
    <row r="625" spans="1:8" x14ac:dyDescent="0.3">
      <c r="A625" s="88" t="s">
        <v>592</v>
      </c>
      <c r="B625" s="88">
        <v>80</v>
      </c>
      <c r="C625" s="88">
        <v>34</v>
      </c>
      <c r="D625" s="88" t="s">
        <v>167</v>
      </c>
      <c r="E625" s="88" t="s">
        <v>1129</v>
      </c>
      <c r="F625" s="88" t="s">
        <v>1086</v>
      </c>
      <c r="G625" s="88" t="s">
        <v>752</v>
      </c>
      <c r="H625" s="88" t="s">
        <v>596</v>
      </c>
    </row>
    <row r="626" spans="1:8" x14ac:dyDescent="0.3">
      <c r="A626" s="88" t="s">
        <v>592</v>
      </c>
      <c r="B626" s="88">
        <v>80</v>
      </c>
      <c r="C626" s="88">
        <v>35</v>
      </c>
      <c r="D626" s="88" t="s">
        <v>167</v>
      </c>
      <c r="E626" s="88" t="s">
        <v>849</v>
      </c>
      <c r="F626" s="88" t="s">
        <v>1088</v>
      </c>
      <c r="G626" s="88" t="s">
        <v>755</v>
      </c>
      <c r="H626" s="88" t="s">
        <v>596</v>
      </c>
    </row>
    <row r="627" spans="1:8" x14ac:dyDescent="0.3">
      <c r="A627" s="88" t="s">
        <v>592</v>
      </c>
      <c r="B627" s="88">
        <v>80</v>
      </c>
      <c r="C627" s="88">
        <v>36</v>
      </c>
      <c r="D627" s="88" t="s">
        <v>167</v>
      </c>
      <c r="E627" s="88" t="s">
        <v>655</v>
      </c>
      <c r="F627" s="88" t="s">
        <v>1089</v>
      </c>
      <c r="G627" s="88" t="s">
        <v>758</v>
      </c>
      <c r="H627" s="88" t="s">
        <v>596</v>
      </c>
    </row>
    <row r="628" spans="1:8" ht="28.8" x14ac:dyDescent="0.3">
      <c r="A628" s="88" t="s">
        <v>592</v>
      </c>
      <c r="B628" s="88">
        <v>80</v>
      </c>
      <c r="C628" s="88">
        <v>39</v>
      </c>
      <c r="D628" s="88" t="s">
        <v>167</v>
      </c>
      <c r="E628" s="88" t="s">
        <v>734</v>
      </c>
      <c r="F628" s="88"/>
      <c r="G628" s="88" t="s">
        <v>719</v>
      </c>
      <c r="H628" s="88" t="s">
        <v>596</v>
      </c>
    </row>
    <row r="629" spans="1:8" x14ac:dyDescent="0.3">
      <c r="A629" s="88" t="s">
        <v>592</v>
      </c>
      <c r="B629" s="88">
        <v>81</v>
      </c>
      <c r="C629" s="88">
        <v>33</v>
      </c>
      <c r="D629" s="88" t="s">
        <v>168</v>
      </c>
      <c r="E629" s="88" t="s">
        <v>811</v>
      </c>
      <c r="F629" s="88" t="s">
        <v>1093</v>
      </c>
      <c r="G629" s="88" t="s">
        <v>749</v>
      </c>
      <c r="H629" s="88" t="s">
        <v>596</v>
      </c>
    </row>
    <row r="630" spans="1:8" x14ac:dyDescent="0.3">
      <c r="A630" s="88" t="s">
        <v>592</v>
      </c>
      <c r="B630" s="88">
        <v>81</v>
      </c>
      <c r="C630" s="88">
        <v>34</v>
      </c>
      <c r="D630" s="88" t="s">
        <v>168</v>
      </c>
      <c r="E630" s="88" t="s">
        <v>1130</v>
      </c>
      <c r="F630" s="88" t="s">
        <v>1094</v>
      </c>
      <c r="G630" s="88" t="s">
        <v>752</v>
      </c>
      <c r="H630" s="88" t="s">
        <v>596</v>
      </c>
    </row>
    <row r="631" spans="1:8" x14ac:dyDescent="0.3">
      <c r="A631" s="88" t="s">
        <v>592</v>
      </c>
      <c r="B631" s="88">
        <v>81</v>
      </c>
      <c r="C631" s="88">
        <v>35</v>
      </c>
      <c r="D631" s="88" t="s">
        <v>168</v>
      </c>
      <c r="E631" s="88" t="s">
        <v>1088</v>
      </c>
      <c r="F631" s="88" t="s">
        <v>765</v>
      </c>
      <c r="G631" s="88" t="s">
        <v>755</v>
      </c>
      <c r="H631" s="88" t="s">
        <v>596</v>
      </c>
    </row>
    <row r="632" spans="1:8" x14ac:dyDescent="0.3">
      <c r="A632" s="88" t="s">
        <v>592</v>
      </c>
      <c r="B632" s="88">
        <v>81</v>
      </c>
      <c r="C632" s="88">
        <v>36</v>
      </c>
      <c r="D632" s="88" t="s">
        <v>168</v>
      </c>
      <c r="E632" s="88" t="s">
        <v>854</v>
      </c>
      <c r="F632" s="88" t="s">
        <v>787</v>
      </c>
      <c r="G632" s="88" t="s">
        <v>758</v>
      </c>
      <c r="H632" s="88" t="s">
        <v>596</v>
      </c>
    </row>
    <row r="633" spans="1:8" ht="28.8" x14ac:dyDescent="0.3">
      <c r="A633" s="88" t="s">
        <v>592</v>
      </c>
      <c r="B633" s="88">
        <v>81</v>
      </c>
      <c r="C633" s="88">
        <v>39</v>
      </c>
      <c r="D633" s="88" t="s">
        <v>168</v>
      </c>
      <c r="E633" s="88" t="s">
        <v>1131</v>
      </c>
      <c r="F633" s="88" t="s">
        <v>1132</v>
      </c>
      <c r="G633" s="88" t="s">
        <v>719</v>
      </c>
      <c r="H633" s="88" t="s">
        <v>596</v>
      </c>
    </row>
    <row r="634" spans="1:8" x14ac:dyDescent="0.3">
      <c r="A634" s="88" t="s">
        <v>592</v>
      </c>
      <c r="B634" s="88">
        <v>82</v>
      </c>
      <c r="C634" s="88">
        <v>33</v>
      </c>
      <c r="D634" s="88" t="s">
        <v>169</v>
      </c>
      <c r="E634" s="88" t="s">
        <v>817</v>
      </c>
      <c r="F634" s="88" t="s">
        <v>1095</v>
      </c>
      <c r="G634" s="88" t="s">
        <v>749</v>
      </c>
      <c r="H634" s="88" t="s">
        <v>596</v>
      </c>
    </row>
    <row r="635" spans="1:8" x14ac:dyDescent="0.3">
      <c r="A635" s="88" t="s">
        <v>592</v>
      </c>
      <c r="B635" s="88">
        <v>82</v>
      </c>
      <c r="C635" s="88">
        <v>34</v>
      </c>
      <c r="D635" s="88" t="s">
        <v>169</v>
      </c>
      <c r="E635" s="88" t="s">
        <v>786</v>
      </c>
      <c r="F635" s="88" t="s">
        <v>1096</v>
      </c>
      <c r="G635" s="88" t="s">
        <v>752</v>
      </c>
      <c r="H635" s="88" t="s">
        <v>596</v>
      </c>
    </row>
    <row r="636" spans="1:8" x14ac:dyDescent="0.3">
      <c r="A636" s="88" t="s">
        <v>592</v>
      </c>
      <c r="B636" s="88">
        <v>82</v>
      </c>
      <c r="C636" s="88">
        <v>35</v>
      </c>
      <c r="D636" s="88" t="s">
        <v>169</v>
      </c>
      <c r="E636" s="88" t="s">
        <v>658</v>
      </c>
      <c r="F636" s="88" t="s">
        <v>1097</v>
      </c>
      <c r="G636" s="88" t="s">
        <v>755</v>
      </c>
      <c r="H636" s="88" t="s">
        <v>596</v>
      </c>
    </row>
    <row r="637" spans="1:8" x14ac:dyDescent="0.3">
      <c r="A637" s="88" t="s">
        <v>592</v>
      </c>
      <c r="B637" s="88">
        <v>82</v>
      </c>
      <c r="C637" s="88">
        <v>36</v>
      </c>
      <c r="D637" s="88" t="s">
        <v>169</v>
      </c>
      <c r="E637" s="88" t="s">
        <v>793</v>
      </c>
      <c r="F637" s="88" t="s">
        <v>832</v>
      </c>
      <c r="G637" s="88" t="s">
        <v>758</v>
      </c>
      <c r="H637" s="88" t="s">
        <v>596</v>
      </c>
    </row>
    <row r="638" spans="1:8" ht="28.8" x14ac:dyDescent="0.3">
      <c r="A638" s="88" t="s">
        <v>592</v>
      </c>
      <c r="B638" s="88">
        <v>82</v>
      </c>
      <c r="C638" s="88">
        <v>39</v>
      </c>
      <c r="D638" s="88" t="s">
        <v>169</v>
      </c>
      <c r="E638" s="88" t="s">
        <v>1133</v>
      </c>
      <c r="F638" s="88" t="s">
        <v>1134</v>
      </c>
      <c r="G638" s="88" t="s">
        <v>719</v>
      </c>
      <c r="H638" s="88" t="s">
        <v>596</v>
      </c>
    </row>
    <row r="639" spans="1:8" ht="28.8" x14ac:dyDescent="0.3">
      <c r="A639" s="88" t="s">
        <v>592</v>
      </c>
      <c r="B639" s="88">
        <v>82</v>
      </c>
      <c r="C639" s="88">
        <v>40</v>
      </c>
      <c r="D639" s="88" t="s">
        <v>169</v>
      </c>
      <c r="E639" s="88" t="s">
        <v>1135</v>
      </c>
      <c r="F639" s="88" t="s">
        <v>1136</v>
      </c>
      <c r="G639" s="88" t="s">
        <v>724</v>
      </c>
      <c r="H639" s="88" t="s">
        <v>596</v>
      </c>
    </row>
    <row r="640" spans="1:8" x14ac:dyDescent="0.3">
      <c r="A640" s="88" t="s">
        <v>592</v>
      </c>
      <c r="B640" s="88">
        <v>83</v>
      </c>
      <c r="C640" s="88">
        <v>33</v>
      </c>
      <c r="D640" s="88" t="s">
        <v>170</v>
      </c>
      <c r="E640" s="88" t="s">
        <v>655</v>
      </c>
      <c r="F640" s="88" t="s">
        <v>1098</v>
      </c>
      <c r="G640" s="88" t="s">
        <v>749</v>
      </c>
      <c r="H640" s="88" t="s">
        <v>596</v>
      </c>
    </row>
    <row r="641" spans="1:8" x14ac:dyDescent="0.3">
      <c r="A641" s="88" t="s">
        <v>592</v>
      </c>
      <c r="B641" s="88">
        <v>83</v>
      </c>
      <c r="C641" s="88">
        <v>34</v>
      </c>
      <c r="D641" s="88" t="s">
        <v>170</v>
      </c>
      <c r="E641" s="88" t="s">
        <v>920</v>
      </c>
      <c r="F641" s="88" t="s">
        <v>1099</v>
      </c>
      <c r="G641" s="88" t="s">
        <v>752</v>
      </c>
      <c r="H641" s="88" t="s">
        <v>596</v>
      </c>
    </row>
    <row r="642" spans="1:8" x14ac:dyDescent="0.3">
      <c r="A642" s="88" t="s">
        <v>592</v>
      </c>
      <c r="B642" s="88">
        <v>83</v>
      </c>
      <c r="C642" s="88">
        <v>35</v>
      </c>
      <c r="D642" s="88" t="s">
        <v>170</v>
      </c>
      <c r="E642" s="88" t="s">
        <v>1137</v>
      </c>
      <c r="F642" s="88" t="s">
        <v>642</v>
      </c>
      <c r="G642" s="88" t="s">
        <v>755</v>
      </c>
      <c r="H642" s="88" t="s">
        <v>596</v>
      </c>
    </row>
    <row r="643" spans="1:8" x14ac:dyDescent="0.3">
      <c r="A643" s="88" t="s">
        <v>592</v>
      </c>
      <c r="B643" s="88">
        <v>83</v>
      </c>
      <c r="C643" s="88">
        <v>36</v>
      </c>
      <c r="D643" s="88" t="s">
        <v>170</v>
      </c>
      <c r="E643" s="88" t="s">
        <v>1138</v>
      </c>
      <c r="F643" s="88" t="s">
        <v>1100</v>
      </c>
      <c r="G643" s="88" t="s">
        <v>758</v>
      </c>
      <c r="H643" s="88" t="s">
        <v>596</v>
      </c>
    </row>
    <row r="644" spans="1:8" ht="28.8" x14ac:dyDescent="0.3">
      <c r="A644" s="88" t="s">
        <v>592</v>
      </c>
      <c r="B644" s="88">
        <v>83</v>
      </c>
      <c r="C644" s="88">
        <v>39</v>
      </c>
      <c r="D644" s="88" t="s">
        <v>170</v>
      </c>
      <c r="E644" s="88" t="s">
        <v>1139</v>
      </c>
      <c r="F644" s="88" t="s">
        <v>1140</v>
      </c>
      <c r="G644" s="88" t="s">
        <v>719</v>
      </c>
      <c r="H644" s="88" t="s">
        <v>596</v>
      </c>
    </row>
    <row r="645" spans="1:8" x14ac:dyDescent="0.3">
      <c r="A645" s="88" t="s">
        <v>592</v>
      </c>
      <c r="B645" s="88">
        <v>84</v>
      </c>
      <c r="C645" s="88">
        <v>33</v>
      </c>
      <c r="D645" s="88" t="s">
        <v>171</v>
      </c>
      <c r="E645" s="88" t="s">
        <v>970</v>
      </c>
      <c r="F645" s="88" t="s">
        <v>1103</v>
      </c>
      <c r="G645" s="88" t="s">
        <v>749</v>
      </c>
      <c r="H645" s="88" t="s">
        <v>596</v>
      </c>
    </row>
    <row r="646" spans="1:8" x14ac:dyDescent="0.3">
      <c r="A646" s="88" t="s">
        <v>592</v>
      </c>
      <c r="B646" s="88">
        <v>84</v>
      </c>
      <c r="C646" s="88">
        <v>34</v>
      </c>
      <c r="D646" s="88" t="s">
        <v>171</v>
      </c>
      <c r="E646" s="88" t="s">
        <v>1141</v>
      </c>
      <c r="F646" s="88" t="s">
        <v>1104</v>
      </c>
      <c r="G646" s="88" t="s">
        <v>752</v>
      </c>
      <c r="H646" s="88" t="s">
        <v>596</v>
      </c>
    </row>
    <row r="647" spans="1:8" x14ac:dyDescent="0.3">
      <c r="A647" s="88" t="s">
        <v>592</v>
      </c>
      <c r="B647" s="88">
        <v>84</v>
      </c>
      <c r="C647" s="88">
        <v>35</v>
      </c>
      <c r="D647" s="88" t="s">
        <v>171</v>
      </c>
      <c r="E647" s="88" t="s">
        <v>1142</v>
      </c>
      <c r="F647" s="88" t="s">
        <v>706</v>
      </c>
      <c r="G647" s="88" t="s">
        <v>755</v>
      </c>
      <c r="H647" s="88" t="s">
        <v>596</v>
      </c>
    </row>
    <row r="648" spans="1:8" x14ac:dyDescent="0.3">
      <c r="A648" s="88" t="s">
        <v>592</v>
      </c>
      <c r="B648" s="88">
        <v>84</v>
      </c>
      <c r="C648" s="88">
        <v>36</v>
      </c>
      <c r="D648" s="88" t="s">
        <v>171</v>
      </c>
      <c r="E648" s="88" t="s">
        <v>651</v>
      </c>
      <c r="F648" s="88" t="s">
        <v>1071</v>
      </c>
      <c r="G648" s="88" t="s">
        <v>758</v>
      </c>
      <c r="H648" s="88" t="s">
        <v>596</v>
      </c>
    </row>
    <row r="649" spans="1:8" ht="28.8" x14ac:dyDescent="0.3">
      <c r="A649" s="88" t="s">
        <v>592</v>
      </c>
      <c r="B649" s="88">
        <v>84</v>
      </c>
      <c r="C649" s="88">
        <v>39</v>
      </c>
      <c r="D649" s="88" t="s">
        <v>171</v>
      </c>
      <c r="E649" s="88" t="s">
        <v>729</v>
      </c>
      <c r="F649" s="88" t="s">
        <v>730</v>
      </c>
      <c r="G649" s="88" t="s">
        <v>719</v>
      </c>
      <c r="H649" s="88" t="s">
        <v>596</v>
      </c>
    </row>
    <row r="650" spans="1:8" x14ac:dyDescent="0.3">
      <c r="A650" s="88" t="s">
        <v>592</v>
      </c>
      <c r="B650" s="88">
        <v>85</v>
      </c>
      <c r="C650" s="88">
        <v>33</v>
      </c>
      <c r="D650" s="88" t="s">
        <v>450</v>
      </c>
      <c r="E650" s="88" t="s">
        <v>1143</v>
      </c>
      <c r="F650" s="88" t="s">
        <v>654</v>
      </c>
      <c r="G650" s="88" t="s">
        <v>749</v>
      </c>
      <c r="H650" s="88" t="s">
        <v>596</v>
      </c>
    </row>
    <row r="651" spans="1:8" x14ac:dyDescent="0.3">
      <c r="A651" s="88" t="s">
        <v>592</v>
      </c>
      <c r="B651" s="88">
        <v>85</v>
      </c>
      <c r="C651" s="88">
        <v>34</v>
      </c>
      <c r="D651" s="88" t="s">
        <v>450</v>
      </c>
      <c r="E651" s="88" t="s">
        <v>1144</v>
      </c>
      <c r="F651" s="88" t="s">
        <v>1109</v>
      </c>
      <c r="G651" s="88" t="s">
        <v>752</v>
      </c>
      <c r="H651" s="88" t="s">
        <v>596</v>
      </c>
    </row>
    <row r="652" spans="1:8" x14ac:dyDescent="0.3">
      <c r="A652" s="88" t="s">
        <v>592</v>
      </c>
      <c r="B652" s="88">
        <v>85</v>
      </c>
      <c r="C652" s="88">
        <v>35</v>
      </c>
      <c r="D652" s="88" t="s">
        <v>450</v>
      </c>
      <c r="E652" s="88" t="s">
        <v>904</v>
      </c>
      <c r="F652" s="88" t="s">
        <v>1110</v>
      </c>
      <c r="G652" s="88" t="s">
        <v>755</v>
      </c>
      <c r="H652" s="88" t="s">
        <v>596</v>
      </c>
    </row>
    <row r="653" spans="1:8" x14ac:dyDescent="0.3">
      <c r="A653" s="88" t="s">
        <v>592</v>
      </c>
      <c r="B653" s="88">
        <v>85</v>
      </c>
      <c r="C653" s="88">
        <v>36</v>
      </c>
      <c r="D653" s="88" t="s">
        <v>450</v>
      </c>
      <c r="E653" s="88" t="s">
        <v>1067</v>
      </c>
      <c r="F653" s="88" t="s">
        <v>1111</v>
      </c>
      <c r="G653" s="88" t="s">
        <v>758</v>
      </c>
      <c r="H653" s="88" t="s">
        <v>596</v>
      </c>
    </row>
    <row r="654" spans="1:8" ht="28.8" x14ac:dyDescent="0.3">
      <c r="A654" s="88" t="s">
        <v>592</v>
      </c>
      <c r="B654" s="88">
        <v>85</v>
      </c>
      <c r="C654" s="88">
        <v>39</v>
      </c>
      <c r="D654" s="88" t="s">
        <v>450</v>
      </c>
      <c r="E654" s="88" t="s">
        <v>1145</v>
      </c>
      <c r="F654" s="88" t="s">
        <v>1146</v>
      </c>
      <c r="G654" s="88" t="s">
        <v>719</v>
      </c>
      <c r="H654" s="88" t="s">
        <v>596</v>
      </c>
    </row>
    <row r="655" spans="1:8" ht="28.8" x14ac:dyDescent="0.3">
      <c r="A655" s="88" t="s">
        <v>592</v>
      </c>
      <c r="B655" s="88">
        <v>85</v>
      </c>
      <c r="C655" s="88">
        <v>40</v>
      </c>
      <c r="D655" s="88" t="s">
        <v>450</v>
      </c>
      <c r="E655" s="88" t="s">
        <v>1147</v>
      </c>
      <c r="F655" s="88" t="s">
        <v>1148</v>
      </c>
      <c r="G655" s="88" t="s">
        <v>724</v>
      </c>
      <c r="H655" s="88" t="s">
        <v>596</v>
      </c>
    </row>
    <row r="656" spans="1:8" x14ac:dyDescent="0.3">
      <c r="A656" s="88" t="s">
        <v>592</v>
      </c>
      <c r="B656" s="88">
        <v>86</v>
      </c>
      <c r="C656" s="88">
        <v>18</v>
      </c>
      <c r="D656" s="88" t="s">
        <v>452</v>
      </c>
      <c r="E656" s="88" t="s">
        <v>894</v>
      </c>
      <c r="F656" s="88" t="s">
        <v>1049</v>
      </c>
      <c r="G656" s="88" t="s">
        <v>896</v>
      </c>
      <c r="H656" s="88" t="s">
        <v>596</v>
      </c>
    </row>
    <row r="657" spans="1:8" x14ac:dyDescent="0.3">
      <c r="A657" s="88" t="s">
        <v>592</v>
      </c>
      <c r="B657" s="88">
        <v>86</v>
      </c>
      <c r="C657" s="88">
        <v>33</v>
      </c>
      <c r="D657" s="88" t="s">
        <v>452</v>
      </c>
      <c r="E657" s="88" t="s">
        <v>1149</v>
      </c>
      <c r="F657" s="88" t="s">
        <v>1115</v>
      </c>
      <c r="G657" s="88" t="s">
        <v>749</v>
      </c>
      <c r="H657" s="88" t="s">
        <v>596</v>
      </c>
    </row>
    <row r="658" spans="1:8" x14ac:dyDescent="0.3">
      <c r="A658" s="88" t="s">
        <v>592</v>
      </c>
      <c r="B658" s="88">
        <v>86</v>
      </c>
      <c r="C658" s="88">
        <v>34</v>
      </c>
      <c r="D658" s="88" t="s">
        <v>452</v>
      </c>
      <c r="E658" s="88" t="s">
        <v>1150</v>
      </c>
      <c r="F658" s="88" t="s">
        <v>1116</v>
      </c>
      <c r="G658" s="88" t="s">
        <v>752</v>
      </c>
      <c r="H658" s="88" t="s">
        <v>596</v>
      </c>
    </row>
    <row r="659" spans="1:8" x14ac:dyDescent="0.3">
      <c r="A659" s="88" t="s">
        <v>592</v>
      </c>
      <c r="B659" s="88">
        <v>86</v>
      </c>
      <c r="C659" s="88">
        <v>35</v>
      </c>
      <c r="D659" s="88" t="s">
        <v>452</v>
      </c>
      <c r="E659" s="88" t="s">
        <v>1071</v>
      </c>
      <c r="F659" s="88" t="s">
        <v>1117</v>
      </c>
      <c r="G659" s="88" t="s">
        <v>755</v>
      </c>
      <c r="H659" s="88" t="s">
        <v>596</v>
      </c>
    </row>
    <row r="660" spans="1:8" x14ac:dyDescent="0.3">
      <c r="A660" s="88" t="s">
        <v>592</v>
      </c>
      <c r="B660" s="88">
        <v>86</v>
      </c>
      <c r="C660" s="88">
        <v>36</v>
      </c>
      <c r="D660" s="88" t="s">
        <v>452</v>
      </c>
      <c r="E660" s="88" t="s">
        <v>903</v>
      </c>
      <c r="F660" s="88" t="s">
        <v>826</v>
      </c>
      <c r="G660" s="88" t="s">
        <v>758</v>
      </c>
      <c r="H660" s="88" t="s">
        <v>596</v>
      </c>
    </row>
    <row r="661" spans="1:8" ht="28.8" x14ac:dyDescent="0.3">
      <c r="A661" s="88" t="s">
        <v>592</v>
      </c>
      <c r="B661" s="88">
        <v>86</v>
      </c>
      <c r="C661" s="88">
        <v>39</v>
      </c>
      <c r="D661" s="88" t="s">
        <v>452</v>
      </c>
      <c r="E661" s="88" t="s">
        <v>1151</v>
      </c>
      <c r="F661" s="88" t="s">
        <v>1152</v>
      </c>
      <c r="G661" s="88" t="s">
        <v>719</v>
      </c>
      <c r="H661" s="88" t="s">
        <v>596</v>
      </c>
    </row>
    <row r="662" spans="1:8" ht="28.8" x14ac:dyDescent="0.3">
      <c r="A662" s="88" t="s">
        <v>592</v>
      </c>
      <c r="B662" s="88">
        <v>86</v>
      </c>
      <c r="C662" s="88">
        <v>40</v>
      </c>
      <c r="D662" s="88" t="s">
        <v>452</v>
      </c>
      <c r="E662" s="88" t="s">
        <v>1153</v>
      </c>
      <c r="F662" s="88" t="s">
        <v>1154</v>
      </c>
      <c r="G662" s="88" t="s">
        <v>724</v>
      </c>
      <c r="H662" s="88" t="s">
        <v>596</v>
      </c>
    </row>
    <row r="663" spans="1:8" x14ac:dyDescent="0.3">
      <c r="A663" s="88" t="s">
        <v>592</v>
      </c>
      <c r="B663" s="88">
        <v>87</v>
      </c>
      <c r="C663" s="88">
        <v>18</v>
      </c>
      <c r="D663" s="88" t="s">
        <v>174</v>
      </c>
      <c r="E663" s="88" t="s">
        <v>1049</v>
      </c>
      <c r="F663" s="88" t="s">
        <v>894</v>
      </c>
      <c r="G663" s="88" t="s">
        <v>896</v>
      </c>
      <c r="H663" s="88" t="s">
        <v>596</v>
      </c>
    </row>
    <row r="664" spans="1:8" x14ac:dyDescent="0.3">
      <c r="A664" s="88" t="s">
        <v>592</v>
      </c>
      <c r="B664" s="88">
        <v>87</v>
      </c>
      <c r="C664" s="88">
        <v>33</v>
      </c>
      <c r="D664" s="88" t="s">
        <v>174</v>
      </c>
      <c r="E664" s="88" t="s">
        <v>1155</v>
      </c>
      <c r="F664" s="88" t="s">
        <v>705</v>
      </c>
      <c r="G664" s="88" t="s">
        <v>749</v>
      </c>
      <c r="H664" s="88" t="s">
        <v>596</v>
      </c>
    </row>
    <row r="665" spans="1:8" x14ac:dyDescent="0.3">
      <c r="A665" s="88" t="s">
        <v>592</v>
      </c>
      <c r="B665" s="88">
        <v>87</v>
      </c>
      <c r="C665" s="88">
        <v>34</v>
      </c>
      <c r="D665" s="88" t="s">
        <v>174</v>
      </c>
      <c r="E665" s="88" t="s">
        <v>1156</v>
      </c>
      <c r="F665" s="88" t="s">
        <v>994</v>
      </c>
      <c r="G665" s="88" t="s">
        <v>752</v>
      </c>
      <c r="H665" s="88" t="s">
        <v>596</v>
      </c>
    </row>
    <row r="666" spans="1:8" x14ac:dyDescent="0.3">
      <c r="A666" s="88" t="s">
        <v>592</v>
      </c>
      <c r="B666" s="88">
        <v>87</v>
      </c>
      <c r="C666" s="88">
        <v>35</v>
      </c>
      <c r="D666" s="88" t="s">
        <v>174</v>
      </c>
      <c r="E666" s="88" t="s">
        <v>1081</v>
      </c>
      <c r="F666" s="88" t="s">
        <v>872</v>
      </c>
      <c r="G666" s="88" t="s">
        <v>755</v>
      </c>
      <c r="H666" s="88" t="s">
        <v>596</v>
      </c>
    </row>
    <row r="667" spans="1:8" x14ac:dyDescent="0.3">
      <c r="A667" s="88" t="s">
        <v>592</v>
      </c>
      <c r="B667" s="88">
        <v>87</v>
      </c>
      <c r="C667" s="88">
        <v>36</v>
      </c>
      <c r="D667" s="88" t="s">
        <v>174</v>
      </c>
      <c r="E667" s="88" t="s">
        <v>919</v>
      </c>
      <c r="F667" s="88" t="s">
        <v>1128</v>
      </c>
      <c r="G667" s="88" t="s">
        <v>758</v>
      </c>
      <c r="H667" s="88" t="s">
        <v>596</v>
      </c>
    </row>
    <row r="668" spans="1:8" ht="28.8" x14ac:dyDescent="0.3">
      <c r="A668" s="88" t="s">
        <v>592</v>
      </c>
      <c r="B668" s="88">
        <v>87</v>
      </c>
      <c r="C668" s="88">
        <v>39</v>
      </c>
      <c r="D668" s="88" t="s">
        <v>174</v>
      </c>
      <c r="E668" s="88" t="s">
        <v>1157</v>
      </c>
      <c r="F668" s="88" t="s">
        <v>1158</v>
      </c>
      <c r="G668" s="88" t="s">
        <v>719</v>
      </c>
      <c r="H668" s="88" t="s">
        <v>596</v>
      </c>
    </row>
    <row r="669" spans="1:8" ht="28.8" x14ac:dyDescent="0.3">
      <c r="A669" s="88" t="s">
        <v>592</v>
      </c>
      <c r="B669" s="88">
        <v>87</v>
      </c>
      <c r="C669" s="88">
        <v>40</v>
      </c>
      <c r="D669" s="88" t="s">
        <v>174</v>
      </c>
      <c r="E669" s="88" t="s">
        <v>1159</v>
      </c>
      <c r="F669" s="88" t="s">
        <v>1153</v>
      </c>
      <c r="G669" s="88" t="s">
        <v>724</v>
      </c>
      <c r="H669" s="88" t="s">
        <v>596</v>
      </c>
    </row>
    <row r="670" spans="1:8" ht="28.8" x14ac:dyDescent="0.3">
      <c r="A670" s="88" t="s">
        <v>592</v>
      </c>
      <c r="B670" s="88">
        <v>88</v>
      </c>
      <c r="C670" s="88">
        <v>39</v>
      </c>
      <c r="D670" s="88" t="s">
        <v>455</v>
      </c>
      <c r="E670" s="88" t="s">
        <v>1160</v>
      </c>
      <c r="F670" s="88" t="s">
        <v>1161</v>
      </c>
      <c r="G670" s="88" t="s">
        <v>719</v>
      </c>
      <c r="H670" s="88" t="s">
        <v>596</v>
      </c>
    </row>
    <row r="671" spans="1:8" x14ac:dyDescent="0.3">
      <c r="A671" s="88" t="s">
        <v>592</v>
      </c>
      <c r="B671" s="88">
        <v>89</v>
      </c>
      <c r="C671" s="88">
        <v>33</v>
      </c>
      <c r="D671" s="88" t="s">
        <v>176</v>
      </c>
      <c r="E671" s="88" t="s">
        <v>927</v>
      </c>
      <c r="F671" s="88" t="s">
        <v>1128</v>
      </c>
      <c r="G671" s="88" t="s">
        <v>749</v>
      </c>
      <c r="H671" s="88" t="s">
        <v>596</v>
      </c>
    </row>
    <row r="672" spans="1:8" x14ac:dyDescent="0.3">
      <c r="A672" s="88" t="s">
        <v>592</v>
      </c>
      <c r="B672" s="88">
        <v>89</v>
      </c>
      <c r="C672" s="88">
        <v>34</v>
      </c>
      <c r="D672" s="88" t="s">
        <v>176</v>
      </c>
      <c r="E672" s="88" t="s">
        <v>1162</v>
      </c>
      <c r="F672" s="88" t="s">
        <v>1129</v>
      </c>
      <c r="G672" s="88" t="s">
        <v>752</v>
      </c>
      <c r="H672" s="88" t="s">
        <v>596</v>
      </c>
    </row>
    <row r="673" spans="1:8" x14ac:dyDescent="0.3">
      <c r="A673" s="88" t="s">
        <v>592</v>
      </c>
      <c r="B673" s="88">
        <v>89</v>
      </c>
      <c r="C673" s="88">
        <v>35</v>
      </c>
      <c r="D673" s="88" t="s">
        <v>176</v>
      </c>
      <c r="E673" s="88" t="s">
        <v>1163</v>
      </c>
      <c r="F673" s="88" t="s">
        <v>849</v>
      </c>
      <c r="G673" s="88" t="s">
        <v>755</v>
      </c>
      <c r="H673" s="88" t="s">
        <v>596</v>
      </c>
    </row>
    <row r="674" spans="1:8" x14ac:dyDescent="0.3">
      <c r="A674" s="88" t="s">
        <v>592</v>
      </c>
      <c r="B674" s="88">
        <v>89</v>
      </c>
      <c r="C674" s="88">
        <v>36</v>
      </c>
      <c r="D674" s="88" t="s">
        <v>176</v>
      </c>
      <c r="E674" s="88" t="s">
        <v>832</v>
      </c>
      <c r="F674" s="88" t="s">
        <v>655</v>
      </c>
      <c r="G674" s="88" t="s">
        <v>758</v>
      </c>
      <c r="H674" s="88" t="s">
        <v>596</v>
      </c>
    </row>
    <row r="675" spans="1:8" ht="28.8" x14ac:dyDescent="0.3">
      <c r="A675" s="88" t="s">
        <v>592</v>
      </c>
      <c r="B675" s="88">
        <v>89</v>
      </c>
      <c r="C675" s="88">
        <v>39</v>
      </c>
      <c r="D675" s="88" t="s">
        <v>176</v>
      </c>
      <c r="E675" s="88" t="s">
        <v>1032</v>
      </c>
      <c r="F675" s="88" t="s">
        <v>1164</v>
      </c>
      <c r="G675" s="88" t="s">
        <v>719</v>
      </c>
      <c r="H675" s="88" t="s">
        <v>596</v>
      </c>
    </row>
    <row r="676" spans="1:8" x14ac:dyDescent="0.3">
      <c r="A676" s="88" t="s">
        <v>592</v>
      </c>
      <c r="B676" s="88">
        <v>90</v>
      </c>
      <c r="C676" s="88">
        <v>33</v>
      </c>
      <c r="D676" s="88" t="s">
        <v>457</v>
      </c>
      <c r="E676" s="88" t="s">
        <v>1165</v>
      </c>
      <c r="F676" s="88" t="s">
        <v>811</v>
      </c>
      <c r="G676" s="88" t="s">
        <v>749</v>
      </c>
      <c r="H676" s="88" t="s">
        <v>596</v>
      </c>
    </row>
    <row r="677" spans="1:8" x14ac:dyDescent="0.3">
      <c r="A677" s="88" t="s">
        <v>592</v>
      </c>
      <c r="B677" s="88">
        <v>90</v>
      </c>
      <c r="C677" s="88">
        <v>34</v>
      </c>
      <c r="D677" s="88" t="s">
        <v>457</v>
      </c>
      <c r="E677" s="88" t="s">
        <v>1166</v>
      </c>
      <c r="F677" s="88" t="s">
        <v>1130</v>
      </c>
      <c r="G677" s="88" t="s">
        <v>752</v>
      </c>
      <c r="H677" s="88" t="s">
        <v>596</v>
      </c>
    </row>
    <row r="678" spans="1:8" x14ac:dyDescent="0.3">
      <c r="A678" s="88" t="s">
        <v>592</v>
      </c>
      <c r="B678" s="88">
        <v>90</v>
      </c>
      <c r="C678" s="88">
        <v>35</v>
      </c>
      <c r="D678" s="88" t="s">
        <v>457</v>
      </c>
      <c r="E678" s="88" t="s">
        <v>1167</v>
      </c>
      <c r="F678" s="88" t="s">
        <v>1088</v>
      </c>
      <c r="G678" s="88" t="s">
        <v>755</v>
      </c>
      <c r="H678" s="88" t="s">
        <v>596</v>
      </c>
    </row>
    <row r="679" spans="1:8" x14ac:dyDescent="0.3">
      <c r="A679" s="88" t="s">
        <v>592</v>
      </c>
      <c r="B679" s="88">
        <v>90</v>
      </c>
      <c r="C679" s="88">
        <v>36</v>
      </c>
      <c r="D679" s="88" t="s">
        <v>457</v>
      </c>
      <c r="E679" s="88" t="s">
        <v>1149</v>
      </c>
      <c r="F679" s="88" t="s">
        <v>854</v>
      </c>
      <c r="G679" s="88" t="s">
        <v>758</v>
      </c>
      <c r="H679" s="88" t="s">
        <v>596</v>
      </c>
    </row>
    <row r="680" spans="1:8" ht="28.8" x14ac:dyDescent="0.3">
      <c r="A680" s="88" t="s">
        <v>592</v>
      </c>
      <c r="B680" s="88">
        <v>90</v>
      </c>
      <c r="C680" s="88">
        <v>39</v>
      </c>
      <c r="D680" s="88" t="s">
        <v>457</v>
      </c>
      <c r="E680" s="88" t="s">
        <v>1168</v>
      </c>
      <c r="F680" s="88" t="s">
        <v>1169</v>
      </c>
      <c r="G680" s="88" t="s">
        <v>719</v>
      </c>
      <c r="H680" s="88" t="s">
        <v>596</v>
      </c>
    </row>
    <row r="681" spans="1:8" ht="28.8" x14ac:dyDescent="0.3">
      <c r="A681" s="88" t="s">
        <v>592</v>
      </c>
      <c r="B681" s="88">
        <v>90</v>
      </c>
      <c r="C681" s="88">
        <v>40</v>
      </c>
      <c r="D681" s="88" t="s">
        <v>457</v>
      </c>
      <c r="E681" s="88" t="s">
        <v>1170</v>
      </c>
      <c r="F681" s="88" t="s">
        <v>1171</v>
      </c>
      <c r="G681" s="88" t="s">
        <v>724</v>
      </c>
      <c r="H681" s="88" t="s">
        <v>596</v>
      </c>
    </row>
    <row r="682" spans="1:8" x14ac:dyDescent="0.3">
      <c r="A682" s="88" t="s">
        <v>592</v>
      </c>
      <c r="B682" s="88">
        <v>91</v>
      </c>
      <c r="C682" s="88">
        <v>33</v>
      </c>
      <c r="D682" s="88" t="s">
        <v>178</v>
      </c>
      <c r="E682" s="88" t="s">
        <v>1172</v>
      </c>
      <c r="F682" s="88" t="s">
        <v>817</v>
      </c>
      <c r="G682" s="88" t="s">
        <v>749</v>
      </c>
      <c r="H682" s="88" t="s">
        <v>596</v>
      </c>
    </row>
    <row r="683" spans="1:8" x14ac:dyDescent="0.3">
      <c r="A683" s="88" t="s">
        <v>592</v>
      </c>
      <c r="B683" s="88">
        <v>91</v>
      </c>
      <c r="C683" s="88">
        <v>34</v>
      </c>
      <c r="D683" s="88" t="s">
        <v>178</v>
      </c>
      <c r="E683" s="88" t="s">
        <v>1173</v>
      </c>
      <c r="F683" s="88" t="s">
        <v>786</v>
      </c>
      <c r="G683" s="88" t="s">
        <v>752</v>
      </c>
      <c r="H683" s="88" t="s">
        <v>596</v>
      </c>
    </row>
    <row r="684" spans="1:8" x14ac:dyDescent="0.3">
      <c r="A684" s="88" t="s">
        <v>592</v>
      </c>
      <c r="B684" s="88">
        <v>91</v>
      </c>
      <c r="C684" s="88">
        <v>35</v>
      </c>
      <c r="D684" s="88" t="s">
        <v>178</v>
      </c>
      <c r="E684" s="88" t="s">
        <v>864</v>
      </c>
      <c r="F684" s="88" t="s">
        <v>658</v>
      </c>
      <c r="G684" s="88" t="s">
        <v>755</v>
      </c>
      <c r="H684" s="88" t="s">
        <v>596</v>
      </c>
    </row>
    <row r="685" spans="1:8" x14ac:dyDescent="0.3">
      <c r="A685" s="88" t="s">
        <v>592</v>
      </c>
      <c r="B685" s="88">
        <v>91</v>
      </c>
      <c r="C685" s="88">
        <v>36</v>
      </c>
      <c r="D685" s="88" t="s">
        <v>178</v>
      </c>
      <c r="E685" s="88" t="s">
        <v>934</v>
      </c>
      <c r="F685" s="88" t="s">
        <v>793</v>
      </c>
      <c r="G685" s="88" t="s">
        <v>758</v>
      </c>
      <c r="H685" s="88" t="s">
        <v>596</v>
      </c>
    </row>
    <row r="686" spans="1:8" ht="28.8" x14ac:dyDescent="0.3">
      <c r="A686" s="88" t="s">
        <v>592</v>
      </c>
      <c r="B686" s="88">
        <v>91</v>
      </c>
      <c r="C686" s="88">
        <v>39</v>
      </c>
      <c r="D686" s="88" t="s">
        <v>178</v>
      </c>
      <c r="E686" s="88" t="s">
        <v>1174</v>
      </c>
      <c r="F686" s="88" t="s">
        <v>1175</v>
      </c>
      <c r="G686" s="88" t="s">
        <v>719</v>
      </c>
      <c r="H686" s="88" t="s">
        <v>596</v>
      </c>
    </row>
    <row r="687" spans="1:8" ht="28.8" x14ac:dyDescent="0.3">
      <c r="A687" s="88" t="s">
        <v>592</v>
      </c>
      <c r="B687" s="88">
        <v>91</v>
      </c>
      <c r="C687" s="88">
        <v>40</v>
      </c>
      <c r="D687" s="88" t="s">
        <v>178</v>
      </c>
      <c r="E687" s="88" t="s">
        <v>1176</v>
      </c>
      <c r="F687" s="88" t="s">
        <v>1177</v>
      </c>
      <c r="G687" s="88" t="s">
        <v>724</v>
      </c>
      <c r="H687" s="88" t="s">
        <v>596</v>
      </c>
    </row>
    <row r="688" spans="1:8" x14ac:dyDescent="0.3">
      <c r="A688" s="88" t="s">
        <v>592</v>
      </c>
      <c r="B688" s="88">
        <v>92</v>
      </c>
      <c r="C688" s="88">
        <v>33</v>
      </c>
      <c r="D688" s="88" t="s">
        <v>179</v>
      </c>
      <c r="E688" s="88" t="s">
        <v>822</v>
      </c>
      <c r="F688" s="88" t="s">
        <v>655</v>
      </c>
      <c r="G688" s="88" t="s">
        <v>749</v>
      </c>
      <c r="H688" s="88" t="s">
        <v>596</v>
      </c>
    </row>
    <row r="689" spans="1:8" x14ac:dyDescent="0.3">
      <c r="A689" s="88" t="s">
        <v>592</v>
      </c>
      <c r="B689" s="88">
        <v>92</v>
      </c>
      <c r="C689" s="88">
        <v>34</v>
      </c>
      <c r="D689" s="88" t="s">
        <v>179</v>
      </c>
      <c r="E689" s="88" t="s">
        <v>1178</v>
      </c>
      <c r="F689" s="88" t="s">
        <v>920</v>
      </c>
      <c r="G689" s="88" t="s">
        <v>752</v>
      </c>
      <c r="H689" s="88" t="s">
        <v>596</v>
      </c>
    </row>
    <row r="690" spans="1:8" x14ac:dyDescent="0.3">
      <c r="A690" s="88" t="s">
        <v>592</v>
      </c>
      <c r="B690" s="88">
        <v>92</v>
      </c>
      <c r="C690" s="88">
        <v>35</v>
      </c>
      <c r="D690" s="88" t="s">
        <v>179</v>
      </c>
      <c r="E690" s="88" t="s">
        <v>1179</v>
      </c>
      <c r="F690" s="88" t="s">
        <v>1137</v>
      </c>
      <c r="G690" s="88" t="s">
        <v>755</v>
      </c>
      <c r="H690" s="88" t="s">
        <v>596</v>
      </c>
    </row>
    <row r="691" spans="1:8" x14ac:dyDescent="0.3">
      <c r="A691" s="88" t="s">
        <v>592</v>
      </c>
      <c r="B691" s="88">
        <v>92</v>
      </c>
      <c r="C691" s="88">
        <v>36</v>
      </c>
      <c r="D691" s="88" t="s">
        <v>179</v>
      </c>
      <c r="E691" s="88" t="s">
        <v>1180</v>
      </c>
      <c r="F691" s="88" t="s">
        <v>1138</v>
      </c>
      <c r="G691" s="88" t="s">
        <v>758</v>
      </c>
      <c r="H691" s="88" t="s">
        <v>596</v>
      </c>
    </row>
    <row r="692" spans="1:8" ht="28.8" x14ac:dyDescent="0.3">
      <c r="A692" s="88" t="s">
        <v>592</v>
      </c>
      <c r="B692" s="88">
        <v>92</v>
      </c>
      <c r="C692" s="88">
        <v>39</v>
      </c>
      <c r="D692" s="88" t="s">
        <v>179</v>
      </c>
      <c r="E692" s="88" t="s">
        <v>1181</v>
      </c>
      <c r="F692" s="88" t="s">
        <v>1182</v>
      </c>
      <c r="G692" s="88" t="s">
        <v>719</v>
      </c>
      <c r="H692" s="88" t="s">
        <v>596</v>
      </c>
    </row>
    <row r="693" spans="1:8" ht="28.8" x14ac:dyDescent="0.3">
      <c r="A693" s="88" t="s">
        <v>592</v>
      </c>
      <c r="B693" s="88">
        <v>92</v>
      </c>
      <c r="C693" s="88">
        <v>40</v>
      </c>
      <c r="D693" s="88" t="s">
        <v>179</v>
      </c>
      <c r="E693" s="88" t="s">
        <v>1183</v>
      </c>
      <c r="F693" s="88" t="s">
        <v>1184</v>
      </c>
      <c r="G693" s="88" t="s">
        <v>724</v>
      </c>
      <c r="H693" s="88" t="s">
        <v>596</v>
      </c>
    </row>
    <row r="694" spans="1:8" x14ac:dyDescent="0.3">
      <c r="A694" s="88" t="s">
        <v>592</v>
      </c>
      <c r="B694" s="88">
        <v>93</v>
      </c>
      <c r="C694" s="88">
        <v>33</v>
      </c>
      <c r="D694" s="88" t="s">
        <v>180</v>
      </c>
      <c r="E694" s="88" t="s">
        <v>841</v>
      </c>
      <c r="F694" s="88" t="s">
        <v>970</v>
      </c>
      <c r="G694" s="88" t="s">
        <v>749</v>
      </c>
      <c r="H694" s="88" t="s">
        <v>596</v>
      </c>
    </row>
    <row r="695" spans="1:8" x14ac:dyDescent="0.3">
      <c r="A695" s="88" t="s">
        <v>592</v>
      </c>
      <c r="B695" s="88">
        <v>93</v>
      </c>
      <c r="C695" s="88">
        <v>34</v>
      </c>
      <c r="D695" s="88" t="s">
        <v>180</v>
      </c>
      <c r="E695" s="88" t="s">
        <v>1185</v>
      </c>
      <c r="F695" s="88" t="s">
        <v>1141</v>
      </c>
      <c r="G695" s="88" t="s">
        <v>752</v>
      </c>
      <c r="H695" s="88" t="s">
        <v>596</v>
      </c>
    </row>
    <row r="696" spans="1:8" x14ac:dyDescent="0.3">
      <c r="A696" s="88" t="s">
        <v>592</v>
      </c>
      <c r="B696" s="88">
        <v>93</v>
      </c>
      <c r="C696" s="88">
        <v>35</v>
      </c>
      <c r="D696" s="88" t="s">
        <v>180</v>
      </c>
      <c r="E696" s="88" t="s">
        <v>1097</v>
      </c>
      <c r="F696" s="88" t="s">
        <v>1142</v>
      </c>
      <c r="G696" s="88" t="s">
        <v>755</v>
      </c>
      <c r="H696" s="88" t="s">
        <v>596</v>
      </c>
    </row>
    <row r="697" spans="1:8" x14ac:dyDescent="0.3">
      <c r="A697" s="88" t="s">
        <v>592</v>
      </c>
      <c r="B697" s="88">
        <v>93</v>
      </c>
      <c r="C697" s="88">
        <v>36</v>
      </c>
      <c r="D697" s="88" t="s">
        <v>180</v>
      </c>
      <c r="E697" s="88" t="s">
        <v>959</v>
      </c>
      <c r="F697" s="88" t="s">
        <v>651</v>
      </c>
      <c r="G697" s="88" t="s">
        <v>758</v>
      </c>
      <c r="H697" s="88" t="s">
        <v>596</v>
      </c>
    </row>
    <row r="698" spans="1:8" ht="28.8" x14ac:dyDescent="0.3">
      <c r="A698" s="88" t="s">
        <v>592</v>
      </c>
      <c r="B698" s="88">
        <v>93</v>
      </c>
      <c r="C698" s="88">
        <v>39</v>
      </c>
      <c r="D698" s="88" t="s">
        <v>180</v>
      </c>
      <c r="E698" s="88" t="s">
        <v>1186</v>
      </c>
      <c r="F698" s="88" t="s">
        <v>1187</v>
      </c>
      <c r="G698" s="88" t="s">
        <v>719</v>
      </c>
      <c r="H698" s="88" t="s">
        <v>596</v>
      </c>
    </row>
    <row r="699" spans="1:8" x14ac:dyDescent="0.3">
      <c r="A699" s="88" t="s">
        <v>592</v>
      </c>
      <c r="B699" s="88">
        <v>94</v>
      </c>
      <c r="C699" s="88">
        <v>33</v>
      </c>
      <c r="D699" s="88" t="s">
        <v>181</v>
      </c>
      <c r="E699" s="88" t="s">
        <v>1188</v>
      </c>
      <c r="F699" s="88" t="s">
        <v>1143</v>
      </c>
      <c r="G699" s="88" t="s">
        <v>749</v>
      </c>
      <c r="H699" s="88" t="s">
        <v>596</v>
      </c>
    </row>
    <row r="700" spans="1:8" x14ac:dyDescent="0.3">
      <c r="A700" s="88" t="s">
        <v>592</v>
      </c>
      <c r="B700" s="88">
        <v>94</v>
      </c>
      <c r="C700" s="88">
        <v>34</v>
      </c>
      <c r="D700" s="88" t="s">
        <v>181</v>
      </c>
      <c r="E700" s="88" t="s">
        <v>1189</v>
      </c>
      <c r="F700" s="88" t="s">
        <v>1144</v>
      </c>
      <c r="G700" s="88" t="s">
        <v>752</v>
      </c>
      <c r="H700" s="88" t="s">
        <v>596</v>
      </c>
    </row>
    <row r="701" spans="1:8" x14ac:dyDescent="0.3">
      <c r="A701" s="88" t="s">
        <v>592</v>
      </c>
      <c r="B701" s="88">
        <v>94</v>
      </c>
      <c r="C701" s="88">
        <v>35</v>
      </c>
      <c r="D701" s="88" t="s">
        <v>181</v>
      </c>
      <c r="E701" s="88" t="s">
        <v>937</v>
      </c>
      <c r="F701" s="88" t="s">
        <v>904</v>
      </c>
      <c r="G701" s="88" t="s">
        <v>755</v>
      </c>
      <c r="H701" s="88" t="s">
        <v>596</v>
      </c>
    </row>
    <row r="702" spans="1:8" x14ac:dyDescent="0.3">
      <c r="A702" s="88" t="s">
        <v>592</v>
      </c>
      <c r="B702" s="88">
        <v>94</v>
      </c>
      <c r="C702" s="88">
        <v>36</v>
      </c>
      <c r="D702" s="88" t="s">
        <v>181</v>
      </c>
      <c r="E702" s="88" t="s">
        <v>954</v>
      </c>
      <c r="F702" s="88" t="s">
        <v>1067</v>
      </c>
      <c r="G702" s="88" t="s">
        <v>758</v>
      </c>
      <c r="H702" s="88" t="s">
        <v>596</v>
      </c>
    </row>
    <row r="703" spans="1:8" ht="28.8" x14ac:dyDescent="0.3">
      <c r="A703" s="88" t="s">
        <v>592</v>
      </c>
      <c r="B703" s="88">
        <v>94</v>
      </c>
      <c r="C703" s="88">
        <v>39</v>
      </c>
      <c r="D703" s="88" t="s">
        <v>181</v>
      </c>
      <c r="E703" s="88" t="s">
        <v>1190</v>
      </c>
      <c r="F703" s="88" t="s">
        <v>1191</v>
      </c>
      <c r="G703" s="88" t="s">
        <v>719</v>
      </c>
      <c r="H703" s="88" t="s">
        <v>596</v>
      </c>
    </row>
    <row r="704" spans="1:8" x14ac:dyDescent="0.3">
      <c r="A704" s="88" t="s">
        <v>592</v>
      </c>
      <c r="B704" s="88">
        <v>95</v>
      </c>
      <c r="C704" s="88">
        <v>33</v>
      </c>
      <c r="D704" s="88" t="s">
        <v>182</v>
      </c>
      <c r="E704" s="88" t="s">
        <v>1076</v>
      </c>
      <c r="F704" s="88" t="s">
        <v>1149</v>
      </c>
      <c r="G704" s="88" t="s">
        <v>749</v>
      </c>
      <c r="H704" s="88" t="s">
        <v>596</v>
      </c>
    </row>
    <row r="705" spans="1:8" x14ac:dyDescent="0.3">
      <c r="A705" s="88" t="s">
        <v>592</v>
      </c>
      <c r="B705" s="88">
        <v>95</v>
      </c>
      <c r="C705" s="88">
        <v>34</v>
      </c>
      <c r="D705" s="88" t="s">
        <v>182</v>
      </c>
      <c r="E705" s="88" t="s">
        <v>1192</v>
      </c>
      <c r="F705" s="88" t="s">
        <v>1150</v>
      </c>
      <c r="G705" s="88" t="s">
        <v>752</v>
      </c>
      <c r="H705" s="88" t="s">
        <v>596</v>
      </c>
    </row>
    <row r="706" spans="1:8" x14ac:dyDescent="0.3">
      <c r="A706" s="88" t="s">
        <v>592</v>
      </c>
      <c r="B706" s="88">
        <v>95</v>
      </c>
      <c r="C706" s="88">
        <v>35</v>
      </c>
      <c r="D706" s="88" t="s">
        <v>182</v>
      </c>
      <c r="E706" s="88" t="s">
        <v>993</v>
      </c>
      <c r="F706" s="88" t="s">
        <v>1071</v>
      </c>
      <c r="G706" s="88" t="s">
        <v>755</v>
      </c>
      <c r="H706" s="88" t="s">
        <v>596</v>
      </c>
    </row>
    <row r="707" spans="1:8" x14ac:dyDescent="0.3">
      <c r="A707" s="88" t="s">
        <v>592</v>
      </c>
      <c r="B707" s="88">
        <v>95</v>
      </c>
      <c r="C707" s="88">
        <v>36</v>
      </c>
      <c r="D707" s="88" t="s">
        <v>182</v>
      </c>
      <c r="E707" s="88" t="s">
        <v>886</v>
      </c>
      <c r="F707" s="88" t="s">
        <v>903</v>
      </c>
      <c r="G707" s="88" t="s">
        <v>758</v>
      </c>
      <c r="H707" s="88" t="s">
        <v>596</v>
      </c>
    </row>
    <row r="708" spans="1:8" ht="28.8" x14ac:dyDescent="0.3">
      <c r="A708" s="88" t="s">
        <v>592</v>
      </c>
      <c r="B708" s="88">
        <v>95</v>
      </c>
      <c r="C708" s="88">
        <v>39</v>
      </c>
      <c r="D708" s="88" t="s">
        <v>182</v>
      </c>
      <c r="E708" s="88" t="s">
        <v>905</v>
      </c>
      <c r="F708" s="88" t="s">
        <v>1193</v>
      </c>
      <c r="G708" s="88" t="s">
        <v>719</v>
      </c>
      <c r="H708" s="88" t="s">
        <v>596</v>
      </c>
    </row>
    <row r="709" spans="1:8" ht="28.8" x14ac:dyDescent="0.3">
      <c r="A709" s="88" t="s">
        <v>592</v>
      </c>
      <c r="B709" s="88">
        <v>95</v>
      </c>
      <c r="C709" s="88">
        <v>40</v>
      </c>
      <c r="D709" s="88" t="s">
        <v>182</v>
      </c>
      <c r="E709" s="88" t="s">
        <v>1194</v>
      </c>
      <c r="F709" s="88" t="s">
        <v>1195</v>
      </c>
      <c r="G709" s="88" t="s">
        <v>724</v>
      </c>
      <c r="H709" s="88" t="s">
        <v>596</v>
      </c>
    </row>
    <row r="710" spans="1:8" x14ac:dyDescent="0.3">
      <c r="A710" s="88" t="s">
        <v>592</v>
      </c>
      <c r="B710" s="88">
        <v>96</v>
      </c>
      <c r="C710" s="88">
        <v>33</v>
      </c>
      <c r="D710" s="88" t="s">
        <v>183</v>
      </c>
      <c r="E710" s="88" t="s">
        <v>923</v>
      </c>
      <c r="F710" s="88" t="s">
        <v>1155</v>
      </c>
      <c r="G710" s="88" t="s">
        <v>749</v>
      </c>
      <c r="H710" s="88" t="s">
        <v>596</v>
      </c>
    </row>
    <row r="711" spans="1:8" x14ac:dyDescent="0.3">
      <c r="A711" s="88" t="s">
        <v>592</v>
      </c>
      <c r="B711" s="88">
        <v>96</v>
      </c>
      <c r="C711" s="88">
        <v>34</v>
      </c>
      <c r="D711" s="88" t="s">
        <v>183</v>
      </c>
      <c r="E711" s="88" t="s">
        <v>1196</v>
      </c>
      <c r="F711" s="88" t="s">
        <v>1156</v>
      </c>
      <c r="G711" s="88" t="s">
        <v>752</v>
      </c>
      <c r="H711" s="88" t="s">
        <v>596</v>
      </c>
    </row>
    <row r="712" spans="1:8" x14ac:dyDescent="0.3">
      <c r="A712" s="88" t="s">
        <v>592</v>
      </c>
      <c r="B712" s="88">
        <v>96</v>
      </c>
      <c r="C712" s="88">
        <v>35</v>
      </c>
      <c r="D712" s="88" t="s">
        <v>183</v>
      </c>
      <c r="E712" s="88" t="s">
        <v>656</v>
      </c>
      <c r="F712" s="88" t="s">
        <v>1081</v>
      </c>
      <c r="G712" s="88" t="s">
        <v>755</v>
      </c>
      <c r="H712" s="88" t="s">
        <v>596</v>
      </c>
    </row>
    <row r="713" spans="1:8" x14ac:dyDescent="0.3">
      <c r="A713" s="88" t="s">
        <v>592</v>
      </c>
      <c r="B713" s="88">
        <v>96</v>
      </c>
      <c r="C713" s="88">
        <v>36</v>
      </c>
      <c r="D713" s="88" t="s">
        <v>183</v>
      </c>
      <c r="E713" s="88" t="s">
        <v>1197</v>
      </c>
      <c r="F713" s="88" t="s">
        <v>919</v>
      </c>
      <c r="G713" s="88" t="s">
        <v>758</v>
      </c>
      <c r="H713" s="88" t="s">
        <v>596</v>
      </c>
    </row>
    <row r="714" spans="1:8" ht="28.8" x14ac:dyDescent="0.3">
      <c r="A714" s="88" t="s">
        <v>592</v>
      </c>
      <c r="B714" s="88">
        <v>96</v>
      </c>
      <c r="C714" s="88">
        <v>39</v>
      </c>
      <c r="D714" s="88" t="s">
        <v>183</v>
      </c>
      <c r="E714" s="88" t="s">
        <v>788</v>
      </c>
      <c r="F714" s="88" t="s">
        <v>1198</v>
      </c>
      <c r="G714" s="88" t="s">
        <v>719</v>
      </c>
      <c r="H714" s="88" t="s">
        <v>596</v>
      </c>
    </row>
    <row r="715" spans="1:8" x14ac:dyDescent="0.3">
      <c r="A715" s="88" t="s">
        <v>592</v>
      </c>
      <c r="B715" s="88">
        <v>97</v>
      </c>
      <c r="C715" s="88">
        <v>33</v>
      </c>
      <c r="D715" s="88" t="s">
        <v>184</v>
      </c>
      <c r="E715" s="88" t="s">
        <v>757</v>
      </c>
      <c r="F715" s="88" t="s">
        <v>1117</v>
      </c>
      <c r="G715" s="88" t="s">
        <v>749</v>
      </c>
      <c r="H715" s="88" t="s">
        <v>596</v>
      </c>
    </row>
    <row r="716" spans="1:8" x14ac:dyDescent="0.3">
      <c r="A716" s="88" t="s">
        <v>592</v>
      </c>
      <c r="B716" s="88">
        <v>97</v>
      </c>
      <c r="C716" s="88">
        <v>34</v>
      </c>
      <c r="D716" s="88" t="s">
        <v>184</v>
      </c>
      <c r="E716" s="88" t="s">
        <v>1162</v>
      </c>
      <c r="F716" s="88" t="s">
        <v>1199</v>
      </c>
      <c r="G716" s="88" t="s">
        <v>752</v>
      </c>
      <c r="H716" s="88" t="s">
        <v>596</v>
      </c>
    </row>
    <row r="717" spans="1:8" x14ac:dyDescent="0.3">
      <c r="A717" s="88" t="s">
        <v>592</v>
      </c>
      <c r="B717" s="88">
        <v>97</v>
      </c>
      <c r="C717" s="88">
        <v>35</v>
      </c>
      <c r="D717" s="88" t="s">
        <v>184</v>
      </c>
      <c r="E717" s="88" t="s">
        <v>1200</v>
      </c>
      <c r="F717" s="88" t="s">
        <v>972</v>
      </c>
      <c r="G717" s="88" t="s">
        <v>755</v>
      </c>
      <c r="H717" s="88" t="s">
        <v>596</v>
      </c>
    </row>
    <row r="718" spans="1:8" x14ac:dyDescent="0.3">
      <c r="A718" s="88" t="s">
        <v>592</v>
      </c>
      <c r="B718" s="88">
        <v>97</v>
      </c>
      <c r="C718" s="88">
        <v>36</v>
      </c>
      <c r="D718" s="88" t="s">
        <v>184</v>
      </c>
      <c r="E718" s="88" t="s">
        <v>1097</v>
      </c>
      <c r="F718" s="88" t="s">
        <v>805</v>
      </c>
      <c r="G718" s="88" t="s">
        <v>758</v>
      </c>
      <c r="H718" s="88" t="s">
        <v>596</v>
      </c>
    </row>
    <row r="719" spans="1:8" ht="28.8" x14ac:dyDescent="0.3">
      <c r="A719" s="88" t="s">
        <v>592</v>
      </c>
      <c r="B719" s="88">
        <v>97</v>
      </c>
      <c r="C719" s="88">
        <v>39</v>
      </c>
      <c r="D719" s="88" t="s">
        <v>184</v>
      </c>
      <c r="E719" s="88" t="s">
        <v>894</v>
      </c>
      <c r="F719" s="88" t="s">
        <v>1201</v>
      </c>
      <c r="G719" s="88" t="s">
        <v>719</v>
      </c>
      <c r="H719" s="88" t="s">
        <v>596</v>
      </c>
    </row>
    <row r="720" spans="1:8" x14ac:dyDescent="0.3">
      <c r="A720" s="88" t="s">
        <v>592</v>
      </c>
      <c r="B720" s="88">
        <v>98</v>
      </c>
      <c r="C720" s="88">
        <v>33</v>
      </c>
      <c r="D720" s="88" t="s">
        <v>185</v>
      </c>
      <c r="E720" s="88" t="s">
        <v>916</v>
      </c>
      <c r="F720" s="88" t="s">
        <v>927</v>
      </c>
      <c r="G720" s="88" t="s">
        <v>749</v>
      </c>
      <c r="H720" s="88" t="s">
        <v>596</v>
      </c>
    </row>
    <row r="721" spans="1:8" x14ac:dyDescent="0.3">
      <c r="A721" s="88" t="s">
        <v>592</v>
      </c>
      <c r="B721" s="88">
        <v>98</v>
      </c>
      <c r="C721" s="88">
        <v>34</v>
      </c>
      <c r="D721" s="88" t="s">
        <v>185</v>
      </c>
      <c r="E721" s="88" t="s">
        <v>1022</v>
      </c>
      <c r="F721" s="88" t="s">
        <v>1162</v>
      </c>
      <c r="G721" s="88" t="s">
        <v>752</v>
      </c>
      <c r="H721" s="88" t="s">
        <v>596</v>
      </c>
    </row>
    <row r="722" spans="1:8" x14ac:dyDescent="0.3">
      <c r="A722" s="88" t="s">
        <v>592</v>
      </c>
      <c r="B722" s="88">
        <v>98</v>
      </c>
      <c r="C722" s="88">
        <v>35</v>
      </c>
      <c r="D722" s="88" t="s">
        <v>185</v>
      </c>
      <c r="E722" s="88" t="s">
        <v>1202</v>
      </c>
      <c r="F722" s="88" t="s">
        <v>1163</v>
      </c>
      <c r="G722" s="88" t="s">
        <v>755</v>
      </c>
      <c r="H722" s="88" t="s">
        <v>596</v>
      </c>
    </row>
    <row r="723" spans="1:8" x14ac:dyDescent="0.3">
      <c r="A723" s="88" t="s">
        <v>592</v>
      </c>
      <c r="B723" s="88">
        <v>98</v>
      </c>
      <c r="C723" s="88">
        <v>36</v>
      </c>
      <c r="D723" s="88" t="s">
        <v>185</v>
      </c>
      <c r="E723" s="88" t="s">
        <v>986</v>
      </c>
      <c r="F723" s="88" t="s">
        <v>832</v>
      </c>
      <c r="G723" s="88" t="s">
        <v>758</v>
      </c>
      <c r="H723" s="88" t="s">
        <v>596</v>
      </c>
    </row>
    <row r="724" spans="1:8" x14ac:dyDescent="0.3">
      <c r="A724" s="88" t="s">
        <v>592</v>
      </c>
      <c r="B724" s="88">
        <v>99</v>
      </c>
      <c r="C724" s="88">
        <v>33</v>
      </c>
      <c r="D724" s="88" t="s">
        <v>186</v>
      </c>
      <c r="E724" s="88" t="s">
        <v>1203</v>
      </c>
      <c r="F724" s="88" t="s">
        <v>1165</v>
      </c>
      <c r="G724" s="88" t="s">
        <v>749</v>
      </c>
      <c r="H724" s="88" t="s">
        <v>596</v>
      </c>
    </row>
    <row r="725" spans="1:8" x14ac:dyDescent="0.3">
      <c r="A725" s="88" t="s">
        <v>592</v>
      </c>
      <c r="B725" s="88">
        <v>99</v>
      </c>
      <c r="C725" s="88">
        <v>34</v>
      </c>
      <c r="D725" s="88" t="s">
        <v>186</v>
      </c>
      <c r="E725" s="88" t="s">
        <v>1204</v>
      </c>
      <c r="F725" s="88" t="s">
        <v>1166</v>
      </c>
      <c r="G725" s="88" t="s">
        <v>752</v>
      </c>
      <c r="H725" s="88" t="s">
        <v>596</v>
      </c>
    </row>
    <row r="726" spans="1:8" x14ac:dyDescent="0.3">
      <c r="A726" s="88" t="s">
        <v>592</v>
      </c>
      <c r="B726" s="88">
        <v>99</v>
      </c>
      <c r="C726" s="88">
        <v>35</v>
      </c>
      <c r="D726" s="88" t="s">
        <v>186</v>
      </c>
      <c r="E726" s="88" t="s">
        <v>1205</v>
      </c>
      <c r="F726" s="88" t="s">
        <v>1167</v>
      </c>
      <c r="G726" s="88" t="s">
        <v>755</v>
      </c>
      <c r="H726" s="88" t="s">
        <v>596</v>
      </c>
    </row>
    <row r="727" spans="1:8" x14ac:dyDescent="0.3">
      <c r="A727" s="88" t="s">
        <v>592</v>
      </c>
      <c r="B727" s="88">
        <v>99</v>
      </c>
      <c r="C727" s="88">
        <v>36</v>
      </c>
      <c r="D727" s="88" t="s">
        <v>186</v>
      </c>
      <c r="E727" s="88" t="s">
        <v>1048</v>
      </c>
      <c r="F727" s="88" t="s">
        <v>1149</v>
      </c>
      <c r="G727" s="88" t="s">
        <v>758</v>
      </c>
      <c r="H727" s="88" t="s">
        <v>596</v>
      </c>
    </row>
    <row r="728" spans="1:8" ht="28.8" x14ac:dyDescent="0.3">
      <c r="A728" s="88" t="s">
        <v>592</v>
      </c>
      <c r="B728" s="88">
        <v>99</v>
      </c>
      <c r="C728" s="88">
        <v>39</v>
      </c>
      <c r="D728" s="88" t="s">
        <v>186</v>
      </c>
      <c r="E728" s="88" t="s">
        <v>1206</v>
      </c>
      <c r="F728" s="88" t="s">
        <v>1207</v>
      </c>
      <c r="G728" s="88" t="s">
        <v>719</v>
      </c>
      <c r="H728" s="88" t="s">
        <v>596</v>
      </c>
    </row>
    <row r="729" spans="1:8" x14ac:dyDescent="0.3">
      <c r="A729" s="88" t="s">
        <v>592</v>
      </c>
      <c r="B729" s="88">
        <v>100</v>
      </c>
      <c r="C729" s="88">
        <v>33</v>
      </c>
      <c r="D729" s="88" t="s">
        <v>187</v>
      </c>
      <c r="E729" s="88" t="s">
        <v>1053</v>
      </c>
      <c r="F729" s="88" t="s">
        <v>1172</v>
      </c>
      <c r="G729" s="88" t="s">
        <v>749</v>
      </c>
      <c r="H729" s="88" t="s">
        <v>596</v>
      </c>
    </row>
    <row r="730" spans="1:8" x14ac:dyDescent="0.3">
      <c r="A730" s="88" t="s">
        <v>592</v>
      </c>
      <c r="B730" s="88">
        <v>100</v>
      </c>
      <c r="C730" s="88">
        <v>34</v>
      </c>
      <c r="D730" s="88" t="s">
        <v>187</v>
      </c>
      <c r="E730" s="88" t="s">
        <v>1208</v>
      </c>
      <c r="F730" s="88" t="s">
        <v>1173</v>
      </c>
      <c r="G730" s="88" t="s">
        <v>752</v>
      </c>
      <c r="H730" s="88" t="s">
        <v>596</v>
      </c>
    </row>
    <row r="731" spans="1:8" x14ac:dyDescent="0.3">
      <c r="A731" s="88" t="s">
        <v>592</v>
      </c>
      <c r="B731" s="88">
        <v>100</v>
      </c>
      <c r="C731" s="88">
        <v>35</v>
      </c>
      <c r="D731" s="88" t="s">
        <v>187</v>
      </c>
      <c r="E731" s="88" t="s">
        <v>854</v>
      </c>
      <c r="F731" s="88" t="s">
        <v>864</v>
      </c>
      <c r="G731" s="88" t="s">
        <v>755</v>
      </c>
      <c r="H731" s="88" t="s">
        <v>596</v>
      </c>
    </row>
    <row r="732" spans="1:8" x14ac:dyDescent="0.3">
      <c r="A732" s="88" t="s">
        <v>592</v>
      </c>
      <c r="B732" s="88">
        <v>100</v>
      </c>
      <c r="C732" s="88">
        <v>36</v>
      </c>
      <c r="D732" s="88" t="s">
        <v>187</v>
      </c>
      <c r="E732" s="88" t="s">
        <v>1142</v>
      </c>
      <c r="F732" s="88" t="s">
        <v>934</v>
      </c>
      <c r="G732" s="88" t="s">
        <v>758</v>
      </c>
      <c r="H732" s="88" t="s">
        <v>596</v>
      </c>
    </row>
    <row r="733" spans="1:8" ht="28.8" x14ac:dyDescent="0.3">
      <c r="A733" s="88" t="s">
        <v>592</v>
      </c>
      <c r="B733" s="88">
        <v>100</v>
      </c>
      <c r="C733" s="88">
        <v>39</v>
      </c>
      <c r="D733" s="88" t="s">
        <v>187</v>
      </c>
      <c r="E733" s="88" t="s">
        <v>940</v>
      </c>
      <c r="F733" s="88" t="s">
        <v>1209</v>
      </c>
      <c r="G733" s="88" t="s">
        <v>719</v>
      </c>
      <c r="H733" s="88" t="s">
        <v>596</v>
      </c>
    </row>
    <row r="734" spans="1:8" ht="28.8" x14ac:dyDescent="0.3">
      <c r="A734" s="88" t="s">
        <v>592</v>
      </c>
      <c r="B734" s="88">
        <v>100</v>
      </c>
      <c r="C734" s="88">
        <v>40</v>
      </c>
      <c r="D734" s="88" t="s">
        <v>187</v>
      </c>
      <c r="E734" s="88" t="s">
        <v>1210</v>
      </c>
      <c r="F734" s="88" t="s">
        <v>1211</v>
      </c>
      <c r="G734" s="88" t="s">
        <v>724</v>
      </c>
      <c r="H734" s="88" t="s">
        <v>596</v>
      </c>
    </row>
    <row r="735" spans="1:8" x14ac:dyDescent="0.3">
      <c r="A735" s="88" t="s">
        <v>592</v>
      </c>
      <c r="B735" s="88">
        <v>101</v>
      </c>
      <c r="C735" s="88">
        <v>33</v>
      </c>
      <c r="D735" s="88" t="s">
        <v>469</v>
      </c>
      <c r="E735" s="88" t="s">
        <v>1212</v>
      </c>
      <c r="F735" s="88" t="s">
        <v>822</v>
      </c>
      <c r="G735" s="88" t="s">
        <v>749</v>
      </c>
      <c r="H735" s="88" t="s">
        <v>596</v>
      </c>
    </row>
    <row r="736" spans="1:8" x14ac:dyDescent="0.3">
      <c r="A736" s="88" t="s">
        <v>592</v>
      </c>
      <c r="B736" s="88">
        <v>101</v>
      </c>
      <c r="C736" s="88">
        <v>34</v>
      </c>
      <c r="D736" s="88" t="s">
        <v>469</v>
      </c>
      <c r="E736" s="88" t="s">
        <v>1213</v>
      </c>
      <c r="F736" s="88" t="s">
        <v>1178</v>
      </c>
      <c r="G736" s="88" t="s">
        <v>752</v>
      </c>
      <c r="H736" s="88" t="s">
        <v>596</v>
      </c>
    </row>
    <row r="737" spans="1:8" x14ac:dyDescent="0.3">
      <c r="A737" s="88" t="s">
        <v>592</v>
      </c>
      <c r="B737" s="88">
        <v>101</v>
      </c>
      <c r="C737" s="88">
        <v>35</v>
      </c>
      <c r="D737" s="88" t="s">
        <v>469</v>
      </c>
      <c r="E737" s="88" t="s">
        <v>1214</v>
      </c>
      <c r="F737" s="88" t="s">
        <v>1179</v>
      </c>
      <c r="G737" s="88" t="s">
        <v>755</v>
      </c>
      <c r="H737" s="88" t="s">
        <v>596</v>
      </c>
    </row>
    <row r="738" spans="1:8" x14ac:dyDescent="0.3">
      <c r="A738" s="88" t="s">
        <v>592</v>
      </c>
      <c r="B738" s="88">
        <v>101</v>
      </c>
      <c r="C738" s="88">
        <v>36</v>
      </c>
      <c r="D738" s="88" t="s">
        <v>469</v>
      </c>
      <c r="E738" s="88" t="s">
        <v>826</v>
      </c>
      <c r="F738" s="88" t="s">
        <v>1180</v>
      </c>
      <c r="G738" s="88" t="s">
        <v>758</v>
      </c>
      <c r="H738" s="88" t="s">
        <v>596</v>
      </c>
    </row>
    <row r="739" spans="1:8" ht="28.8" x14ac:dyDescent="0.3">
      <c r="A739" s="88" t="s">
        <v>592</v>
      </c>
      <c r="B739" s="88">
        <v>101</v>
      </c>
      <c r="C739" s="88">
        <v>39</v>
      </c>
      <c r="D739" s="88" t="s">
        <v>469</v>
      </c>
      <c r="E739" s="88" t="s">
        <v>1215</v>
      </c>
      <c r="F739" s="88" t="s">
        <v>1216</v>
      </c>
      <c r="G739" s="88" t="s">
        <v>719</v>
      </c>
      <c r="H739" s="88" t="s">
        <v>596</v>
      </c>
    </row>
    <row r="740" spans="1:8" ht="28.8" x14ac:dyDescent="0.3">
      <c r="A740" s="88" t="s">
        <v>592</v>
      </c>
      <c r="B740" s="88">
        <v>101</v>
      </c>
      <c r="C740" s="88">
        <v>40</v>
      </c>
      <c r="D740" s="88" t="s">
        <v>469</v>
      </c>
      <c r="E740" s="88" t="s">
        <v>1217</v>
      </c>
      <c r="F740" s="88" t="s">
        <v>1218</v>
      </c>
      <c r="G740" s="88" t="s">
        <v>724</v>
      </c>
      <c r="H740" s="88" t="s">
        <v>596</v>
      </c>
    </row>
    <row r="741" spans="1:8" x14ac:dyDescent="0.3">
      <c r="A741" s="88" t="s">
        <v>592</v>
      </c>
      <c r="B741" s="88">
        <v>102</v>
      </c>
      <c r="C741" s="88">
        <v>33</v>
      </c>
      <c r="D741" s="88" t="s">
        <v>189</v>
      </c>
      <c r="E741" s="88" t="s">
        <v>1219</v>
      </c>
      <c r="F741" s="88" t="s">
        <v>841</v>
      </c>
      <c r="G741" s="88" t="s">
        <v>749</v>
      </c>
      <c r="H741" s="88" t="s">
        <v>596</v>
      </c>
    </row>
    <row r="742" spans="1:8" x14ac:dyDescent="0.3">
      <c r="A742" s="88" t="s">
        <v>592</v>
      </c>
      <c r="B742" s="88">
        <v>102</v>
      </c>
      <c r="C742" s="88">
        <v>34</v>
      </c>
      <c r="D742" s="88" t="s">
        <v>189</v>
      </c>
      <c r="E742" s="88" t="s">
        <v>1220</v>
      </c>
      <c r="F742" s="88" t="s">
        <v>1185</v>
      </c>
      <c r="G742" s="88" t="s">
        <v>752</v>
      </c>
      <c r="H742" s="88" t="s">
        <v>596</v>
      </c>
    </row>
    <row r="743" spans="1:8" x14ac:dyDescent="0.3">
      <c r="A743" s="88" t="s">
        <v>592</v>
      </c>
      <c r="B743" s="88">
        <v>102</v>
      </c>
      <c r="C743" s="88">
        <v>35</v>
      </c>
      <c r="D743" s="88" t="s">
        <v>189</v>
      </c>
      <c r="E743" s="88" t="s">
        <v>1221</v>
      </c>
      <c r="F743" s="88" t="s">
        <v>1097</v>
      </c>
      <c r="G743" s="88" t="s">
        <v>755</v>
      </c>
      <c r="H743" s="88" t="s">
        <v>596</v>
      </c>
    </row>
    <row r="744" spans="1:8" x14ac:dyDescent="0.3">
      <c r="A744" s="88" t="s">
        <v>592</v>
      </c>
      <c r="B744" s="88">
        <v>102</v>
      </c>
      <c r="C744" s="88">
        <v>36</v>
      </c>
      <c r="D744" s="88" t="s">
        <v>189</v>
      </c>
      <c r="E744" s="88" t="s">
        <v>787</v>
      </c>
      <c r="F744" s="88" t="s">
        <v>959</v>
      </c>
      <c r="G744" s="88" t="s">
        <v>758</v>
      </c>
      <c r="H744" s="88" t="s">
        <v>596</v>
      </c>
    </row>
    <row r="745" spans="1:8" ht="28.8" x14ac:dyDescent="0.3">
      <c r="A745" s="88" t="s">
        <v>592</v>
      </c>
      <c r="B745" s="88">
        <v>102</v>
      </c>
      <c r="C745" s="88">
        <v>39</v>
      </c>
      <c r="D745" s="88" t="s">
        <v>189</v>
      </c>
      <c r="E745" s="88" t="s">
        <v>1222</v>
      </c>
      <c r="F745" s="88" t="s">
        <v>1223</v>
      </c>
      <c r="G745" s="88" t="s">
        <v>719</v>
      </c>
      <c r="H745" s="88" t="s">
        <v>596</v>
      </c>
    </row>
    <row r="746" spans="1:8" ht="28.8" x14ac:dyDescent="0.3">
      <c r="A746" s="88" t="s">
        <v>592</v>
      </c>
      <c r="B746" s="88">
        <v>102</v>
      </c>
      <c r="C746" s="88">
        <v>40</v>
      </c>
      <c r="D746" s="88" t="s">
        <v>189</v>
      </c>
      <c r="E746" s="88" t="s">
        <v>1224</v>
      </c>
      <c r="F746" s="88" t="s">
        <v>1225</v>
      </c>
      <c r="G746" s="88" t="s">
        <v>724</v>
      </c>
      <c r="H746" s="88" t="s">
        <v>596</v>
      </c>
    </row>
    <row r="747" spans="1:8" x14ac:dyDescent="0.3">
      <c r="A747" s="88" t="s">
        <v>592</v>
      </c>
      <c r="B747" s="88">
        <v>103</v>
      </c>
      <c r="C747" s="88">
        <v>33</v>
      </c>
      <c r="D747" s="88" t="s">
        <v>190</v>
      </c>
      <c r="E747" s="88" t="s">
        <v>1002</v>
      </c>
      <c r="F747" s="88" t="s">
        <v>1188</v>
      </c>
      <c r="G747" s="88" t="s">
        <v>749</v>
      </c>
      <c r="H747" s="88" t="s">
        <v>596</v>
      </c>
    </row>
    <row r="748" spans="1:8" x14ac:dyDescent="0.3">
      <c r="A748" s="88" t="s">
        <v>592</v>
      </c>
      <c r="B748" s="88">
        <v>103</v>
      </c>
      <c r="C748" s="88">
        <v>34</v>
      </c>
      <c r="D748" s="88" t="s">
        <v>190</v>
      </c>
      <c r="E748" s="88" t="s">
        <v>779</v>
      </c>
      <c r="F748" s="88" t="s">
        <v>1189</v>
      </c>
      <c r="G748" s="88" t="s">
        <v>752</v>
      </c>
      <c r="H748" s="88" t="s">
        <v>596</v>
      </c>
    </row>
    <row r="749" spans="1:8" x14ac:dyDescent="0.3">
      <c r="A749" s="88" t="s">
        <v>592</v>
      </c>
      <c r="B749" s="88">
        <v>103</v>
      </c>
      <c r="C749" s="88">
        <v>35</v>
      </c>
      <c r="D749" s="88" t="s">
        <v>190</v>
      </c>
      <c r="E749" s="88" t="s">
        <v>1226</v>
      </c>
      <c r="F749" s="88" t="s">
        <v>937</v>
      </c>
      <c r="G749" s="88" t="s">
        <v>755</v>
      </c>
      <c r="H749" s="88" t="s">
        <v>596</v>
      </c>
    </row>
    <row r="750" spans="1:8" x14ac:dyDescent="0.3">
      <c r="A750" s="88" t="s">
        <v>592</v>
      </c>
      <c r="B750" s="88">
        <v>103</v>
      </c>
      <c r="C750" s="88">
        <v>36</v>
      </c>
      <c r="D750" s="88" t="s">
        <v>190</v>
      </c>
      <c r="E750" s="88" t="s">
        <v>1227</v>
      </c>
      <c r="F750" s="88" t="s">
        <v>954</v>
      </c>
      <c r="G750" s="88" t="s">
        <v>758</v>
      </c>
      <c r="H750" s="88" t="s">
        <v>596</v>
      </c>
    </row>
    <row r="751" spans="1:8" ht="28.8" x14ac:dyDescent="0.3">
      <c r="A751" s="88" t="s">
        <v>592</v>
      </c>
      <c r="B751" s="88">
        <v>103</v>
      </c>
      <c r="C751" s="88">
        <v>39</v>
      </c>
      <c r="D751" s="88" t="s">
        <v>190</v>
      </c>
      <c r="E751" s="88" t="s">
        <v>1228</v>
      </c>
      <c r="F751" s="88" t="s">
        <v>1229</v>
      </c>
      <c r="G751" s="88" t="s">
        <v>719</v>
      </c>
      <c r="H751" s="88" t="s">
        <v>596</v>
      </c>
    </row>
    <row r="752" spans="1:8" x14ac:dyDescent="0.3">
      <c r="A752" s="88" t="s">
        <v>592</v>
      </c>
      <c r="B752" s="88">
        <v>104</v>
      </c>
      <c r="C752" s="88">
        <v>33</v>
      </c>
      <c r="D752" s="88" t="s">
        <v>191</v>
      </c>
      <c r="E752" s="88" t="s">
        <v>1230</v>
      </c>
      <c r="F752" s="88" t="s">
        <v>1076</v>
      </c>
      <c r="G752" s="88" t="s">
        <v>749</v>
      </c>
      <c r="H752" s="88" t="s">
        <v>596</v>
      </c>
    </row>
    <row r="753" spans="1:8" x14ac:dyDescent="0.3">
      <c r="A753" s="88" t="s">
        <v>592</v>
      </c>
      <c r="B753" s="88">
        <v>104</v>
      </c>
      <c r="C753" s="88">
        <v>34</v>
      </c>
      <c r="D753" s="88" t="s">
        <v>191</v>
      </c>
      <c r="E753" s="88" t="s">
        <v>865</v>
      </c>
      <c r="F753" s="88" t="s">
        <v>1192</v>
      </c>
      <c r="G753" s="88" t="s">
        <v>752</v>
      </c>
      <c r="H753" s="88" t="s">
        <v>596</v>
      </c>
    </row>
    <row r="754" spans="1:8" x14ac:dyDescent="0.3">
      <c r="A754" s="88" t="s">
        <v>592</v>
      </c>
      <c r="B754" s="88">
        <v>104</v>
      </c>
      <c r="C754" s="88">
        <v>35</v>
      </c>
      <c r="D754" s="88" t="s">
        <v>191</v>
      </c>
      <c r="E754" s="88" t="s">
        <v>814</v>
      </c>
      <c r="F754" s="88" t="s">
        <v>993</v>
      </c>
      <c r="G754" s="88" t="s">
        <v>755</v>
      </c>
      <c r="H754" s="88" t="s">
        <v>596</v>
      </c>
    </row>
    <row r="755" spans="1:8" x14ac:dyDescent="0.3">
      <c r="A755" s="88" t="s">
        <v>592</v>
      </c>
      <c r="B755" s="88">
        <v>104</v>
      </c>
      <c r="C755" s="88">
        <v>36</v>
      </c>
      <c r="D755" s="88" t="s">
        <v>191</v>
      </c>
      <c r="E755" s="88" t="s">
        <v>1231</v>
      </c>
      <c r="F755" s="88" t="s">
        <v>886</v>
      </c>
      <c r="G755" s="88" t="s">
        <v>758</v>
      </c>
      <c r="H755" s="88" t="s">
        <v>596</v>
      </c>
    </row>
    <row r="756" spans="1:8" ht="28.8" x14ac:dyDescent="0.3">
      <c r="A756" s="88" t="s">
        <v>592</v>
      </c>
      <c r="B756" s="88">
        <v>104</v>
      </c>
      <c r="C756" s="88">
        <v>39</v>
      </c>
      <c r="D756" s="88" t="s">
        <v>191</v>
      </c>
      <c r="E756" s="88" t="s">
        <v>1160</v>
      </c>
      <c r="F756" s="88" t="s">
        <v>1232</v>
      </c>
      <c r="G756" s="88" t="s">
        <v>719</v>
      </c>
      <c r="H756" s="88" t="s">
        <v>596</v>
      </c>
    </row>
    <row r="757" spans="1:8" ht="28.8" x14ac:dyDescent="0.3">
      <c r="A757" s="88" t="s">
        <v>592</v>
      </c>
      <c r="B757" s="88">
        <v>104</v>
      </c>
      <c r="C757" s="88">
        <v>40</v>
      </c>
      <c r="D757" s="88" t="s">
        <v>191</v>
      </c>
      <c r="E757" s="88" t="s">
        <v>1233</v>
      </c>
      <c r="F757" s="88" t="s">
        <v>1234</v>
      </c>
      <c r="G757" s="88" t="s">
        <v>724</v>
      </c>
      <c r="H757" s="88" t="s">
        <v>596</v>
      </c>
    </row>
    <row r="758" spans="1:8" x14ac:dyDescent="0.3">
      <c r="A758" s="88" t="s">
        <v>592</v>
      </c>
      <c r="B758" s="88">
        <v>105</v>
      </c>
      <c r="C758" s="88">
        <v>33</v>
      </c>
      <c r="D758" s="88" t="s">
        <v>474</v>
      </c>
      <c r="E758" s="88" t="s">
        <v>1071</v>
      </c>
      <c r="F758" s="88" t="s">
        <v>1235</v>
      </c>
      <c r="G758" s="88" t="s">
        <v>749</v>
      </c>
      <c r="H758" s="88" t="s">
        <v>596</v>
      </c>
    </row>
    <row r="759" spans="1:8" x14ac:dyDescent="0.3">
      <c r="A759" s="88" t="s">
        <v>592</v>
      </c>
      <c r="B759" s="88">
        <v>105</v>
      </c>
      <c r="C759" s="88">
        <v>34</v>
      </c>
      <c r="D759" s="88" t="s">
        <v>474</v>
      </c>
      <c r="E759" s="88" t="s">
        <v>1236</v>
      </c>
      <c r="F759" s="88" t="s">
        <v>1237</v>
      </c>
      <c r="G759" s="88" t="s">
        <v>752</v>
      </c>
      <c r="H759" s="88" t="s">
        <v>596</v>
      </c>
    </row>
    <row r="760" spans="1:8" x14ac:dyDescent="0.3">
      <c r="A760" s="88" t="s">
        <v>592</v>
      </c>
      <c r="B760" s="88">
        <v>105</v>
      </c>
      <c r="C760" s="88">
        <v>35</v>
      </c>
      <c r="D760" s="88" t="s">
        <v>474</v>
      </c>
      <c r="E760" s="88" t="s">
        <v>933</v>
      </c>
      <c r="F760" s="88" t="s">
        <v>1130</v>
      </c>
      <c r="G760" s="88" t="s">
        <v>755</v>
      </c>
      <c r="H760" s="88" t="s">
        <v>596</v>
      </c>
    </row>
    <row r="761" spans="1:8" x14ac:dyDescent="0.3">
      <c r="A761" s="88" t="s">
        <v>592</v>
      </c>
      <c r="B761" s="88">
        <v>105</v>
      </c>
      <c r="C761" s="88">
        <v>36</v>
      </c>
      <c r="D761" s="88" t="s">
        <v>474</v>
      </c>
      <c r="E761" s="88" t="s">
        <v>1089</v>
      </c>
      <c r="F761" s="88" t="s">
        <v>1130</v>
      </c>
      <c r="G761" s="88" t="s">
        <v>758</v>
      </c>
      <c r="H761" s="88" t="s">
        <v>596</v>
      </c>
    </row>
    <row r="762" spans="1:8" ht="28.8" x14ac:dyDescent="0.3">
      <c r="A762" s="88" t="s">
        <v>592</v>
      </c>
      <c r="B762" s="88">
        <v>105</v>
      </c>
      <c r="C762" s="88">
        <v>39</v>
      </c>
      <c r="D762" s="88" t="s">
        <v>474</v>
      </c>
      <c r="E762" s="88" t="s">
        <v>1238</v>
      </c>
      <c r="F762" s="88" t="s">
        <v>1239</v>
      </c>
      <c r="G762" s="88" t="s">
        <v>719</v>
      </c>
      <c r="H762" s="88" t="s">
        <v>596</v>
      </c>
    </row>
    <row r="763" spans="1:8" x14ac:dyDescent="0.3">
      <c r="A763" s="88" t="s">
        <v>592</v>
      </c>
      <c r="B763" s="88">
        <v>106</v>
      </c>
      <c r="C763" s="88">
        <v>33</v>
      </c>
      <c r="D763" s="88" t="s">
        <v>193</v>
      </c>
      <c r="E763" s="88" t="s">
        <v>1149</v>
      </c>
      <c r="F763" s="88" t="s">
        <v>864</v>
      </c>
      <c r="G763" s="88" t="s">
        <v>749</v>
      </c>
      <c r="H763" s="88" t="s">
        <v>596</v>
      </c>
    </row>
    <row r="764" spans="1:8" x14ac:dyDescent="0.3">
      <c r="A764" s="88" t="s">
        <v>592</v>
      </c>
      <c r="B764" s="88">
        <v>106</v>
      </c>
      <c r="C764" s="88">
        <v>34</v>
      </c>
      <c r="D764" s="88" t="s">
        <v>193</v>
      </c>
      <c r="E764" s="88" t="s">
        <v>1240</v>
      </c>
      <c r="F764" s="88" t="s">
        <v>1080</v>
      </c>
      <c r="G764" s="88" t="s">
        <v>752</v>
      </c>
      <c r="H764" s="88" t="s">
        <v>596</v>
      </c>
    </row>
    <row r="765" spans="1:8" x14ac:dyDescent="0.3">
      <c r="A765" s="88" t="s">
        <v>592</v>
      </c>
      <c r="B765" s="88">
        <v>106</v>
      </c>
      <c r="C765" s="88">
        <v>35</v>
      </c>
      <c r="D765" s="88" t="s">
        <v>193</v>
      </c>
      <c r="E765" s="88" t="s">
        <v>926</v>
      </c>
      <c r="F765" s="88" t="s">
        <v>753</v>
      </c>
      <c r="G765" s="88" t="s">
        <v>755</v>
      </c>
      <c r="H765" s="88" t="s">
        <v>596</v>
      </c>
    </row>
    <row r="766" spans="1:8" x14ac:dyDescent="0.3">
      <c r="A766" s="88" t="s">
        <v>592</v>
      </c>
      <c r="B766" s="88">
        <v>106</v>
      </c>
      <c r="C766" s="88">
        <v>36</v>
      </c>
      <c r="D766" s="88" t="s">
        <v>193</v>
      </c>
      <c r="E766" s="88" t="s">
        <v>928</v>
      </c>
      <c r="F766" s="88" t="s">
        <v>1241</v>
      </c>
      <c r="G766" s="88" t="s">
        <v>758</v>
      </c>
      <c r="H766" s="88" t="s">
        <v>596</v>
      </c>
    </row>
    <row r="767" spans="1:8" ht="28.8" x14ac:dyDescent="0.3">
      <c r="A767" s="88" t="s">
        <v>592</v>
      </c>
      <c r="B767" s="88">
        <v>106</v>
      </c>
      <c r="C767" s="88">
        <v>39</v>
      </c>
      <c r="D767" s="88" t="s">
        <v>193</v>
      </c>
      <c r="E767" s="88" t="s">
        <v>955</v>
      </c>
      <c r="F767" s="88" t="s">
        <v>1242</v>
      </c>
      <c r="G767" s="88" t="s">
        <v>719</v>
      </c>
      <c r="H767" s="88" t="s">
        <v>596</v>
      </c>
    </row>
    <row r="768" spans="1:8" ht="28.8" x14ac:dyDescent="0.3">
      <c r="A768" s="88" t="s">
        <v>592</v>
      </c>
      <c r="B768" s="88">
        <v>106</v>
      </c>
      <c r="C768" s="88">
        <v>40</v>
      </c>
      <c r="D768" s="88" t="s">
        <v>193</v>
      </c>
      <c r="E768" s="88" t="s">
        <v>1243</v>
      </c>
      <c r="F768" s="88" t="s">
        <v>1244</v>
      </c>
      <c r="G768" s="88" t="s">
        <v>724</v>
      </c>
      <c r="H768" s="88" t="s">
        <v>596</v>
      </c>
    </row>
    <row r="769" spans="1:8" x14ac:dyDescent="0.3">
      <c r="A769" s="88" t="s">
        <v>592</v>
      </c>
      <c r="B769" s="88">
        <v>107</v>
      </c>
      <c r="C769" s="88">
        <v>33</v>
      </c>
      <c r="D769" s="88" t="s">
        <v>194</v>
      </c>
      <c r="E769" s="88" t="s">
        <v>1013</v>
      </c>
      <c r="F769" s="88" t="s">
        <v>923</v>
      </c>
      <c r="G769" s="88" t="s">
        <v>749</v>
      </c>
      <c r="H769" s="88" t="s">
        <v>596</v>
      </c>
    </row>
    <row r="770" spans="1:8" x14ac:dyDescent="0.3">
      <c r="A770" s="88" t="s">
        <v>592</v>
      </c>
      <c r="B770" s="88">
        <v>107</v>
      </c>
      <c r="C770" s="88">
        <v>34</v>
      </c>
      <c r="D770" s="88" t="s">
        <v>194</v>
      </c>
      <c r="E770" s="88" t="s">
        <v>1245</v>
      </c>
      <c r="F770" s="88" t="s">
        <v>1196</v>
      </c>
      <c r="G770" s="88" t="s">
        <v>752</v>
      </c>
      <c r="H770" s="88" t="s">
        <v>596</v>
      </c>
    </row>
    <row r="771" spans="1:8" x14ac:dyDescent="0.3">
      <c r="A771" s="88" t="s">
        <v>592</v>
      </c>
      <c r="B771" s="88">
        <v>107</v>
      </c>
      <c r="C771" s="88">
        <v>35</v>
      </c>
      <c r="D771" s="88" t="s">
        <v>194</v>
      </c>
      <c r="E771" s="88" t="s">
        <v>1123</v>
      </c>
      <c r="F771" s="88" t="s">
        <v>656</v>
      </c>
      <c r="G771" s="88" t="s">
        <v>755</v>
      </c>
      <c r="H771" s="88" t="s">
        <v>596</v>
      </c>
    </row>
    <row r="772" spans="1:8" x14ac:dyDescent="0.3">
      <c r="A772" s="88" t="s">
        <v>592</v>
      </c>
      <c r="B772" s="88">
        <v>107</v>
      </c>
      <c r="C772" s="88">
        <v>36</v>
      </c>
      <c r="D772" s="88" t="s">
        <v>194</v>
      </c>
      <c r="E772" s="88" t="s">
        <v>1071</v>
      </c>
      <c r="F772" s="88" t="s">
        <v>1197</v>
      </c>
      <c r="G772" s="88" t="s">
        <v>758</v>
      </c>
      <c r="H772" s="88" t="s">
        <v>596</v>
      </c>
    </row>
    <row r="773" spans="1:8" ht="28.8" x14ac:dyDescent="0.3">
      <c r="A773" s="88" t="s">
        <v>592</v>
      </c>
      <c r="B773" s="88">
        <v>107</v>
      </c>
      <c r="C773" s="88">
        <v>39</v>
      </c>
      <c r="D773" s="88" t="s">
        <v>194</v>
      </c>
      <c r="E773" s="88" t="s">
        <v>1246</v>
      </c>
      <c r="F773" s="88" t="s">
        <v>1247</v>
      </c>
      <c r="G773" s="88" t="s">
        <v>719</v>
      </c>
      <c r="H773" s="88" t="s">
        <v>596</v>
      </c>
    </row>
    <row r="774" spans="1:8" x14ac:dyDescent="0.3">
      <c r="A774" s="88" t="s">
        <v>592</v>
      </c>
      <c r="B774" s="88">
        <v>108</v>
      </c>
      <c r="C774" s="88">
        <v>33</v>
      </c>
      <c r="D774" s="88" t="s">
        <v>478</v>
      </c>
      <c r="E774" s="88" t="s">
        <v>921</v>
      </c>
      <c r="F774" s="88" t="s">
        <v>757</v>
      </c>
      <c r="G774" s="88" t="s">
        <v>749</v>
      </c>
      <c r="H774" s="88" t="s">
        <v>596</v>
      </c>
    </row>
    <row r="775" spans="1:8" x14ac:dyDescent="0.3">
      <c r="A775" s="88" t="s">
        <v>592</v>
      </c>
      <c r="B775" s="88">
        <v>108</v>
      </c>
      <c r="C775" s="88">
        <v>34</v>
      </c>
      <c r="D775" s="88" t="s">
        <v>478</v>
      </c>
      <c r="E775" s="88" t="s">
        <v>1248</v>
      </c>
      <c r="F775" s="88" t="s">
        <v>1162</v>
      </c>
      <c r="G775" s="88" t="s">
        <v>752</v>
      </c>
      <c r="H775" s="88" t="s">
        <v>596</v>
      </c>
    </row>
    <row r="776" spans="1:8" x14ac:dyDescent="0.3">
      <c r="A776" s="88" t="s">
        <v>592</v>
      </c>
      <c r="B776" s="88">
        <v>108</v>
      </c>
      <c r="C776" s="88">
        <v>35</v>
      </c>
      <c r="D776" s="88" t="s">
        <v>478</v>
      </c>
      <c r="E776" s="88" t="s">
        <v>848</v>
      </c>
      <c r="F776" s="88" t="s">
        <v>1200</v>
      </c>
      <c r="G776" s="88" t="s">
        <v>755</v>
      </c>
      <c r="H776" s="88" t="s">
        <v>596</v>
      </c>
    </row>
    <row r="777" spans="1:8" x14ac:dyDescent="0.3">
      <c r="A777" s="88" t="s">
        <v>592</v>
      </c>
      <c r="B777" s="88">
        <v>108</v>
      </c>
      <c r="C777" s="88">
        <v>36</v>
      </c>
      <c r="D777" s="88" t="s">
        <v>478</v>
      </c>
      <c r="E777" s="88" t="s">
        <v>1179</v>
      </c>
      <c r="F777" s="88" t="s">
        <v>1097</v>
      </c>
      <c r="G777" s="88" t="s">
        <v>758</v>
      </c>
      <c r="H777" s="88" t="s">
        <v>596</v>
      </c>
    </row>
    <row r="778" spans="1:8" ht="28.8" x14ac:dyDescent="0.3">
      <c r="A778" s="88" t="s">
        <v>592</v>
      </c>
      <c r="B778" s="88">
        <v>108</v>
      </c>
      <c r="C778" s="88">
        <v>39</v>
      </c>
      <c r="D778" s="88" t="s">
        <v>478</v>
      </c>
      <c r="E778" s="88" t="s">
        <v>895</v>
      </c>
      <c r="F778" s="88" t="s">
        <v>1249</v>
      </c>
      <c r="G778" s="88" t="s">
        <v>719</v>
      </c>
      <c r="H778" s="88" t="s">
        <v>596</v>
      </c>
    </row>
    <row r="779" spans="1:8" x14ac:dyDescent="0.3">
      <c r="A779" s="88" t="s">
        <v>592</v>
      </c>
      <c r="B779" s="88">
        <v>109</v>
      </c>
      <c r="C779" s="88">
        <v>33</v>
      </c>
      <c r="D779" s="88" t="s">
        <v>480</v>
      </c>
      <c r="E779" s="88" t="s">
        <v>1219</v>
      </c>
      <c r="F779" s="88" t="s">
        <v>916</v>
      </c>
      <c r="G779" s="88" t="s">
        <v>749</v>
      </c>
      <c r="H779" s="88" t="s">
        <v>596</v>
      </c>
    </row>
    <row r="780" spans="1:8" x14ac:dyDescent="0.3">
      <c r="A780" s="88" t="s">
        <v>592</v>
      </c>
      <c r="B780" s="88">
        <v>109</v>
      </c>
      <c r="C780" s="88">
        <v>34</v>
      </c>
      <c r="D780" s="88" t="s">
        <v>480</v>
      </c>
      <c r="E780" s="88" t="s">
        <v>1250</v>
      </c>
      <c r="F780" s="88" t="s">
        <v>1022</v>
      </c>
      <c r="G780" s="88" t="s">
        <v>752</v>
      </c>
      <c r="H780" s="88" t="s">
        <v>596</v>
      </c>
    </row>
    <row r="781" spans="1:8" x14ac:dyDescent="0.3">
      <c r="A781" s="88" t="s">
        <v>592</v>
      </c>
      <c r="B781" s="88">
        <v>109</v>
      </c>
      <c r="C781" s="88">
        <v>35</v>
      </c>
      <c r="D781" s="88" t="s">
        <v>480</v>
      </c>
      <c r="E781" s="88" t="s">
        <v>1251</v>
      </c>
      <c r="F781" s="88" t="s">
        <v>1202</v>
      </c>
      <c r="G781" s="88" t="s">
        <v>755</v>
      </c>
      <c r="H781" s="88" t="s">
        <v>596</v>
      </c>
    </row>
    <row r="782" spans="1:8" x14ac:dyDescent="0.3">
      <c r="A782" s="88" t="s">
        <v>592</v>
      </c>
      <c r="B782" s="88">
        <v>109</v>
      </c>
      <c r="C782" s="88">
        <v>36</v>
      </c>
      <c r="D782" s="88" t="s">
        <v>480</v>
      </c>
      <c r="E782" s="88" t="s">
        <v>959</v>
      </c>
      <c r="F782" s="88" t="s">
        <v>986</v>
      </c>
      <c r="G782" s="88" t="s">
        <v>758</v>
      </c>
      <c r="H782" s="88" t="s">
        <v>596</v>
      </c>
    </row>
    <row r="783" spans="1:8" ht="28.8" x14ac:dyDescent="0.3">
      <c r="A783" s="88" t="s">
        <v>592</v>
      </c>
      <c r="B783" s="88">
        <v>109</v>
      </c>
      <c r="C783" s="88">
        <v>39</v>
      </c>
      <c r="D783" s="88" t="s">
        <v>480</v>
      </c>
      <c r="E783" s="88" t="s">
        <v>850</v>
      </c>
      <c r="F783" s="88" t="s">
        <v>1252</v>
      </c>
      <c r="G783" s="88" t="s">
        <v>719</v>
      </c>
      <c r="H783" s="88" t="s">
        <v>596</v>
      </c>
    </row>
    <row r="784" spans="1:8" x14ac:dyDescent="0.3">
      <c r="A784" s="88" t="s">
        <v>592</v>
      </c>
      <c r="B784" s="88">
        <v>110</v>
      </c>
      <c r="C784" s="88">
        <v>33</v>
      </c>
      <c r="D784" s="88" t="s">
        <v>197</v>
      </c>
      <c r="E784" s="88" t="s">
        <v>1070</v>
      </c>
      <c r="F784" s="88" t="s">
        <v>1203</v>
      </c>
      <c r="G784" s="88" t="s">
        <v>749</v>
      </c>
      <c r="H784" s="88" t="s">
        <v>596</v>
      </c>
    </row>
    <row r="785" spans="1:8" x14ac:dyDescent="0.3">
      <c r="A785" s="88" t="s">
        <v>592</v>
      </c>
      <c r="B785" s="88">
        <v>110</v>
      </c>
      <c r="C785" s="88">
        <v>34</v>
      </c>
      <c r="D785" s="88" t="s">
        <v>197</v>
      </c>
      <c r="E785" s="88" t="s">
        <v>1253</v>
      </c>
      <c r="F785" s="88" t="s">
        <v>1204</v>
      </c>
      <c r="G785" s="88" t="s">
        <v>752</v>
      </c>
      <c r="H785" s="88" t="s">
        <v>596</v>
      </c>
    </row>
    <row r="786" spans="1:8" x14ac:dyDescent="0.3">
      <c r="A786" s="88" t="s">
        <v>592</v>
      </c>
      <c r="B786" s="88">
        <v>110</v>
      </c>
      <c r="C786" s="88">
        <v>35</v>
      </c>
      <c r="D786" s="88" t="s">
        <v>197</v>
      </c>
      <c r="E786" s="88" t="s">
        <v>1067</v>
      </c>
      <c r="F786" s="88" t="s">
        <v>1205</v>
      </c>
      <c r="G786" s="88" t="s">
        <v>755</v>
      </c>
      <c r="H786" s="88" t="s">
        <v>596</v>
      </c>
    </row>
    <row r="787" spans="1:8" x14ac:dyDescent="0.3">
      <c r="A787" s="88" t="s">
        <v>592</v>
      </c>
      <c r="B787" s="88">
        <v>110</v>
      </c>
      <c r="C787" s="88">
        <v>36</v>
      </c>
      <c r="D787" s="88" t="s">
        <v>197</v>
      </c>
      <c r="E787" s="88" t="s">
        <v>1179</v>
      </c>
      <c r="F787" s="88" t="s">
        <v>1048</v>
      </c>
      <c r="G787" s="88" t="s">
        <v>758</v>
      </c>
      <c r="H787" s="88" t="s">
        <v>596</v>
      </c>
    </row>
    <row r="788" spans="1:8" ht="28.8" x14ac:dyDescent="0.3">
      <c r="A788" s="88" t="s">
        <v>592</v>
      </c>
      <c r="B788" s="88">
        <v>110</v>
      </c>
      <c r="C788" s="88">
        <v>39</v>
      </c>
      <c r="D788" s="88" t="s">
        <v>197</v>
      </c>
      <c r="E788" s="88" t="s">
        <v>1254</v>
      </c>
      <c r="F788" s="88" t="s">
        <v>1255</v>
      </c>
      <c r="G788" s="88" t="s">
        <v>719</v>
      </c>
      <c r="H788" s="88" t="s">
        <v>596</v>
      </c>
    </row>
    <row r="789" spans="1:8" ht="28.8" x14ac:dyDescent="0.3">
      <c r="A789" s="88" t="s">
        <v>592</v>
      </c>
      <c r="B789" s="88">
        <v>110</v>
      </c>
      <c r="C789" s="88">
        <v>40</v>
      </c>
      <c r="D789" s="88" t="s">
        <v>197</v>
      </c>
      <c r="E789" s="88" t="s">
        <v>1256</v>
      </c>
      <c r="F789" s="88" t="s">
        <v>1257</v>
      </c>
      <c r="G789" s="88" t="s">
        <v>724</v>
      </c>
      <c r="H789" s="88" t="s">
        <v>596</v>
      </c>
    </row>
    <row r="790" spans="1:8" x14ac:dyDescent="0.3">
      <c r="A790" s="88" t="s">
        <v>592</v>
      </c>
      <c r="B790" s="88">
        <v>111</v>
      </c>
      <c r="C790" s="88">
        <v>33</v>
      </c>
      <c r="D790" s="88" t="s">
        <v>198</v>
      </c>
      <c r="E790" s="88" t="s">
        <v>1258</v>
      </c>
      <c r="F790" s="88" t="s">
        <v>1053</v>
      </c>
      <c r="G790" s="88" t="s">
        <v>749</v>
      </c>
      <c r="H790" s="88" t="s">
        <v>596</v>
      </c>
    </row>
    <row r="791" spans="1:8" x14ac:dyDescent="0.3">
      <c r="A791" s="88" t="s">
        <v>592</v>
      </c>
      <c r="B791" s="88">
        <v>111</v>
      </c>
      <c r="C791" s="88">
        <v>34</v>
      </c>
      <c r="D791" s="88" t="s">
        <v>198</v>
      </c>
      <c r="E791" s="88" t="s">
        <v>1141</v>
      </c>
      <c r="F791" s="88" t="s">
        <v>1208</v>
      </c>
      <c r="G791" s="88" t="s">
        <v>752</v>
      </c>
      <c r="H791" s="88" t="s">
        <v>596</v>
      </c>
    </row>
    <row r="792" spans="1:8" x14ac:dyDescent="0.3">
      <c r="A792" s="88" t="s">
        <v>592</v>
      </c>
      <c r="B792" s="88">
        <v>111</v>
      </c>
      <c r="C792" s="88">
        <v>35</v>
      </c>
      <c r="D792" s="88" t="s">
        <v>198</v>
      </c>
      <c r="E792" s="88" t="s">
        <v>1259</v>
      </c>
      <c r="F792" s="88" t="s">
        <v>854</v>
      </c>
      <c r="G792" s="88" t="s">
        <v>755</v>
      </c>
      <c r="H792" s="88" t="s">
        <v>596</v>
      </c>
    </row>
    <row r="793" spans="1:8" x14ac:dyDescent="0.3">
      <c r="A793" s="88" t="s">
        <v>592</v>
      </c>
      <c r="B793" s="88">
        <v>111</v>
      </c>
      <c r="C793" s="88">
        <v>36</v>
      </c>
      <c r="D793" s="88" t="s">
        <v>198</v>
      </c>
      <c r="E793" s="88" t="s">
        <v>1031</v>
      </c>
      <c r="F793" s="88" t="s">
        <v>1142</v>
      </c>
      <c r="G793" s="88" t="s">
        <v>758</v>
      </c>
      <c r="H793" s="88" t="s">
        <v>596</v>
      </c>
    </row>
    <row r="794" spans="1:8" ht="28.8" x14ac:dyDescent="0.3">
      <c r="A794" s="88" t="s">
        <v>592</v>
      </c>
      <c r="B794" s="88">
        <v>111</v>
      </c>
      <c r="C794" s="88">
        <v>39</v>
      </c>
      <c r="D794" s="88" t="s">
        <v>198</v>
      </c>
      <c r="E794" s="88" t="s">
        <v>1260</v>
      </c>
      <c r="F794" s="88" t="s">
        <v>1261</v>
      </c>
      <c r="G794" s="88" t="s">
        <v>719</v>
      </c>
      <c r="H794" s="88" t="s">
        <v>596</v>
      </c>
    </row>
    <row r="795" spans="1:8" x14ac:dyDescent="0.3">
      <c r="A795" s="88" t="s">
        <v>592</v>
      </c>
      <c r="B795" s="88">
        <v>112</v>
      </c>
      <c r="C795" s="88">
        <v>33</v>
      </c>
      <c r="D795" s="88" t="s">
        <v>199</v>
      </c>
      <c r="E795" s="88" t="s">
        <v>841</v>
      </c>
      <c r="F795" s="88" t="s">
        <v>1212</v>
      </c>
      <c r="G795" s="88" t="s">
        <v>749</v>
      </c>
      <c r="H795" s="88" t="s">
        <v>596</v>
      </c>
    </row>
    <row r="796" spans="1:8" x14ac:dyDescent="0.3">
      <c r="A796" s="88" t="s">
        <v>592</v>
      </c>
      <c r="B796" s="88">
        <v>112</v>
      </c>
      <c r="C796" s="88">
        <v>34</v>
      </c>
      <c r="D796" s="88" t="s">
        <v>199</v>
      </c>
      <c r="E796" s="88" t="s">
        <v>1141</v>
      </c>
      <c r="F796" s="88" t="s">
        <v>1213</v>
      </c>
      <c r="G796" s="88" t="s">
        <v>752</v>
      </c>
      <c r="H796" s="88" t="s">
        <v>596</v>
      </c>
    </row>
    <row r="797" spans="1:8" x14ac:dyDescent="0.3">
      <c r="A797" s="88" t="s">
        <v>592</v>
      </c>
      <c r="B797" s="88">
        <v>112</v>
      </c>
      <c r="C797" s="88">
        <v>35</v>
      </c>
      <c r="D797" s="88" t="s">
        <v>199</v>
      </c>
      <c r="E797" s="88" t="s">
        <v>1262</v>
      </c>
      <c r="F797" s="88" t="s">
        <v>1214</v>
      </c>
      <c r="G797" s="88" t="s">
        <v>755</v>
      </c>
      <c r="H797" s="88" t="s">
        <v>596</v>
      </c>
    </row>
    <row r="798" spans="1:8" x14ac:dyDescent="0.3">
      <c r="A798" s="88" t="s">
        <v>592</v>
      </c>
      <c r="B798" s="88">
        <v>112</v>
      </c>
      <c r="C798" s="88">
        <v>36</v>
      </c>
      <c r="D798" s="88" t="s">
        <v>199</v>
      </c>
      <c r="E798" s="88" t="s">
        <v>763</v>
      </c>
      <c r="F798" s="88" t="s">
        <v>826</v>
      </c>
      <c r="G798" s="88" t="s">
        <v>758</v>
      </c>
      <c r="H798" s="88" t="s">
        <v>596</v>
      </c>
    </row>
    <row r="799" spans="1:8" ht="28.8" x14ac:dyDescent="0.3">
      <c r="A799" s="88" t="s">
        <v>592</v>
      </c>
      <c r="B799" s="88">
        <v>112</v>
      </c>
      <c r="C799" s="88">
        <v>39</v>
      </c>
      <c r="D799" s="88" t="s">
        <v>199</v>
      </c>
      <c r="E799" s="88" t="s">
        <v>1139</v>
      </c>
      <c r="F799" s="88" t="s">
        <v>1263</v>
      </c>
      <c r="G799" s="88" t="s">
        <v>719</v>
      </c>
      <c r="H799" s="88" t="s">
        <v>596</v>
      </c>
    </row>
    <row r="800" spans="1:8" ht="28.8" x14ac:dyDescent="0.3">
      <c r="A800" s="88" t="s">
        <v>592</v>
      </c>
      <c r="B800" s="88">
        <v>112</v>
      </c>
      <c r="C800" s="88">
        <v>40</v>
      </c>
      <c r="D800" s="88" t="s">
        <v>199</v>
      </c>
      <c r="E800" s="88" t="s">
        <v>1264</v>
      </c>
      <c r="F800" s="88" t="s">
        <v>1265</v>
      </c>
      <c r="G800" s="88" t="s">
        <v>724</v>
      </c>
      <c r="H800" s="88" t="s">
        <v>596</v>
      </c>
    </row>
    <row r="801" spans="1:8" x14ac:dyDescent="0.3">
      <c r="A801" s="88" t="s">
        <v>592</v>
      </c>
      <c r="B801" s="88">
        <v>113</v>
      </c>
      <c r="C801" s="88">
        <v>33</v>
      </c>
      <c r="D801" s="88" t="s">
        <v>485</v>
      </c>
      <c r="E801" s="88" t="s">
        <v>1266</v>
      </c>
      <c r="F801" s="88" t="s">
        <v>1219</v>
      </c>
      <c r="G801" s="88" t="s">
        <v>749</v>
      </c>
      <c r="H801" s="88" t="s">
        <v>596</v>
      </c>
    </row>
    <row r="802" spans="1:8" x14ac:dyDescent="0.3">
      <c r="A802" s="88" t="s">
        <v>592</v>
      </c>
      <c r="B802" s="88">
        <v>113</v>
      </c>
      <c r="C802" s="88">
        <v>34</v>
      </c>
      <c r="D802" s="88" t="s">
        <v>485</v>
      </c>
      <c r="E802" s="88" t="s">
        <v>1267</v>
      </c>
      <c r="F802" s="88" t="s">
        <v>1220</v>
      </c>
      <c r="G802" s="88" t="s">
        <v>752</v>
      </c>
      <c r="H802" s="88" t="s">
        <v>596</v>
      </c>
    </row>
    <row r="803" spans="1:8" x14ac:dyDescent="0.3">
      <c r="A803" s="88" t="s">
        <v>592</v>
      </c>
      <c r="B803" s="88">
        <v>113</v>
      </c>
      <c r="C803" s="88">
        <v>35</v>
      </c>
      <c r="D803" s="88" t="s">
        <v>485</v>
      </c>
      <c r="E803" s="88" t="s">
        <v>1053</v>
      </c>
      <c r="F803" s="88" t="s">
        <v>1221</v>
      </c>
      <c r="G803" s="88" t="s">
        <v>755</v>
      </c>
      <c r="H803" s="88" t="s">
        <v>596</v>
      </c>
    </row>
    <row r="804" spans="1:8" x14ac:dyDescent="0.3">
      <c r="A804" s="88" t="s">
        <v>592</v>
      </c>
      <c r="B804" s="88">
        <v>113</v>
      </c>
      <c r="C804" s="88">
        <v>36</v>
      </c>
      <c r="D804" s="88" t="s">
        <v>485</v>
      </c>
      <c r="E804" s="88" t="s">
        <v>1002</v>
      </c>
      <c r="F804" s="88" t="s">
        <v>787</v>
      </c>
      <c r="G804" s="88" t="s">
        <v>758</v>
      </c>
      <c r="H804" s="88" t="s">
        <v>596</v>
      </c>
    </row>
    <row r="805" spans="1:8" ht="28.8" x14ac:dyDescent="0.3">
      <c r="A805" s="88" t="s">
        <v>592</v>
      </c>
      <c r="B805" s="88">
        <v>113</v>
      </c>
      <c r="C805" s="88">
        <v>39</v>
      </c>
      <c r="D805" s="88" t="s">
        <v>485</v>
      </c>
      <c r="E805" s="88" t="s">
        <v>737</v>
      </c>
      <c r="F805" s="88" t="s">
        <v>738</v>
      </c>
      <c r="G805" s="88" t="s">
        <v>719</v>
      </c>
      <c r="H805" s="88" t="s">
        <v>596</v>
      </c>
    </row>
    <row r="806" spans="1:8" x14ac:dyDescent="0.3">
      <c r="A806" s="88" t="s">
        <v>592</v>
      </c>
      <c r="B806" s="88">
        <v>114</v>
      </c>
      <c r="C806" s="88">
        <v>34</v>
      </c>
      <c r="D806" s="88" t="s">
        <v>487</v>
      </c>
      <c r="E806" s="88" t="s">
        <v>1116</v>
      </c>
      <c r="F806" s="88" t="s">
        <v>779</v>
      </c>
      <c r="G806" s="88" t="s">
        <v>752</v>
      </c>
      <c r="H806" s="88" t="s">
        <v>596</v>
      </c>
    </row>
    <row r="807" spans="1:8" x14ac:dyDescent="0.3">
      <c r="A807" s="88" t="s">
        <v>592</v>
      </c>
      <c r="B807" s="88">
        <v>114</v>
      </c>
      <c r="C807" s="88">
        <v>35</v>
      </c>
      <c r="D807" s="88" t="s">
        <v>487</v>
      </c>
      <c r="E807" s="88" t="s">
        <v>1268</v>
      </c>
      <c r="F807" s="88" t="s">
        <v>1226</v>
      </c>
      <c r="G807" s="88" t="s">
        <v>755</v>
      </c>
      <c r="H807" s="88" t="s">
        <v>596</v>
      </c>
    </row>
    <row r="808" spans="1:8" x14ac:dyDescent="0.3">
      <c r="A808" s="88" t="s">
        <v>592</v>
      </c>
      <c r="B808" s="88">
        <v>114</v>
      </c>
      <c r="C808" s="88">
        <v>36</v>
      </c>
      <c r="D808" s="88" t="s">
        <v>487</v>
      </c>
      <c r="E808" s="88" t="s">
        <v>1269</v>
      </c>
      <c r="F808" s="88" t="s">
        <v>1227</v>
      </c>
      <c r="G808" s="88" t="s">
        <v>758</v>
      </c>
      <c r="H808" s="88" t="s">
        <v>596</v>
      </c>
    </row>
    <row r="809" spans="1:8" ht="28.8" x14ac:dyDescent="0.3">
      <c r="A809" s="88" t="s">
        <v>592</v>
      </c>
      <c r="B809" s="88">
        <v>114</v>
      </c>
      <c r="C809" s="88">
        <v>39</v>
      </c>
      <c r="D809" s="88" t="s">
        <v>487</v>
      </c>
      <c r="E809" s="88" t="s">
        <v>1008</v>
      </c>
      <c r="F809" s="88" t="s">
        <v>1270</v>
      </c>
      <c r="G809" s="88" t="s">
        <v>719</v>
      </c>
      <c r="H809" s="88" t="s">
        <v>596</v>
      </c>
    </row>
    <row r="810" spans="1:8" ht="28.8" x14ac:dyDescent="0.3">
      <c r="A810" s="88" t="s">
        <v>592</v>
      </c>
      <c r="B810" s="88">
        <v>114</v>
      </c>
      <c r="C810" s="88">
        <v>40</v>
      </c>
      <c r="D810" s="88" t="s">
        <v>487</v>
      </c>
      <c r="E810" s="88" t="s">
        <v>1271</v>
      </c>
      <c r="F810" s="88" t="s">
        <v>1272</v>
      </c>
      <c r="G810" s="88" t="s">
        <v>724</v>
      </c>
      <c r="H810" s="88" t="s">
        <v>596</v>
      </c>
    </row>
    <row r="811" spans="1:8" x14ac:dyDescent="0.3">
      <c r="A811" s="88" t="s">
        <v>592</v>
      </c>
      <c r="B811" s="88">
        <v>115</v>
      </c>
      <c r="C811" s="88">
        <v>33</v>
      </c>
      <c r="D811" s="88" t="s">
        <v>489</v>
      </c>
      <c r="E811" s="88" t="s">
        <v>793</v>
      </c>
      <c r="F811" s="88" t="s">
        <v>1230</v>
      </c>
      <c r="G811" s="88" t="s">
        <v>749</v>
      </c>
      <c r="H811" s="88" t="s">
        <v>596</v>
      </c>
    </row>
    <row r="812" spans="1:8" x14ac:dyDescent="0.3">
      <c r="A812" s="88" t="s">
        <v>592</v>
      </c>
      <c r="B812" s="88">
        <v>115</v>
      </c>
      <c r="C812" s="88">
        <v>34</v>
      </c>
      <c r="D812" s="88" t="s">
        <v>489</v>
      </c>
      <c r="E812" s="88" t="s">
        <v>786</v>
      </c>
      <c r="F812" s="88" t="s">
        <v>865</v>
      </c>
      <c r="G812" s="88" t="s">
        <v>752</v>
      </c>
      <c r="H812" s="88" t="s">
        <v>596</v>
      </c>
    </row>
    <row r="813" spans="1:8" x14ac:dyDescent="0.3">
      <c r="A813" s="88" t="s">
        <v>592</v>
      </c>
      <c r="B813" s="88">
        <v>115</v>
      </c>
      <c r="C813" s="88">
        <v>35</v>
      </c>
      <c r="D813" s="88" t="s">
        <v>489</v>
      </c>
      <c r="E813" s="88" t="s">
        <v>805</v>
      </c>
      <c r="F813" s="88" t="s">
        <v>814</v>
      </c>
      <c r="G813" s="88" t="s">
        <v>755</v>
      </c>
      <c r="H813" s="88" t="s">
        <v>596</v>
      </c>
    </row>
    <row r="814" spans="1:8" x14ac:dyDescent="0.3">
      <c r="A814" s="88" t="s">
        <v>592</v>
      </c>
      <c r="B814" s="88">
        <v>115</v>
      </c>
      <c r="C814" s="88">
        <v>36</v>
      </c>
      <c r="D814" s="88" t="s">
        <v>489</v>
      </c>
      <c r="E814" s="88" t="s">
        <v>766</v>
      </c>
      <c r="F814" s="88" t="s">
        <v>1231</v>
      </c>
      <c r="G814" s="88" t="s">
        <v>758</v>
      </c>
      <c r="H814" s="88" t="s">
        <v>596</v>
      </c>
    </row>
    <row r="815" spans="1:8" ht="28.8" x14ac:dyDescent="0.3">
      <c r="A815" s="88" t="s">
        <v>592</v>
      </c>
      <c r="B815" s="88">
        <v>115</v>
      </c>
      <c r="C815" s="88">
        <v>39</v>
      </c>
      <c r="D815" s="88" t="s">
        <v>489</v>
      </c>
      <c r="E815" s="88" t="s">
        <v>663</v>
      </c>
      <c r="F815" s="88" t="s">
        <v>1273</v>
      </c>
      <c r="G815" s="88" t="s">
        <v>719</v>
      </c>
      <c r="H815" s="88" t="s">
        <v>596</v>
      </c>
    </row>
    <row r="816" spans="1:8" ht="28.8" x14ac:dyDescent="0.3">
      <c r="A816" s="88" t="s">
        <v>592</v>
      </c>
      <c r="B816" s="88">
        <v>115</v>
      </c>
      <c r="C816" s="88">
        <v>40</v>
      </c>
      <c r="D816" s="88" t="s">
        <v>489</v>
      </c>
      <c r="E816" s="88" t="s">
        <v>1274</v>
      </c>
      <c r="F816" s="88" t="s">
        <v>1275</v>
      </c>
      <c r="G816" s="88" t="s">
        <v>724</v>
      </c>
      <c r="H816" s="88" t="s">
        <v>596</v>
      </c>
    </row>
    <row r="817" spans="1:8" x14ac:dyDescent="0.3">
      <c r="A817" s="88" t="s">
        <v>592</v>
      </c>
      <c r="B817" s="88">
        <v>116</v>
      </c>
      <c r="C817" s="88">
        <v>33</v>
      </c>
      <c r="D817" s="88" t="s">
        <v>491</v>
      </c>
      <c r="E817" s="88" t="s">
        <v>1042</v>
      </c>
      <c r="F817" s="88" t="s">
        <v>1071</v>
      </c>
      <c r="G817" s="88" t="s">
        <v>749</v>
      </c>
      <c r="H817" s="88" t="s">
        <v>596</v>
      </c>
    </row>
    <row r="818" spans="1:8" x14ac:dyDescent="0.3">
      <c r="A818" s="88" t="s">
        <v>592</v>
      </c>
      <c r="B818" s="88">
        <v>116</v>
      </c>
      <c r="C818" s="88">
        <v>34</v>
      </c>
      <c r="D818" s="88" t="s">
        <v>491</v>
      </c>
      <c r="E818" s="88" t="s">
        <v>1220</v>
      </c>
      <c r="F818" s="88" t="s">
        <v>1236</v>
      </c>
      <c r="G818" s="88" t="s">
        <v>752</v>
      </c>
      <c r="H818" s="88" t="s">
        <v>596</v>
      </c>
    </row>
    <row r="819" spans="1:8" x14ac:dyDescent="0.3">
      <c r="A819" s="88" t="s">
        <v>592</v>
      </c>
      <c r="B819" s="88">
        <v>116</v>
      </c>
      <c r="C819" s="88">
        <v>35</v>
      </c>
      <c r="D819" s="88" t="s">
        <v>491</v>
      </c>
      <c r="E819" s="88" t="s">
        <v>804</v>
      </c>
      <c r="F819" s="88" t="s">
        <v>933</v>
      </c>
      <c r="G819" s="88" t="s">
        <v>755</v>
      </c>
      <c r="H819" s="88" t="s">
        <v>596</v>
      </c>
    </row>
    <row r="820" spans="1:8" x14ac:dyDescent="0.3">
      <c r="A820" s="88" t="s">
        <v>592</v>
      </c>
      <c r="B820" s="88">
        <v>116</v>
      </c>
      <c r="C820" s="88">
        <v>36</v>
      </c>
      <c r="D820" s="88" t="s">
        <v>491</v>
      </c>
      <c r="E820" s="88" t="s">
        <v>1262</v>
      </c>
      <c r="F820" s="88" t="s">
        <v>1089</v>
      </c>
      <c r="G820" s="88" t="s">
        <v>758</v>
      </c>
      <c r="H820" s="88" t="s">
        <v>596</v>
      </c>
    </row>
    <row r="821" spans="1:8" ht="28.8" x14ac:dyDescent="0.3">
      <c r="A821" s="88" t="s">
        <v>592</v>
      </c>
      <c r="B821" s="88">
        <v>116</v>
      </c>
      <c r="C821" s="88">
        <v>39</v>
      </c>
      <c r="D821" s="88" t="s">
        <v>491</v>
      </c>
      <c r="E821" s="88" t="s">
        <v>767</v>
      </c>
      <c r="F821" s="88" t="s">
        <v>1276</v>
      </c>
      <c r="G821" s="88" t="s">
        <v>719</v>
      </c>
      <c r="H821" s="88" t="s">
        <v>596</v>
      </c>
    </row>
    <row r="822" spans="1:8" ht="28.8" x14ac:dyDescent="0.3">
      <c r="A822" s="88" t="s">
        <v>592</v>
      </c>
      <c r="B822" s="88">
        <v>116</v>
      </c>
      <c r="C822" s="88">
        <v>40</v>
      </c>
      <c r="D822" s="88" t="s">
        <v>491</v>
      </c>
      <c r="E822" s="88" t="s">
        <v>1277</v>
      </c>
      <c r="F822" s="88" t="s">
        <v>1278</v>
      </c>
      <c r="G822" s="88" t="s">
        <v>724</v>
      </c>
      <c r="H822" s="88" t="s">
        <v>596</v>
      </c>
    </row>
    <row r="823" spans="1:8" x14ac:dyDescent="0.3">
      <c r="A823" s="88" t="s">
        <v>592</v>
      </c>
      <c r="B823" s="88">
        <v>117</v>
      </c>
      <c r="C823" s="88">
        <v>33</v>
      </c>
      <c r="D823" s="88" t="s">
        <v>204</v>
      </c>
      <c r="E823" s="88" t="s">
        <v>698</v>
      </c>
      <c r="F823" s="88" t="s">
        <v>1149</v>
      </c>
      <c r="G823" s="88" t="s">
        <v>749</v>
      </c>
      <c r="H823" s="88" t="s">
        <v>596</v>
      </c>
    </row>
    <row r="824" spans="1:8" x14ac:dyDescent="0.3">
      <c r="A824" s="88" t="s">
        <v>592</v>
      </c>
      <c r="B824" s="88">
        <v>117</v>
      </c>
      <c r="C824" s="88">
        <v>34</v>
      </c>
      <c r="D824" s="88" t="s">
        <v>204</v>
      </c>
      <c r="E824" s="88" t="s">
        <v>1279</v>
      </c>
      <c r="F824" s="88" t="s">
        <v>1240</v>
      </c>
      <c r="G824" s="88" t="s">
        <v>752</v>
      </c>
      <c r="H824" s="88" t="s">
        <v>596</v>
      </c>
    </row>
    <row r="825" spans="1:8" x14ac:dyDescent="0.3">
      <c r="A825" s="88" t="s">
        <v>592</v>
      </c>
      <c r="B825" s="88">
        <v>117</v>
      </c>
      <c r="C825" s="88">
        <v>35</v>
      </c>
      <c r="D825" s="88" t="s">
        <v>204</v>
      </c>
      <c r="E825" s="88" t="s">
        <v>1167</v>
      </c>
      <c r="F825" s="88" t="s">
        <v>926</v>
      </c>
      <c r="G825" s="88" t="s">
        <v>755</v>
      </c>
      <c r="H825" s="88" t="s">
        <v>596</v>
      </c>
    </row>
    <row r="826" spans="1:8" x14ac:dyDescent="0.3">
      <c r="A826" s="88" t="s">
        <v>592</v>
      </c>
      <c r="B826" s="88">
        <v>117</v>
      </c>
      <c r="C826" s="88">
        <v>36</v>
      </c>
      <c r="D826" s="88" t="s">
        <v>204</v>
      </c>
      <c r="E826" s="88" t="s">
        <v>1061</v>
      </c>
      <c r="F826" s="88" t="s">
        <v>928</v>
      </c>
      <c r="G826" s="88" t="s">
        <v>758</v>
      </c>
      <c r="H826" s="88" t="s">
        <v>596</v>
      </c>
    </row>
    <row r="827" spans="1:8" ht="28.8" x14ac:dyDescent="0.3">
      <c r="A827" s="88" t="s">
        <v>592</v>
      </c>
      <c r="B827" s="88">
        <v>117</v>
      </c>
      <c r="C827" s="88">
        <v>39</v>
      </c>
      <c r="D827" s="88" t="s">
        <v>204</v>
      </c>
      <c r="E827" s="88" t="s">
        <v>897</v>
      </c>
      <c r="F827" s="88" t="s">
        <v>1280</v>
      </c>
      <c r="G827" s="88" t="s">
        <v>719</v>
      </c>
      <c r="H827" s="88" t="s">
        <v>596</v>
      </c>
    </row>
    <row r="828" spans="1:8" x14ac:dyDescent="0.3">
      <c r="A828" s="88" t="s">
        <v>592</v>
      </c>
      <c r="B828" s="88">
        <v>118</v>
      </c>
      <c r="C828" s="88">
        <v>33</v>
      </c>
      <c r="D828" s="88" t="s">
        <v>205</v>
      </c>
      <c r="E828" s="88" t="s">
        <v>1130</v>
      </c>
      <c r="F828" s="88" t="s">
        <v>1013</v>
      </c>
      <c r="G828" s="88" t="s">
        <v>749</v>
      </c>
      <c r="H828" s="88" t="s">
        <v>596</v>
      </c>
    </row>
    <row r="829" spans="1:8" x14ac:dyDescent="0.3">
      <c r="A829" s="88" t="s">
        <v>592</v>
      </c>
      <c r="B829" s="88">
        <v>118</v>
      </c>
      <c r="C829" s="88">
        <v>34</v>
      </c>
      <c r="D829" s="88" t="s">
        <v>205</v>
      </c>
      <c r="E829" s="88" t="s">
        <v>1281</v>
      </c>
      <c r="F829" s="88" t="s">
        <v>1245</v>
      </c>
      <c r="G829" s="88" t="s">
        <v>752</v>
      </c>
      <c r="H829" s="88" t="s">
        <v>596</v>
      </c>
    </row>
    <row r="830" spans="1:8" x14ac:dyDescent="0.3">
      <c r="A830" s="88" t="s">
        <v>592</v>
      </c>
      <c r="B830" s="88">
        <v>118</v>
      </c>
      <c r="C830" s="88">
        <v>35</v>
      </c>
      <c r="D830" s="88" t="s">
        <v>205</v>
      </c>
      <c r="E830" s="88" t="s">
        <v>879</v>
      </c>
      <c r="F830" s="88" t="s">
        <v>1123</v>
      </c>
      <c r="G830" s="88" t="s">
        <v>755</v>
      </c>
      <c r="H830" s="88" t="s">
        <v>596</v>
      </c>
    </row>
    <row r="831" spans="1:8" x14ac:dyDescent="0.3">
      <c r="A831" s="88" t="s">
        <v>592</v>
      </c>
      <c r="B831" s="88">
        <v>118</v>
      </c>
      <c r="C831" s="88">
        <v>36</v>
      </c>
      <c r="D831" s="88" t="s">
        <v>205</v>
      </c>
      <c r="E831" s="88" t="s">
        <v>959</v>
      </c>
      <c r="F831" s="88" t="s">
        <v>1071</v>
      </c>
      <c r="G831" s="88" t="s">
        <v>758</v>
      </c>
      <c r="H831" s="88" t="s">
        <v>596</v>
      </c>
    </row>
    <row r="832" spans="1:8" ht="28.8" x14ac:dyDescent="0.3">
      <c r="A832" s="88" t="s">
        <v>592</v>
      </c>
      <c r="B832" s="88">
        <v>118</v>
      </c>
      <c r="C832" s="88">
        <v>39</v>
      </c>
      <c r="D832" s="88" t="s">
        <v>205</v>
      </c>
      <c r="E832" s="88" t="s">
        <v>739</v>
      </c>
      <c r="F832" s="88" t="s">
        <v>1282</v>
      </c>
      <c r="G832" s="88" t="s">
        <v>719</v>
      </c>
      <c r="H832" s="88" t="s">
        <v>596</v>
      </c>
    </row>
    <row r="833" spans="1:8" x14ac:dyDescent="0.3">
      <c r="A833" s="88" t="s">
        <v>592</v>
      </c>
      <c r="B833" s="88">
        <v>119</v>
      </c>
      <c r="C833" s="88">
        <v>33</v>
      </c>
      <c r="D833" s="88" t="s">
        <v>495</v>
      </c>
      <c r="E833" s="88" t="s">
        <v>997</v>
      </c>
      <c r="F833" s="88" t="s">
        <v>921</v>
      </c>
      <c r="G833" s="88" t="s">
        <v>749</v>
      </c>
      <c r="H833" s="88" t="s">
        <v>596</v>
      </c>
    </row>
    <row r="834" spans="1:8" x14ac:dyDescent="0.3">
      <c r="A834" s="88" t="s">
        <v>592</v>
      </c>
      <c r="B834" s="88">
        <v>119</v>
      </c>
      <c r="C834" s="88">
        <v>34</v>
      </c>
      <c r="D834" s="88" t="s">
        <v>495</v>
      </c>
      <c r="E834" s="88" t="s">
        <v>1283</v>
      </c>
      <c r="F834" s="88" t="s">
        <v>1248</v>
      </c>
      <c r="G834" s="88" t="s">
        <v>752</v>
      </c>
      <c r="H834" s="88" t="s">
        <v>596</v>
      </c>
    </row>
    <row r="835" spans="1:8" x14ac:dyDescent="0.3">
      <c r="A835" s="88" t="s">
        <v>592</v>
      </c>
      <c r="B835" s="88">
        <v>119</v>
      </c>
      <c r="C835" s="88">
        <v>35</v>
      </c>
      <c r="D835" s="88" t="s">
        <v>495</v>
      </c>
      <c r="E835" s="88" t="s">
        <v>706</v>
      </c>
      <c r="F835" s="88" t="s">
        <v>848</v>
      </c>
      <c r="G835" s="88" t="s">
        <v>755</v>
      </c>
      <c r="H835" s="88" t="s">
        <v>596</v>
      </c>
    </row>
    <row r="836" spans="1:8" x14ac:dyDescent="0.3">
      <c r="A836" s="88" t="s">
        <v>592</v>
      </c>
      <c r="B836" s="88">
        <v>119</v>
      </c>
      <c r="C836" s="88">
        <v>36</v>
      </c>
      <c r="D836" s="88" t="s">
        <v>495</v>
      </c>
      <c r="E836" s="88" t="s">
        <v>871</v>
      </c>
      <c r="F836" s="88" t="s">
        <v>1179</v>
      </c>
      <c r="G836" s="88" t="s">
        <v>758</v>
      </c>
      <c r="H836" s="88" t="s">
        <v>596</v>
      </c>
    </row>
    <row r="837" spans="1:8" ht="28.8" x14ac:dyDescent="0.3">
      <c r="A837" s="88" t="s">
        <v>592</v>
      </c>
      <c r="B837" s="88">
        <v>119</v>
      </c>
      <c r="C837" s="88">
        <v>39</v>
      </c>
      <c r="D837" s="88" t="s">
        <v>495</v>
      </c>
      <c r="E837" s="88" t="s">
        <v>1131</v>
      </c>
      <c r="F837" s="88" t="s">
        <v>1132</v>
      </c>
      <c r="G837" s="88" t="s">
        <v>719</v>
      </c>
      <c r="H837" s="88" t="s">
        <v>596</v>
      </c>
    </row>
    <row r="838" spans="1:8" ht="28.8" x14ac:dyDescent="0.3">
      <c r="A838" s="88" t="s">
        <v>592</v>
      </c>
      <c r="B838" s="88">
        <v>119</v>
      </c>
      <c r="C838" s="88">
        <v>40</v>
      </c>
      <c r="D838" s="88" t="s">
        <v>495</v>
      </c>
      <c r="E838" s="88" t="s">
        <v>1284</v>
      </c>
      <c r="F838" s="88" t="s">
        <v>1285</v>
      </c>
      <c r="G838" s="88" t="s">
        <v>724</v>
      </c>
      <c r="H838" s="88" t="s">
        <v>596</v>
      </c>
    </row>
    <row r="839" spans="1:8" x14ac:dyDescent="0.3">
      <c r="A839" s="88" t="s">
        <v>592</v>
      </c>
      <c r="B839" s="88">
        <v>120</v>
      </c>
      <c r="C839" s="88">
        <v>33</v>
      </c>
      <c r="D839" s="88" t="s">
        <v>207</v>
      </c>
      <c r="E839" s="88" t="s">
        <v>904</v>
      </c>
      <c r="F839" s="88" t="s">
        <v>1219</v>
      </c>
      <c r="G839" s="88" t="s">
        <v>749</v>
      </c>
      <c r="H839" s="88" t="s">
        <v>596</v>
      </c>
    </row>
    <row r="840" spans="1:8" x14ac:dyDescent="0.3">
      <c r="A840" s="88" t="s">
        <v>592</v>
      </c>
      <c r="B840" s="88">
        <v>120</v>
      </c>
      <c r="C840" s="88">
        <v>34</v>
      </c>
      <c r="D840" s="88" t="s">
        <v>207</v>
      </c>
      <c r="E840" s="88" t="s">
        <v>1231</v>
      </c>
      <c r="F840" s="88" t="s">
        <v>1250</v>
      </c>
      <c r="G840" s="88" t="s">
        <v>752</v>
      </c>
      <c r="H840" s="88" t="s">
        <v>596</v>
      </c>
    </row>
    <row r="841" spans="1:8" x14ac:dyDescent="0.3">
      <c r="A841" s="88" t="s">
        <v>592</v>
      </c>
      <c r="B841" s="88">
        <v>120</v>
      </c>
      <c r="C841" s="88">
        <v>35</v>
      </c>
      <c r="D841" s="88" t="s">
        <v>207</v>
      </c>
      <c r="E841" s="88" t="s">
        <v>962</v>
      </c>
      <c r="F841" s="88" t="s">
        <v>1251</v>
      </c>
      <c r="G841" s="88" t="s">
        <v>755</v>
      </c>
      <c r="H841" s="88" t="s">
        <v>596</v>
      </c>
    </row>
    <row r="842" spans="1:8" x14ac:dyDescent="0.3">
      <c r="A842" s="88" t="s">
        <v>592</v>
      </c>
      <c r="B842" s="88">
        <v>120</v>
      </c>
      <c r="C842" s="88">
        <v>36</v>
      </c>
      <c r="D842" s="88" t="s">
        <v>207</v>
      </c>
      <c r="E842" s="88" t="s">
        <v>1262</v>
      </c>
      <c r="F842" s="88" t="s">
        <v>959</v>
      </c>
      <c r="G842" s="88" t="s">
        <v>758</v>
      </c>
      <c r="H842" s="88" t="s">
        <v>596</v>
      </c>
    </row>
    <row r="843" spans="1:8" ht="28.8" x14ac:dyDescent="0.3">
      <c r="A843" s="88" t="s">
        <v>592</v>
      </c>
      <c r="B843" s="88">
        <v>120</v>
      </c>
      <c r="C843" s="88">
        <v>39</v>
      </c>
      <c r="D843" s="88" t="s">
        <v>207</v>
      </c>
      <c r="E843" s="88" t="s">
        <v>1286</v>
      </c>
      <c r="F843" s="88" t="s">
        <v>1287</v>
      </c>
      <c r="G843" s="88" t="s">
        <v>719</v>
      </c>
      <c r="H843" s="88" t="s">
        <v>596</v>
      </c>
    </row>
    <row r="844" spans="1:8" ht="28.8" x14ac:dyDescent="0.3">
      <c r="A844" s="88" t="s">
        <v>592</v>
      </c>
      <c r="B844" s="88">
        <v>120</v>
      </c>
      <c r="C844" s="88">
        <v>40</v>
      </c>
      <c r="D844" s="88" t="s">
        <v>207</v>
      </c>
      <c r="E844" s="88" t="s">
        <v>1288</v>
      </c>
      <c r="F844" s="88" t="s">
        <v>1289</v>
      </c>
      <c r="G844" s="88" t="s">
        <v>724</v>
      </c>
      <c r="H844" s="88" t="s">
        <v>596</v>
      </c>
    </row>
    <row r="845" spans="1:8" x14ac:dyDescent="0.3">
      <c r="A845" s="88" t="s">
        <v>592</v>
      </c>
      <c r="B845" s="88">
        <v>121</v>
      </c>
      <c r="C845" s="88">
        <v>33</v>
      </c>
      <c r="D845" s="88" t="s">
        <v>208</v>
      </c>
      <c r="E845" s="88" t="s">
        <v>970</v>
      </c>
      <c r="F845" s="88" t="s">
        <v>1070</v>
      </c>
      <c r="G845" s="88" t="s">
        <v>749</v>
      </c>
      <c r="H845" s="88" t="s">
        <v>596</v>
      </c>
    </row>
    <row r="846" spans="1:8" x14ac:dyDescent="0.3">
      <c r="A846" s="88" t="s">
        <v>592</v>
      </c>
      <c r="B846" s="88">
        <v>121</v>
      </c>
      <c r="C846" s="88">
        <v>34</v>
      </c>
      <c r="D846" s="88" t="s">
        <v>208</v>
      </c>
      <c r="E846" s="88" t="s">
        <v>1290</v>
      </c>
      <c r="F846" s="88" t="s">
        <v>1253</v>
      </c>
      <c r="G846" s="88" t="s">
        <v>752</v>
      </c>
      <c r="H846" s="88" t="s">
        <v>596</v>
      </c>
    </row>
    <row r="847" spans="1:8" x14ac:dyDescent="0.3">
      <c r="A847" s="88" t="s">
        <v>592</v>
      </c>
      <c r="B847" s="88">
        <v>121</v>
      </c>
      <c r="C847" s="88">
        <v>35</v>
      </c>
      <c r="D847" s="88" t="s">
        <v>208</v>
      </c>
      <c r="E847" s="88" t="s">
        <v>1081</v>
      </c>
      <c r="F847" s="88" t="s">
        <v>1067</v>
      </c>
      <c r="G847" s="88" t="s">
        <v>755</v>
      </c>
      <c r="H847" s="88" t="s">
        <v>596</v>
      </c>
    </row>
    <row r="848" spans="1:8" x14ac:dyDescent="0.3">
      <c r="A848" s="88" t="s">
        <v>592</v>
      </c>
      <c r="B848" s="88">
        <v>121</v>
      </c>
      <c r="C848" s="88">
        <v>36</v>
      </c>
      <c r="D848" s="88" t="s">
        <v>208</v>
      </c>
      <c r="E848" s="88" t="s">
        <v>1155</v>
      </c>
      <c r="F848" s="88" t="s">
        <v>1179</v>
      </c>
      <c r="G848" s="88" t="s">
        <v>758</v>
      </c>
      <c r="H848" s="88" t="s">
        <v>596</v>
      </c>
    </row>
    <row r="849" spans="1:8" ht="28.8" x14ac:dyDescent="0.3">
      <c r="A849" s="88" t="s">
        <v>592</v>
      </c>
      <c r="B849" s="88">
        <v>121</v>
      </c>
      <c r="C849" s="88">
        <v>39</v>
      </c>
      <c r="D849" s="88" t="s">
        <v>208</v>
      </c>
      <c r="E849" s="88" t="s">
        <v>1291</v>
      </c>
      <c r="F849" s="88" t="s">
        <v>1292</v>
      </c>
      <c r="G849" s="88" t="s">
        <v>719</v>
      </c>
      <c r="H849" s="88" t="s">
        <v>596</v>
      </c>
    </row>
    <row r="850" spans="1:8" ht="28.8" x14ac:dyDescent="0.3">
      <c r="A850" s="88" t="s">
        <v>592</v>
      </c>
      <c r="B850" s="88">
        <v>121</v>
      </c>
      <c r="C850" s="88">
        <v>40</v>
      </c>
      <c r="D850" s="88" t="s">
        <v>208</v>
      </c>
      <c r="E850" s="88" t="s">
        <v>1293</v>
      </c>
      <c r="F850" s="88" t="s">
        <v>1294</v>
      </c>
      <c r="G850" s="88" t="s">
        <v>724</v>
      </c>
      <c r="H850" s="88" t="s">
        <v>596</v>
      </c>
    </row>
    <row r="851" spans="1:8" x14ac:dyDescent="0.3">
      <c r="A851" s="88" t="s">
        <v>592</v>
      </c>
      <c r="B851" s="88">
        <v>122</v>
      </c>
      <c r="C851" s="88">
        <v>33</v>
      </c>
      <c r="D851" s="88" t="s">
        <v>209</v>
      </c>
      <c r="E851" s="88" t="s">
        <v>985</v>
      </c>
      <c r="F851" s="88" t="s">
        <v>1258</v>
      </c>
      <c r="G851" s="88" t="s">
        <v>749</v>
      </c>
      <c r="H851" s="88" t="s">
        <v>596</v>
      </c>
    </row>
    <row r="852" spans="1:8" x14ac:dyDescent="0.3">
      <c r="A852" s="88" t="s">
        <v>592</v>
      </c>
      <c r="B852" s="88">
        <v>122</v>
      </c>
      <c r="C852" s="88">
        <v>34</v>
      </c>
      <c r="D852" s="88" t="s">
        <v>209</v>
      </c>
      <c r="E852" s="88" t="s">
        <v>1295</v>
      </c>
      <c r="F852" s="88" t="s">
        <v>1141</v>
      </c>
      <c r="G852" s="88" t="s">
        <v>752</v>
      </c>
      <c r="H852" s="88" t="s">
        <v>596</v>
      </c>
    </row>
    <row r="853" spans="1:8" x14ac:dyDescent="0.3">
      <c r="A853" s="88" t="s">
        <v>592</v>
      </c>
      <c r="B853" s="88">
        <v>122</v>
      </c>
      <c r="C853" s="88">
        <v>35</v>
      </c>
      <c r="D853" s="88" t="s">
        <v>209</v>
      </c>
      <c r="E853" s="88" t="s">
        <v>998</v>
      </c>
      <c r="F853" s="88" t="s">
        <v>1259</v>
      </c>
      <c r="G853" s="88" t="s">
        <v>755</v>
      </c>
      <c r="H853" s="88" t="s">
        <v>596</v>
      </c>
    </row>
    <row r="854" spans="1:8" x14ac:dyDescent="0.3">
      <c r="A854" s="88" t="s">
        <v>592</v>
      </c>
      <c r="B854" s="88">
        <v>122</v>
      </c>
      <c r="C854" s="88">
        <v>36</v>
      </c>
      <c r="D854" s="88" t="s">
        <v>209</v>
      </c>
      <c r="E854" s="88" t="s">
        <v>993</v>
      </c>
      <c r="F854" s="88" t="s">
        <v>1031</v>
      </c>
      <c r="G854" s="88" t="s">
        <v>758</v>
      </c>
      <c r="H854" s="88" t="s">
        <v>596</v>
      </c>
    </row>
    <row r="855" spans="1:8" ht="28.8" x14ac:dyDescent="0.3">
      <c r="A855" s="88" t="s">
        <v>592</v>
      </c>
      <c r="B855" s="88">
        <v>122</v>
      </c>
      <c r="C855" s="88">
        <v>39</v>
      </c>
      <c r="D855" s="88" t="s">
        <v>209</v>
      </c>
      <c r="E855" s="88" t="s">
        <v>1296</v>
      </c>
      <c r="F855" s="88" t="s">
        <v>1297</v>
      </c>
      <c r="G855" s="88" t="s">
        <v>719</v>
      </c>
      <c r="H855" s="88" t="s">
        <v>596</v>
      </c>
    </row>
    <row r="856" spans="1:8" ht="28.8" x14ac:dyDescent="0.3">
      <c r="A856" s="88" t="s">
        <v>592</v>
      </c>
      <c r="B856" s="88">
        <v>122</v>
      </c>
      <c r="C856" s="88">
        <v>40</v>
      </c>
      <c r="D856" s="88" t="s">
        <v>209</v>
      </c>
      <c r="E856" s="88" t="s">
        <v>1298</v>
      </c>
      <c r="F856" s="88" t="s">
        <v>1299</v>
      </c>
      <c r="G856" s="88" t="s">
        <v>724</v>
      </c>
      <c r="H856" s="88" t="s">
        <v>596</v>
      </c>
    </row>
    <row r="857" spans="1:8" x14ac:dyDescent="0.3">
      <c r="A857" s="88" t="s">
        <v>592</v>
      </c>
      <c r="B857" s="88">
        <v>123</v>
      </c>
      <c r="C857" s="88">
        <v>33</v>
      </c>
      <c r="D857" s="88" t="s">
        <v>210</v>
      </c>
      <c r="E857" s="88" t="s">
        <v>1002</v>
      </c>
      <c r="F857" s="88" t="s">
        <v>841</v>
      </c>
      <c r="G857" s="88" t="s">
        <v>749</v>
      </c>
      <c r="H857" s="88" t="s">
        <v>596</v>
      </c>
    </row>
    <row r="858" spans="1:8" x14ac:dyDescent="0.3">
      <c r="A858" s="88" t="s">
        <v>592</v>
      </c>
      <c r="B858" s="88">
        <v>123</v>
      </c>
      <c r="C858" s="88">
        <v>34</v>
      </c>
      <c r="D858" s="88" t="s">
        <v>210</v>
      </c>
      <c r="E858" s="88" t="s">
        <v>1300</v>
      </c>
      <c r="F858" s="88" t="s">
        <v>1141</v>
      </c>
      <c r="G858" s="88" t="s">
        <v>752</v>
      </c>
      <c r="H858" s="88" t="s">
        <v>596</v>
      </c>
    </row>
    <row r="859" spans="1:8" x14ac:dyDescent="0.3">
      <c r="A859" s="88" t="s">
        <v>592</v>
      </c>
      <c r="B859" s="88">
        <v>123</v>
      </c>
      <c r="C859" s="88">
        <v>35</v>
      </c>
      <c r="D859" s="88" t="s">
        <v>210</v>
      </c>
      <c r="E859" s="88" t="s">
        <v>1301</v>
      </c>
      <c r="F859" s="88" t="s">
        <v>1262</v>
      </c>
      <c r="G859" s="88" t="s">
        <v>755</v>
      </c>
      <c r="H859" s="88" t="s">
        <v>596</v>
      </c>
    </row>
    <row r="860" spans="1:8" x14ac:dyDescent="0.3">
      <c r="A860" s="88" t="s">
        <v>592</v>
      </c>
      <c r="B860" s="88">
        <v>123</v>
      </c>
      <c r="C860" s="88">
        <v>36</v>
      </c>
      <c r="D860" s="88" t="s">
        <v>210</v>
      </c>
      <c r="E860" s="88" t="s">
        <v>1227</v>
      </c>
      <c r="F860" s="88" t="s">
        <v>763</v>
      </c>
      <c r="G860" s="88" t="s">
        <v>758</v>
      </c>
      <c r="H860" s="88" t="s">
        <v>596</v>
      </c>
    </row>
    <row r="861" spans="1:8" ht="28.8" x14ac:dyDescent="0.3">
      <c r="A861" s="88" t="s">
        <v>592</v>
      </c>
      <c r="B861" s="88">
        <v>123</v>
      </c>
      <c r="C861" s="88">
        <v>39</v>
      </c>
      <c r="D861" s="88" t="s">
        <v>210</v>
      </c>
      <c r="E861" s="88" t="s">
        <v>1151</v>
      </c>
      <c r="F861" s="88" t="s">
        <v>1152</v>
      </c>
      <c r="G861" s="88" t="s">
        <v>719</v>
      </c>
      <c r="H861" s="88" t="s">
        <v>596</v>
      </c>
    </row>
    <row r="862" spans="1:8" x14ac:dyDescent="0.3">
      <c r="A862" s="88" t="s">
        <v>592</v>
      </c>
      <c r="B862" s="88">
        <v>124</v>
      </c>
      <c r="C862" s="88">
        <v>33</v>
      </c>
      <c r="D862" s="88" t="s">
        <v>211</v>
      </c>
      <c r="E862" s="88" t="s">
        <v>1262</v>
      </c>
      <c r="F862" s="88" t="s">
        <v>1266</v>
      </c>
      <c r="G862" s="88" t="s">
        <v>749</v>
      </c>
      <c r="H862" s="88" t="s">
        <v>596</v>
      </c>
    </row>
    <row r="863" spans="1:8" x14ac:dyDescent="0.3">
      <c r="A863" s="88" t="s">
        <v>592</v>
      </c>
      <c r="B863" s="88">
        <v>124</v>
      </c>
      <c r="C863" s="88">
        <v>34</v>
      </c>
      <c r="D863" s="88" t="s">
        <v>211</v>
      </c>
      <c r="E863" s="88" t="s">
        <v>1109</v>
      </c>
      <c r="F863" s="88" t="s">
        <v>1267</v>
      </c>
      <c r="G863" s="88" t="s">
        <v>752</v>
      </c>
      <c r="H863" s="88" t="s">
        <v>596</v>
      </c>
    </row>
    <row r="864" spans="1:8" x14ac:dyDescent="0.3">
      <c r="A864" s="88" t="s">
        <v>592</v>
      </c>
      <c r="B864" s="88">
        <v>124</v>
      </c>
      <c r="C864" s="88">
        <v>35</v>
      </c>
      <c r="D864" s="88" t="s">
        <v>211</v>
      </c>
      <c r="E864" s="88" t="s">
        <v>1302</v>
      </c>
      <c r="F864" s="88" t="s">
        <v>1053</v>
      </c>
      <c r="G864" s="88" t="s">
        <v>755</v>
      </c>
      <c r="H864" s="88" t="s">
        <v>596</v>
      </c>
    </row>
    <row r="865" spans="1:8" x14ac:dyDescent="0.3">
      <c r="A865" s="88" t="s">
        <v>592</v>
      </c>
      <c r="B865" s="88">
        <v>124</v>
      </c>
      <c r="C865" s="88">
        <v>36</v>
      </c>
      <c r="D865" s="88" t="s">
        <v>211</v>
      </c>
      <c r="E865" s="88" t="s">
        <v>1303</v>
      </c>
      <c r="F865" s="88" t="s">
        <v>1002</v>
      </c>
      <c r="G865" s="88" t="s">
        <v>758</v>
      </c>
      <c r="H865" s="88" t="s">
        <v>596</v>
      </c>
    </row>
    <row r="866" spans="1:8" ht="28.8" x14ac:dyDescent="0.3">
      <c r="A866" s="88" t="s">
        <v>592</v>
      </c>
      <c r="B866" s="88">
        <v>124</v>
      </c>
      <c r="C866" s="88">
        <v>39</v>
      </c>
      <c r="D866" s="88" t="s">
        <v>211</v>
      </c>
      <c r="E866" s="88" t="s">
        <v>949</v>
      </c>
      <c r="F866" s="88" t="s">
        <v>1304</v>
      </c>
      <c r="G866" s="88" t="s">
        <v>719</v>
      </c>
      <c r="H866" s="88" t="s">
        <v>596</v>
      </c>
    </row>
    <row r="867" spans="1:8" ht="28.8" x14ac:dyDescent="0.3">
      <c r="A867" s="88" t="s">
        <v>592</v>
      </c>
      <c r="B867" s="88">
        <v>124</v>
      </c>
      <c r="C867" s="88">
        <v>40</v>
      </c>
      <c r="D867" s="88" t="s">
        <v>211</v>
      </c>
      <c r="E867" s="88" t="s">
        <v>1305</v>
      </c>
      <c r="F867" s="88" t="s">
        <v>1306</v>
      </c>
      <c r="G867" s="88" t="s">
        <v>724</v>
      </c>
      <c r="H867" s="88" t="s">
        <v>596</v>
      </c>
    </row>
    <row r="868" spans="1:8" x14ac:dyDescent="0.3">
      <c r="A868" s="88" t="s">
        <v>592</v>
      </c>
      <c r="B868" s="88">
        <v>125</v>
      </c>
      <c r="C868" s="88">
        <v>33</v>
      </c>
      <c r="D868" s="88" t="s">
        <v>212</v>
      </c>
      <c r="E868" s="88" t="s">
        <v>1307</v>
      </c>
      <c r="F868" s="88" t="s">
        <v>1002</v>
      </c>
      <c r="G868" s="88" t="s">
        <v>749</v>
      </c>
      <c r="H868" s="88" t="s">
        <v>596</v>
      </c>
    </row>
    <row r="869" spans="1:8" x14ac:dyDescent="0.3">
      <c r="A869" s="88" t="s">
        <v>592</v>
      </c>
      <c r="B869" s="88">
        <v>125</v>
      </c>
      <c r="C869" s="88">
        <v>34</v>
      </c>
      <c r="D869" s="88" t="s">
        <v>212</v>
      </c>
      <c r="E869" s="88" t="s">
        <v>1308</v>
      </c>
      <c r="F869" s="88" t="s">
        <v>1116</v>
      </c>
      <c r="G869" s="88" t="s">
        <v>752</v>
      </c>
      <c r="H869" s="88" t="s">
        <v>596</v>
      </c>
    </row>
    <row r="870" spans="1:8" x14ac:dyDescent="0.3">
      <c r="A870" s="88" t="s">
        <v>592</v>
      </c>
      <c r="B870" s="88">
        <v>125</v>
      </c>
      <c r="C870" s="88">
        <v>35</v>
      </c>
      <c r="D870" s="88" t="s">
        <v>212</v>
      </c>
      <c r="E870" s="88" t="s">
        <v>1048</v>
      </c>
      <c r="F870" s="88" t="s">
        <v>1268</v>
      </c>
      <c r="G870" s="88" t="s">
        <v>755</v>
      </c>
      <c r="H870" s="88" t="s">
        <v>596</v>
      </c>
    </row>
    <row r="871" spans="1:8" x14ac:dyDescent="0.3">
      <c r="A871" s="88" t="s">
        <v>592</v>
      </c>
      <c r="B871" s="88">
        <v>125</v>
      </c>
      <c r="C871" s="88">
        <v>36</v>
      </c>
      <c r="D871" s="88" t="s">
        <v>212</v>
      </c>
      <c r="E871" s="88" t="s">
        <v>1309</v>
      </c>
      <c r="F871" s="88" t="s">
        <v>1269</v>
      </c>
      <c r="G871" s="88" t="s">
        <v>758</v>
      </c>
      <c r="H871" s="88" t="s">
        <v>596</v>
      </c>
    </row>
    <row r="872" spans="1:8" ht="28.8" x14ac:dyDescent="0.3">
      <c r="A872" s="88" t="s">
        <v>592</v>
      </c>
      <c r="B872" s="88">
        <v>125</v>
      </c>
      <c r="C872" s="88">
        <v>39</v>
      </c>
      <c r="D872" s="88" t="s">
        <v>212</v>
      </c>
      <c r="E872" s="88" t="s">
        <v>1238</v>
      </c>
      <c r="F872" s="88" t="s">
        <v>1310</v>
      </c>
      <c r="G872" s="88" t="s">
        <v>719</v>
      </c>
      <c r="H872" s="88" t="s">
        <v>596</v>
      </c>
    </row>
    <row r="873" spans="1:8" ht="28.8" x14ac:dyDescent="0.3">
      <c r="A873" s="88" t="s">
        <v>592</v>
      </c>
      <c r="B873" s="88">
        <v>125</v>
      </c>
      <c r="C873" s="88">
        <v>40</v>
      </c>
      <c r="D873" s="88" t="s">
        <v>212</v>
      </c>
      <c r="E873" s="88" t="s">
        <v>1311</v>
      </c>
      <c r="F873" s="88" t="s">
        <v>1312</v>
      </c>
      <c r="G873" s="88" t="s">
        <v>724</v>
      </c>
      <c r="H873" s="88" t="s">
        <v>596</v>
      </c>
    </row>
    <row r="874" spans="1:8" x14ac:dyDescent="0.3">
      <c r="A874" s="88" t="s">
        <v>592</v>
      </c>
      <c r="B874" s="88">
        <v>126</v>
      </c>
      <c r="C874" s="88">
        <v>33</v>
      </c>
      <c r="D874" s="88" t="s">
        <v>213</v>
      </c>
      <c r="E874" s="88" t="s">
        <v>757</v>
      </c>
      <c r="F874" s="88" t="s">
        <v>793</v>
      </c>
      <c r="G874" s="88" t="s">
        <v>749</v>
      </c>
      <c r="H874" s="88" t="s">
        <v>596</v>
      </c>
    </row>
    <row r="875" spans="1:8" x14ac:dyDescent="0.3">
      <c r="A875" s="88" t="s">
        <v>592</v>
      </c>
      <c r="B875" s="88">
        <v>126</v>
      </c>
      <c r="C875" s="88">
        <v>34</v>
      </c>
      <c r="D875" s="88" t="s">
        <v>213</v>
      </c>
      <c r="E875" s="88" t="s">
        <v>1313</v>
      </c>
      <c r="F875" s="88" t="s">
        <v>786</v>
      </c>
      <c r="G875" s="88" t="s">
        <v>752</v>
      </c>
      <c r="H875" s="88" t="s">
        <v>596</v>
      </c>
    </row>
    <row r="876" spans="1:8" x14ac:dyDescent="0.3">
      <c r="A876" s="88" t="s">
        <v>592</v>
      </c>
      <c r="B876" s="88">
        <v>126</v>
      </c>
      <c r="C876" s="88">
        <v>35</v>
      </c>
      <c r="D876" s="88" t="s">
        <v>213</v>
      </c>
      <c r="E876" s="88" t="s">
        <v>1054</v>
      </c>
      <c r="F876" s="88" t="s">
        <v>805</v>
      </c>
      <c r="G876" s="88" t="s">
        <v>755</v>
      </c>
      <c r="H876" s="88" t="s">
        <v>596</v>
      </c>
    </row>
    <row r="877" spans="1:8" x14ac:dyDescent="0.3">
      <c r="A877" s="88" t="s">
        <v>592</v>
      </c>
      <c r="B877" s="88">
        <v>126</v>
      </c>
      <c r="C877" s="88">
        <v>36</v>
      </c>
      <c r="D877" s="88" t="s">
        <v>213</v>
      </c>
      <c r="E877" s="88" t="s">
        <v>881</v>
      </c>
      <c r="F877" s="88" t="s">
        <v>766</v>
      </c>
      <c r="G877" s="88" t="s">
        <v>758</v>
      </c>
      <c r="H877" s="88" t="s">
        <v>596</v>
      </c>
    </row>
    <row r="878" spans="1:8" ht="28.8" x14ac:dyDescent="0.3">
      <c r="A878" s="88" t="s">
        <v>592</v>
      </c>
      <c r="B878" s="88">
        <v>126</v>
      </c>
      <c r="C878" s="88">
        <v>39</v>
      </c>
      <c r="D878" s="88" t="s">
        <v>213</v>
      </c>
      <c r="E878" s="88" t="s">
        <v>630</v>
      </c>
      <c r="F878" s="88" t="s">
        <v>1314</v>
      </c>
      <c r="G878" s="88" t="s">
        <v>719</v>
      </c>
      <c r="H878" s="88" t="s">
        <v>596</v>
      </c>
    </row>
    <row r="879" spans="1:8" x14ac:dyDescent="0.3">
      <c r="A879" s="88" t="s">
        <v>592</v>
      </c>
      <c r="B879" s="88">
        <v>127</v>
      </c>
      <c r="C879" s="88">
        <v>33</v>
      </c>
      <c r="D879" s="88" t="s">
        <v>504</v>
      </c>
      <c r="E879" s="88" t="s">
        <v>1315</v>
      </c>
      <c r="F879" s="88" t="s">
        <v>1042</v>
      </c>
      <c r="G879" s="88" t="s">
        <v>749</v>
      </c>
      <c r="H879" s="88" t="s">
        <v>596</v>
      </c>
    </row>
    <row r="880" spans="1:8" x14ac:dyDescent="0.3">
      <c r="A880" s="88" t="s">
        <v>592</v>
      </c>
      <c r="B880" s="88">
        <v>127</v>
      </c>
      <c r="C880" s="88">
        <v>34</v>
      </c>
      <c r="D880" s="88" t="s">
        <v>504</v>
      </c>
      <c r="E880" s="88" t="s">
        <v>1316</v>
      </c>
      <c r="F880" s="88" t="s">
        <v>1220</v>
      </c>
      <c r="G880" s="88" t="s">
        <v>752</v>
      </c>
      <c r="H880" s="88" t="s">
        <v>596</v>
      </c>
    </row>
    <row r="881" spans="1:8" x14ac:dyDescent="0.3">
      <c r="A881" s="88" t="s">
        <v>592</v>
      </c>
      <c r="B881" s="88">
        <v>127</v>
      </c>
      <c r="C881" s="88">
        <v>35</v>
      </c>
      <c r="D881" s="88" t="s">
        <v>504</v>
      </c>
      <c r="E881" s="88" t="s">
        <v>889</v>
      </c>
      <c r="F881" s="88" t="s">
        <v>804</v>
      </c>
      <c r="G881" s="88" t="s">
        <v>755</v>
      </c>
      <c r="H881" s="88" t="s">
        <v>596</v>
      </c>
    </row>
    <row r="882" spans="1:8" x14ac:dyDescent="0.3">
      <c r="A882" s="88" t="s">
        <v>592</v>
      </c>
      <c r="B882" s="88">
        <v>127</v>
      </c>
      <c r="C882" s="88">
        <v>36</v>
      </c>
      <c r="D882" s="88" t="s">
        <v>504</v>
      </c>
      <c r="E882" s="88" t="s">
        <v>651</v>
      </c>
      <c r="F882" s="88" t="s">
        <v>1262</v>
      </c>
      <c r="G882" s="88" t="s">
        <v>758</v>
      </c>
      <c r="H882" s="88" t="s">
        <v>596</v>
      </c>
    </row>
    <row r="883" spans="1:8" ht="28.8" x14ac:dyDescent="0.3">
      <c r="A883" s="88" t="s">
        <v>592</v>
      </c>
      <c r="B883" s="88">
        <v>127</v>
      </c>
      <c r="C883" s="88">
        <v>39</v>
      </c>
      <c r="D883" s="88" t="s">
        <v>504</v>
      </c>
      <c r="E883" s="88" t="s">
        <v>745</v>
      </c>
      <c r="F883" s="88" t="s">
        <v>1317</v>
      </c>
      <c r="G883" s="88" t="s">
        <v>719</v>
      </c>
      <c r="H883" s="88" t="s">
        <v>596</v>
      </c>
    </row>
    <row r="884" spans="1:8" x14ac:dyDescent="0.3">
      <c r="A884" s="88" t="s">
        <v>592</v>
      </c>
      <c r="B884" s="88">
        <v>128</v>
      </c>
      <c r="C884" s="88">
        <v>33</v>
      </c>
      <c r="D884" s="88" t="s">
        <v>215</v>
      </c>
      <c r="E884" s="88" t="s">
        <v>848</v>
      </c>
      <c r="F884" s="88" t="s">
        <v>1318</v>
      </c>
      <c r="G884" s="88" t="s">
        <v>749</v>
      </c>
      <c r="H884" s="88" t="s">
        <v>596</v>
      </c>
    </row>
    <row r="885" spans="1:8" x14ac:dyDescent="0.3">
      <c r="A885" s="88" t="s">
        <v>592</v>
      </c>
      <c r="B885" s="88">
        <v>128</v>
      </c>
      <c r="C885" s="88">
        <v>34</v>
      </c>
      <c r="D885" s="88" t="s">
        <v>215</v>
      </c>
      <c r="E885" s="88" t="s">
        <v>1319</v>
      </c>
      <c r="F885" s="88" t="s">
        <v>1320</v>
      </c>
      <c r="G885" s="88" t="s">
        <v>752</v>
      </c>
      <c r="H885" s="88" t="s">
        <v>596</v>
      </c>
    </row>
    <row r="886" spans="1:8" x14ac:dyDescent="0.3">
      <c r="A886" s="88" t="s">
        <v>592</v>
      </c>
      <c r="B886" s="88">
        <v>128</v>
      </c>
      <c r="C886" s="88">
        <v>35</v>
      </c>
      <c r="D886" s="88" t="s">
        <v>215</v>
      </c>
      <c r="E886" s="88" t="s">
        <v>835</v>
      </c>
      <c r="F886" s="88" t="s">
        <v>966</v>
      </c>
      <c r="G886" s="88" t="s">
        <v>755</v>
      </c>
      <c r="H886" s="88" t="s">
        <v>596</v>
      </c>
    </row>
    <row r="887" spans="1:8" x14ac:dyDescent="0.3">
      <c r="A887" s="88" t="s">
        <v>592</v>
      </c>
      <c r="B887" s="88">
        <v>128</v>
      </c>
      <c r="C887" s="88">
        <v>36</v>
      </c>
      <c r="D887" s="88" t="s">
        <v>215</v>
      </c>
      <c r="E887" s="88" t="s">
        <v>1200</v>
      </c>
      <c r="F887" s="88" t="s">
        <v>1163</v>
      </c>
      <c r="G887" s="88" t="s">
        <v>758</v>
      </c>
      <c r="H887" s="88" t="s">
        <v>596</v>
      </c>
    </row>
    <row r="888" spans="1:8" ht="28.8" x14ac:dyDescent="0.3">
      <c r="A888" s="88" t="s">
        <v>592</v>
      </c>
      <c r="B888" s="88">
        <v>128</v>
      </c>
      <c r="C888" s="88">
        <v>39</v>
      </c>
      <c r="D888" s="88" t="s">
        <v>215</v>
      </c>
      <c r="E888" s="88" t="s">
        <v>1321</v>
      </c>
      <c r="F888" s="88" t="s">
        <v>1322</v>
      </c>
      <c r="G888" s="88" t="s">
        <v>719</v>
      </c>
      <c r="H888" s="88" t="s">
        <v>596</v>
      </c>
    </row>
    <row r="889" spans="1:8" x14ac:dyDescent="0.3">
      <c r="A889" s="88" t="s">
        <v>592</v>
      </c>
      <c r="B889" s="88">
        <v>129</v>
      </c>
      <c r="C889" s="88">
        <v>33</v>
      </c>
      <c r="D889" s="88" t="s">
        <v>216</v>
      </c>
      <c r="E889" s="88" t="s">
        <v>866</v>
      </c>
      <c r="F889" s="88" t="s">
        <v>829</v>
      </c>
      <c r="G889" s="88" t="s">
        <v>749</v>
      </c>
      <c r="H889" s="88" t="s">
        <v>596</v>
      </c>
    </row>
    <row r="890" spans="1:8" x14ac:dyDescent="0.3">
      <c r="A890" s="88" t="s">
        <v>592</v>
      </c>
      <c r="B890" s="88">
        <v>129</v>
      </c>
      <c r="C890" s="88">
        <v>34</v>
      </c>
      <c r="D890" s="88" t="s">
        <v>216</v>
      </c>
      <c r="E890" s="88" t="s">
        <v>1323</v>
      </c>
      <c r="F890" s="88" t="s">
        <v>1109</v>
      </c>
      <c r="G890" s="88" t="s">
        <v>752</v>
      </c>
      <c r="H890" s="88" t="s">
        <v>596</v>
      </c>
    </row>
    <row r="891" spans="1:8" x14ac:dyDescent="0.3">
      <c r="A891" s="88" t="s">
        <v>592</v>
      </c>
      <c r="B891" s="88">
        <v>129</v>
      </c>
      <c r="C891" s="88">
        <v>35</v>
      </c>
      <c r="D891" s="88" t="s">
        <v>216</v>
      </c>
      <c r="E891" s="88" t="s">
        <v>960</v>
      </c>
      <c r="F891" s="88" t="s">
        <v>822</v>
      </c>
      <c r="G891" s="88" t="s">
        <v>755</v>
      </c>
      <c r="H891" s="88" t="s">
        <v>596</v>
      </c>
    </row>
    <row r="892" spans="1:8" x14ac:dyDescent="0.3">
      <c r="A892" s="88" t="s">
        <v>592</v>
      </c>
      <c r="B892" s="88">
        <v>129</v>
      </c>
      <c r="C892" s="88">
        <v>36</v>
      </c>
      <c r="D892" s="88" t="s">
        <v>216</v>
      </c>
      <c r="E892" s="88" t="s">
        <v>1324</v>
      </c>
      <c r="F892" s="88" t="s">
        <v>1115</v>
      </c>
      <c r="G892" s="88" t="s">
        <v>758</v>
      </c>
      <c r="H892" s="88" t="s">
        <v>596</v>
      </c>
    </row>
    <row r="893" spans="1:8" ht="28.8" x14ac:dyDescent="0.3">
      <c r="A893" s="88" t="s">
        <v>592</v>
      </c>
      <c r="B893" s="88">
        <v>129</v>
      </c>
      <c r="C893" s="88">
        <v>39</v>
      </c>
      <c r="D893" s="88" t="s">
        <v>216</v>
      </c>
      <c r="E893" s="88" t="s">
        <v>1325</v>
      </c>
      <c r="F893" s="88" t="s">
        <v>1326</v>
      </c>
      <c r="G893" s="88" t="s">
        <v>719</v>
      </c>
      <c r="H893" s="88" t="s">
        <v>596</v>
      </c>
    </row>
    <row r="894" spans="1:8" x14ac:dyDescent="0.3">
      <c r="A894" s="88" t="s">
        <v>592</v>
      </c>
      <c r="B894" s="88">
        <v>130</v>
      </c>
      <c r="C894" s="88">
        <v>33</v>
      </c>
      <c r="D894" s="88" t="s">
        <v>217</v>
      </c>
      <c r="E894" s="88" t="s">
        <v>1231</v>
      </c>
      <c r="F894" s="88" t="s">
        <v>698</v>
      </c>
      <c r="G894" s="88" t="s">
        <v>749</v>
      </c>
      <c r="H894" s="88" t="s">
        <v>596</v>
      </c>
    </row>
    <row r="895" spans="1:8" x14ac:dyDescent="0.3">
      <c r="A895" s="88" t="s">
        <v>592</v>
      </c>
      <c r="B895" s="88">
        <v>130</v>
      </c>
      <c r="C895" s="88">
        <v>34</v>
      </c>
      <c r="D895" s="88" t="s">
        <v>217</v>
      </c>
      <c r="E895" s="88" t="s">
        <v>1024</v>
      </c>
      <c r="F895" s="88" t="s">
        <v>1279</v>
      </c>
      <c r="G895" s="88" t="s">
        <v>752</v>
      </c>
      <c r="H895" s="88" t="s">
        <v>596</v>
      </c>
    </row>
    <row r="896" spans="1:8" x14ac:dyDescent="0.3">
      <c r="A896" s="88" t="s">
        <v>592</v>
      </c>
      <c r="B896" s="88">
        <v>130</v>
      </c>
      <c r="C896" s="88">
        <v>35</v>
      </c>
      <c r="D896" s="88" t="s">
        <v>217</v>
      </c>
      <c r="E896" s="88" t="s">
        <v>866</v>
      </c>
      <c r="F896" s="88" t="s">
        <v>1167</v>
      </c>
      <c r="G896" s="88" t="s">
        <v>755</v>
      </c>
      <c r="H896" s="88" t="s">
        <v>596</v>
      </c>
    </row>
    <row r="897" spans="1:8" x14ac:dyDescent="0.3">
      <c r="A897" s="88" t="s">
        <v>592</v>
      </c>
      <c r="B897" s="88">
        <v>130</v>
      </c>
      <c r="C897" s="88">
        <v>36</v>
      </c>
      <c r="D897" s="88" t="s">
        <v>217</v>
      </c>
      <c r="E897" s="88" t="s">
        <v>1327</v>
      </c>
      <c r="F897" s="88" t="s">
        <v>1061</v>
      </c>
      <c r="G897" s="88" t="s">
        <v>758</v>
      </c>
      <c r="H897" s="88" t="s">
        <v>596</v>
      </c>
    </row>
    <row r="898" spans="1:8" ht="28.8" x14ac:dyDescent="0.3">
      <c r="A898" s="88" t="s">
        <v>592</v>
      </c>
      <c r="B898" s="88">
        <v>130</v>
      </c>
      <c r="C898" s="88">
        <v>39</v>
      </c>
      <c r="D898" s="88" t="s">
        <v>217</v>
      </c>
      <c r="E898" s="88" t="s">
        <v>1328</v>
      </c>
      <c r="F898" s="88" t="s">
        <v>1329</v>
      </c>
      <c r="G898" s="88" t="s">
        <v>719</v>
      </c>
      <c r="H898" s="88" t="s">
        <v>596</v>
      </c>
    </row>
    <row r="899" spans="1:8" x14ac:dyDescent="0.3">
      <c r="A899" s="88" t="s">
        <v>592</v>
      </c>
      <c r="B899" s="88">
        <v>131</v>
      </c>
      <c r="C899" s="88">
        <v>33</v>
      </c>
      <c r="D899" s="88" t="s">
        <v>509</v>
      </c>
      <c r="E899" s="88" t="s">
        <v>826</v>
      </c>
      <c r="F899" s="88" t="s">
        <v>1130</v>
      </c>
      <c r="G899" s="88" t="s">
        <v>749</v>
      </c>
      <c r="H899" s="88" t="s">
        <v>596</v>
      </c>
    </row>
    <row r="900" spans="1:8" x14ac:dyDescent="0.3">
      <c r="A900" s="88" t="s">
        <v>592</v>
      </c>
      <c r="B900" s="88">
        <v>131</v>
      </c>
      <c r="C900" s="88">
        <v>34</v>
      </c>
      <c r="D900" s="88" t="s">
        <v>509</v>
      </c>
      <c r="E900" s="88" t="s">
        <v>1231</v>
      </c>
      <c r="F900" s="88" t="s">
        <v>1281</v>
      </c>
      <c r="G900" s="88" t="s">
        <v>752</v>
      </c>
      <c r="H900" s="88" t="s">
        <v>596</v>
      </c>
    </row>
    <row r="901" spans="1:8" x14ac:dyDescent="0.3">
      <c r="A901" s="88" t="s">
        <v>592</v>
      </c>
      <c r="B901" s="88">
        <v>131</v>
      </c>
      <c r="C901" s="88">
        <v>35</v>
      </c>
      <c r="D901" s="88" t="s">
        <v>509</v>
      </c>
      <c r="E901" s="88" t="s">
        <v>1123</v>
      </c>
      <c r="F901" s="88" t="s">
        <v>879</v>
      </c>
      <c r="G901" s="88" t="s">
        <v>755</v>
      </c>
      <c r="H901" s="88" t="s">
        <v>596</v>
      </c>
    </row>
    <row r="902" spans="1:8" x14ac:dyDescent="0.3">
      <c r="A902" s="88" t="s">
        <v>592</v>
      </c>
      <c r="B902" s="88">
        <v>131</v>
      </c>
      <c r="C902" s="88">
        <v>36</v>
      </c>
      <c r="D902" s="88" t="s">
        <v>509</v>
      </c>
      <c r="E902" s="88" t="s">
        <v>860</v>
      </c>
      <c r="F902" s="88" t="s">
        <v>959</v>
      </c>
      <c r="G902" s="88" t="s">
        <v>758</v>
      </c>
      <c r="H902" s="88" t="s">
        <v>596</v>
      </c>
    </row>
    <row r="903" spans="1:8" ht="28.8" x14ac:dyDescent="0.3">
      <c r="A903" s="88" t="s">
        <v>592</v>
      </c>
      <c r="B903" s="88">
        <v>131</v>
      </c>
      <c r="C903" s="88">
        <v>39</v>
      </c>
      <c r="D903" s="88" t="s">
        <v>509</v>
      </c>
      <c r="E903" s="88" t="s">
        <v>1330</v>
      </c>
      <c r="F903" s="88" t="s">
        <v>1331</v>
      </c>
      <c r="G903" s="88" t="s">
        <v>719</v>
      </c>
      <c r="H903" s="88" t="s">
        <v>596</v>
      </c>
    </row>
    <row r="904" spans="1:8" ht="28.8" x14ac:dyDescent="0.3">
      <c r="A904" s="88" t="s">
        <v>592</v>
      </c>
      <c r="B904" s="88">
        <v>131</v>
      </c>
      <c r="C904" s="88">
        <v>40</v>
      </c>
      <c r="D904" s="88" t="s">
        <v>509</v>
      </c>
      <c r="E904" s="88" t="s">
        <v>1332</v>
      </c>
      <c r="F904" s="88" t="s">
        <v>1333</v>
      </c>
      <c r="G904" s="88" t="s">
        <v>724</v>
      </c>
      <c r="H904" s="88" t="s">
        <v>596</v>
      </c>
    </row>
    <row r="905" spans="1:8" x14ac:dyDescent="0.3">
      <c r="A905" s="88" t="s">
        <v>592</v>
      </c>
      <c r="B905" s="88">
        <v>132</v>
      </c>
      <c r="C905" s="88">
        <v>33</v>
      </c>
      <c r="D905" s="88" t="s">
        <v>219</v>
      </c>
      <c r="E905" s="88" t="s">
        <v>747</v>
      </c>
      <c r="F905" s="88" t="s">
        <v>997</v>
      </c>
      <c r="G905" s="88" t="s">
        <v>749</v>
      </c>
      <c r="H905" s="88" t="s">
        <v>596</v>
      </c>
    </row>
    <row r="906" spans="1:8" x14ac:dyDescent="0.3">
      <c r="A906" s="88" t="s">
        <v>592</v>
      </c>
      <c r="B906" s="88">
        <v>132</v>
      </c>
      <c r="C906" s="88">
        <v>34</v>
      </c>
      <c r="D906" s="88" t="s">
        <v>219</v>
      </c>
      <c r="E906" s="88" t="s">
        <v>917</v>
      </c>
      <c r="F906" s="88" t="s">
        <v>1283</v>
      </c>
      <c r="G906" s="88" t="s">
        <v>752</v>
      </c>
      <c r="H906" s="88" t="s">
        <v>596</v>
      </c>
    </row>
    <row r="907" spans="1:8" x14ac:dyDescent="0.3">
      <c r="A907" s="88" t="s">
        <v>592</v>
      </c>
      <c r="B907" s="88">
        <v>132</v>
      </c>
      <c r="C907" s="88">
        <v>35</v>
      </c>
      <c r="D907" s="88" t="s">
        <v>219</v>
      </c>
      <c r="E907" s="88" t="s">
        <v>641</v>
      </c>
      <c r="F907" s="88" t="s">
        <v>706</v>
      </c>
      <c r="G907" s="88" t="s">
        <v>755</v>
      </c>
      <c r="H907" s="88" t="s">
        <v>596</v>
      </c>
    </row>
    <row r="908" spans="1:8" x14ac:dyDescent="0.3">
      <c r="A908" s="88" t="s">
        <v>592</v>
      </c>
      <c r="B908" s="88">
        <v>132</v>
      </c>
      <c r="C908" s="88">
        <v>36</v>
      </c>
      <c r="D908" s="88" t="s">
        <v>219</v>
      </c>
      <c r="E908" s="88" t="s">
        <v>1302</v>
      </c>
      <c r="F908" s="88" t="s">
        <v>871</v>
      </c>
      <c r="G908" s="88" t="s">
        <v>758</v>
      </c>
      <c r="H908" s="88" t="s">
        <v>596</v>
      </c>
    </row>
    <row r="909" spans="1:8" ht="28.8" x14ac:dyDescent="0.3">
      <c r="A909" s="88" t="s">
        <v>592</v>
      </c>
      <c r="B909" s="88">
        <v>132</v>
      </c>
      <c r="C909" s="88">
        <v>39</v>
      </c>
      <c r="D909" s="88" t="s">
        <v>219</v>
      </c>
      <c r="E909" s="88" t="s">
        <v>1334</v>
      </c>
      <c r="F909" s="88" t="s">
        <v>1335</v>
      </c>
      <c r="G909" s="88" t="s">
        <v>719</v>
      </c>
      <c r="H909" s="88" t="s">
        <v>596</v>
      </c>
    </row>
    <row r="910" spans="1:8" x14ac:dyDescent="0.3">
      <c r="A910" s="88" t="s">
        <v>592</v>
      </c>
      <c r="B910" s="88">
        <v>133</v>
      </c>
      <c r="C910" s="88">
        <v>33</v>
      </c>
      <c r="D910" s="88" t="s">
        <v>512</v>
      </c>
      <c r="E910" s="88" t="s">
        <v>1054</v>
      </c>
      <c r="F910" s="88" t="s">
        <v>904</v>
      </c>
      <c r="G910" s="88" t="s">
        <v>749</v>
      </c>
      <c r="H910" s="88" t="s">
        <v>596</v>
      </c>
    </row>
    <row r="911" spans="1:8" x14ac:dyDescent="0.3">
      <c r="A911" s="88" t="s">
        <v>592</v>
      </c>
      <c r="B911" s="88">
        <v>133</v>
      </c>
      <c r="C911" s="88">
        <v>34</v>
      </c>
      <c r="D911" s="88" t="s">
        <v>512</v>
      </c>
      <c r="E911" s="88" t="s">
        <v>1336</v>
      </c>
      <c r="F911" s="88" t="s">
        <v>1231</v>
      </c>
      <c r="G911" s="88" t="s">
        <v>752</v>
      </c>
      <c r="H911" s="88" t="s">
        <v>596</v>
      </c>
    </row>
    <row r="912" spans="1:8" x14ac:dyDescent="0.3">
      <c r="A912" s="88" t="s">
        <v>592</v>
      </c>
      <c r="B912" s="88">
        <v>133</v>
      </c>
      <c r="C912" s="88">
        <v>35</v>
      </c>
      <c r="D912" s="88" t="s">
        <v>512</v>
      </c>
      <c r="E912" s="88" t="s">
        <v>1337</v>
      </c>
      <c r="F912" s="88" t="s">
        <v>962</v>
      </c>
      <c r="G912" s="88" t="s">
        <v>755</v>
      </c>
      <c r="H912" s="88" t="s">
        <v>596</v>
      </c>
    </row>
    <row r="913" spans="1:8" x14ac:dyDescent="0.3">
      <c r="A913" s="88" t="s">
        <v>592</v>
      </c>
      <c r="B913" s="88">
        <v>133</v>
      </c>
      <c r="C913" s="88">
        <v>36</v>
      </c>
      <c r="D913" s="88" t="s">
        <v>512</v>
      </c>
      <c r="E913" s="88" t="s">
        <v>1338</v>
      </c>
      <c r="F913" s="88" t="s">
        <v>1262</v>
      </c>
      <c r="G913" s="88" t="s">
        <v>758</v>
      </c>
      <c r="H913" s="88" t="s">
        <v>596</v>
      </c>
    </row>
    <row r="914" spans="1:8" ht="28.8" x14ac:dyDescent="0.3">
      <c r="A914" s="88" t="s">
        <v>592</v>
      </c>
      <c r="B914" s="88">
        <v>133</v>
      </c>
      <c r="C914" s="88">
        <v>39</v>
      </c>
      <c r="D914" s="88" t="s">
        <v>512</v>
      </c>
      <c r="E914" s="88" t="s">
        <v>734</v>
      </c>
      <c r="F914" s="88"/>
      <c r="G914" s="88" t="s">
        <v>719</v>
      </c>
      <c r="H914" s="88" t="s">
        <v>596</v>
      </c>
    </row>
    <row r="915" spans="1:8" ht="28.8" x14ac:dyDescent="0.3">
      <c r="A915" s="88" t="s">
        <v>592</v>
      </c>
      <c r="B915" s="88">
        <v>133</v>
      </c>
      <c r="C915" s="88">
        <v>40</v>
      </c>
      <c r="D915" s="88" t="s">
        <v>512</v>
      </c>
      <c r="E915" s="88" t="s">
        <v>1339</v>
      </c>
      <c r="F915" s="88" t="s">
        <v>1340</v>
      </c>
      <c r="G915" s="88" t="s">
        <v>724</v>
      </c>
      <c r="H915" s="88" t="s">
        <v>596</v>
      </c>
    </row>
    <row r="916" spans="1:8" x14ac:dyDescent="0.3">
      <c r="A916" s="88" t="s">
        <v>592</v>
      </c>
      <c r="B916" s="88">
        <v>134</v>
      </c>
      <c r="C916" s="88">
        <v>33</v>
      </c>
      <c r="D916" s="88" t="s">
        <v>221</v>
      </c>
      <c r="E916" s="88" t="s">
        <v>804</v>
      </c>
      <c r="F916" s="88" t="s">
        <v>970</v>
      </c>
      <c r="G916" s="88" t="s">
        <v>749</v>
      </c>
      <c r="H916" s="88" t="s">
        <v>596</v>
      </c>
    </row>
    <row r="917" spans="1:8" x14ac:dyDescent="0.3">
      <c r="A917" s="88" t="s">
        <v>592</v>
      </c>
      <c r="B917" s="88">
        <v>134</v>
      </c>
      <c r="C917" s="88">
        <v>34</v>
      </c>
      <c r="D917" s="88" t="s">
        <v>221</v>
      </c>
      <c r="E917" s="88" t="s">
        <v>1341</v>
      </c>
      <c r="F917" s="88" t="s">
        <v>1290</v>
      </c>
      <c r="G917" s="88" t="s">
        <v>752</v>
      </c>
      <c r="H917" s="88" t="s">
        <v>596</v>
      </c>
    </row>
    <row r="918" spans="1:8" x14ac:dyDescent="0.3">
      <c r="A918" s="88" t="s">
        <v>592</v>
      </c>
      <c r="B918" s="88">
        <v>134</v>
      </c>
      <c r="C918" s="88">
        <v>35</v>
      </c>
      <c r="D918" s="88" t="s">
        <v>221</v>
      </c>
      <c r="E918" s="88" t="s">
        <v>843</v>
      </c>
      <c r="F918" s="88" t="s">
        <v>1081</v>
      </c>
      <c r="G918" s="88" t="s">
        <v>755</v>
      </c>
      <c r="H918" s="88" t="s">
        <v>596</v>
      </c>
    </row>
    <row r="919" spans="1:8" x14ac:dyDescent="0.3">
      <c r="A919" s="88" t="s">
        <v>592</v>
      </c>
      <c r="B919" s="88">
        <v>134</v>
      </c>
      <c r="C919" s="88">
        <v>36</v>
      </c>
      <c r="D919" s="88" t="s">
        <v>221</v>
      </c>
      <c r="E919" s="88" t="s">
        <v>904</v>
      </c>
      <c r="F919" s="88" t="s">
        <v>1155</v>
      </c>
      <c r="G919" s="88" t="s">
        <v>758</v>
      </c>
      <c r="H919" s="88" t="s">
        <v>596</v>
      </c>
    </row>
    <row r="920" spans="1:8" ht="28.8" x14ac:dyDescent="0.3">
      <c r="A920" s="88" t="s">
        <v>592</v>
      </c>
      <c r="B920" s="88">
        <v>134</v>
      </c>
      <c r="C920" s="88">
        <v>39</v>
      </c>
      <c r="D920" s="88" t="s">
        <v>221</v>
      </c>
      <c r="E920" s="88" t="s">
        <v>725</v>
      </c>
      <c r="F920" s="88" t="s">
        <v>1342</v>
      </c>
      <c r="G920" s="88" t="s">
        <v>719</v>
      </c>
      <c r="H920" s="88" t="s">
        <v>596</v>
      </c>
    </row>
    <row r="921" spans="1:8" x14ac:dyDescent="0.3">
      <c r="A921" s="88" t="s">
        <v>592</v>
      </c>
      <c r="B921" s="88">
        <v>135</v>
      </c>
      <c r="C921" s="88">
        <v>33</v>
      </c>
      <c r="D921" s="88" t="s">
        <v>222</v>
      </c>
      <c r="E921" s="88" t="s">
        <v>980</v>
      </c>
      <c r="F921" s="88" t="s">
        <v>985</v>
      </c>
      <c r="G921" s="88" t="s">
        <v>749</v>
      </c>
      <c r="H921" s="88" t="s">
        <v>596</v>
      </c>
    </row>
    <row r="922" spans="1:8" x14ac:dyDescent="0.3">
      <c r="A922" s="88" t="s">
        <v>592</v>
      </c>
      <c r="B922" s="88">
        <v>135</v>
      </c>
      <c r="C922" s="88">
        <v>34</v>
      </c>
      <c r="D922" s="88" t="s">
        <v>222</v>
      </c>
      <c r="E922" s="88" t="s">
        <v>1343</v>
      </c>
      <c r="F922" s="88" t="s">
        <v>1295</v>
      </c>
      <c r="G922" s="88" t="s">
        <v>752</v>
      </c>
      <c r="H922" s="88" t="s">
        <v>596</v>
      </c>
    </row>
    <row r="923" spans="1:8" x14ac:dyDescent="0.3">
      <c r="A923" s="88" t="s">
        <v>592</v>
      </c>
      <c r="B923" s="88">
        <v>135</v>
      </c>
      <c r="C923" s="88">
        <v>35</v>
      </c>
      <c r="D923" s="88" t="s">
        <v>222</v>
      </c>
      <c r="E923" s="88" t="s">
        <v>1071</v>
      </c>
      <c r="F923" s="88" t="s">
        <v>998</v>
      </c>
      <c r="G923" s="88" t="s">
        <v>755</v>
      </c>
      <c r="H923" s="88" t="s">
        <v>596</v>
      </c>
    </row>
    <row r="924" spans="1:8" x14ac:dyDescent="0.3">
      <c r="A924" s="88" t="s">
        <v>592</v>
      </c>
      <c r="B924" s="88">
        <v>135</v>
      </c>
      <c r="C924" s="88">
        <v>36</v>
      </c>
      <c r="D924" s="88" t="s">
        <v>222</v>
      </c>
      <c r="E924" s="88" t="s">
        <v>1269</v>
      </c>
      <c r="F924" s="88" t="s">
        <v>993</v>
      </c>
      <c r="G924" s="88" t="s">
        <v>758</v>
      </c>
      <c r="H924" s="88" t="s">
        <v>596</v>
      </c>
    </row>
    <row r="925" spans="1:8" ht="28.8" x14ac:dyDescent="0.3">
      <c r="A925" s="88" t="s">
        <v>592</v>
      </c>
      <c r="B925" s="88">
        <v>135</v>
      </c>
      <c r="C925" s="88">
        <v>39</v>
      </c>
      <c r="D925" s="88" t="s">
        <v>222</v>
      </c>
      <c r="E925" s="88" t="s">
        <v>1344</v>
      </c>
      <c r="F925" s="88" t="s">
        <v>1345</v>
      </c>
      <c r="G925" s="88" t="s">
        <v>719</v>
      </c>
      <c r="H925" s="88" t="s">
        <v>596</v>
      </c>
    </row>
    <row r="926" spans="1:8" ht="28.8" x14ac:dyDescent="0.3">
      <c r="A926" s="88" t="s">
        <v>592</v>
      </c>
      <c r="B926" s="88">
        <v>135</v>
      </c>
      <c r="C926" s="88">
        <v>40</v>
      </c>
      <c r="D926" s="88" t="s">
        <v>222</v>
      </c>
      <c r="E926" s="88" t="s">
        <v>1346</v>
      </c>
      <c r="F926" s="88" t="s">
        <v>1347</v>
      </c>
      <c r="G926" s="88" t="s">
        <v>724</v>
      </c>
      <c r="H926" s="88" t="s">
        <v>596</v>
      </c>
    </row>
    <row r="927" spans="1:8" x14ac:dyDescent="0.3">
      <c r="A927" s="88" t="s">
        <v>592</v>
      </c>
      <c r="B927" s="88">
        <v>136</v>
      </c>
      <c r="C927" s="88">
        <v>33</v>
      </c>
      <c r="D927" s="88" t="s">
        <v>223</v>
      </c>
      <c r="E927" s="88" t="s">
        <v>1165</v>
      </c>
      <c r="F927" s="88" t="s">
        <v>1002</v>
      </c>
      <c r="G927" s="88" t="s">
        <v>749</v>
      </c>
      <c r="H927" s="88" t="s">
        <v>596</v>
      </c>
    </row>
    <row r="928" spans="1:8" x14ac:dyDescent="0.3">
      <c r="A928" s="88" t="s">
        <v>592</v>
      </c>
      <c r="B928" s="88">
        <v>136</v>
      </c>
      <c r="C928" s="88">
        <v>34</v>
      </c>
      <c r="D928" s="88" t="s">
        <v>223</v>
      </c>
      <c r="E928" s="88" t="s">
        <v>1348</v>
      </c>
      <c r="F928" s="88" t="s">
        <v>1300</v>
      </c>
      <c r="G928" s="88" t="s">
        <v>752</v>
      </c>
      <c r="H928" s="88" t="s">
        <v>596</v>
      </c>
    </row>
    <row r="929" spans="1:8" x14ac:dyDescent="0.3">
      <c r="A929" s="88" t="s">
        <v>592</v>
      </c>
      <c r="B929" s="88">
        <v>136</v>
      </c>
      <c r="C929" s="88">
        <v>35</v>
      </c>
      <c r="D929" s="88" t="s">
        <v>223</v>
      </c>
      <c r="E929" s="88" t="s">
        <v>831</v>
      </c>
      <c r="F929" s="88" t="s">
        <v>1301</v>
      </c>
      <c r="G929" s="88" t="s">
        <v>755</v>
      </c>
      <c r="H929" s="88" t="s">
        <v>596</v>
      </c>
    </row>
    <row r="930" spans="1:8" x14ac:dyDescent="0.3">
      <c r="A930" s="88" t="s">
        <v>592</v>
      </c>
      <c r="B930" s="88">
        <v>136</v>
      </c>
      <c r="C930" s="88">
        <v>36</v>
      </c>
      <c r="D930" s="88" t="s">
        <v>223</v>
      </c>
      <c r="E930" s="88" t="s">
        <v>753</v>
      </c>
      <c r="F930" s="88" t="s">
        <v>1227</v>
      </c>
      <c r="G930" s="88" t="s">
        <v>758</v>
      </c>
      <c r="H930" s="88" t="s">
        <v>596</v>
      </c>
    </row>
    <row r="931" spans="1:8" ht="28.8" x14ac:dyDescent="0.3">
      <c r="A931" s="88" t="s">
        <v>592</v>
      </c>
      <c r="B931" s="88">
        <v>136</v>
      </c>
      <c r="C931" s="88">
        <v>39</v>
      </c>
      <c r="D931" s="88" t="s">
        <v>223</v>
      </c>
      <c r="E931" s="88" t="s">
        <v>1349</v>
      </c>
      <c r="F931" s="88" t="s">
        <v>1350</v>
      </c>
      <c r="G931" s="88" t="s">
        <v>719</v>
      </c>
      <c r="H931" s="88" t="s">
        <v>596</v>
      </c>
    </row>
    <row r="932" spans="1:8" x14ac:dyDescent="0.3">
      <c r="A932" s="88" t="s">
        <v>592</v>
      </c>
      <c r="B932" s="88">
        <v>137</v>
      </c>
      <c r="C932" s="88">
        <v>33</v>
      </c>
      <c r="D932" s="88" t="s">
        <v>224</v>
      </c>
      <c r="E932" s="88" t="s">
        <v>829</v>
      </c>
      <c r="F932" s="88" t="s">
        <v>1262</v>
      </c>
      <c r="G932" s="88" t="s">
        <v>749</v>
      </c>
      <c r="H932" s="88" t="s">
        <v>596</v>
      </c>
    </row>
    <row r="933" spans="1:8" x14ac:dyDescent="0.3">
      <c r="A933" s="88" t="s">
        <v>592</v>
      </c>
      <c r="B933" s="88">
        <v>137</v>
      </c>
      <c r="C933" s="88">
        <v>34</v>
      </c>
      <c r="D933" s="88" t="s">
        <v>224</v>
      </c>
      <c r="E933" s="88" t="s">
        <v>1248</v>
      </c>
      <c r="F933" s="88" t="s">
        <v>1109</v>
      </c>
      <c r="G933" s="88" t="s">
        <v>752</v>
      </c>
      <c r="H933" s="88" t="s">
        <v>596</v>
      </c>
    </row>
    <row r="934" spans="1:8" x14ac:dyDescent="0.3">
      <c r="A934" s="88" t="s">
        <v>592</v>
      </c>
      <c r="B934" s="88">
        <v>137</v>
      </c>
      <c r="C934" s="88">
        <v>35</v>
      </c>
      <c r="D934" s="88" t="s">
        <v>224</v>
      </c>
      <c r="E934" s="88" t="s">
        <v>784</v>
      </c>
      <c r="F934" s="88" t="s">
        <v>1302</v>
      </c>
      <c r="G934" s="88" t="s">
        <v>755</v>
      </c>
      <c r="H934" s="88" t="s">
        <v>596</v>
      </c>
    </row>
    <row r="935" spans="1:8" x14ac:dyDescent="0.3">
      <c r="A935" s="88" t="s">
        <v>592</v>
      </c>
      <c r="B935" s="88">
        <v>137</v>
      </c>
      <c r="C935" s="88">
        <v>36</v>
      </c>
      <c r="D935" s="88" t="s">
        <v>224</v>
      </c>
      <c r="E935" s="88" t="s">
        <v>919</v>
      </c>
      <c r="F935" s="88" t="s">
        <v>1303</v>
      </c>
      <c r="G935" s="88" t="s">
        <v>758</v>
      </c>
      <c r="H935" s="88" t="s">
        <v>596</v>
      </c>
    </row>
    <row r="936" spans="1:8" ht="28.8" x14ac:dyDescent="0.3">
      <c r="A936" s="88" t="s">
        <v>592</v>
      </c>
      <c r="B936" s="88">
        <v>137</v>
      </c>
      <c r="C936" s="88">
        <v>39</v>
      </c>
      <c r="D936" s="88" t="s">
        <v>224</v>
      </c>
      <c r="E936" s="88" t="s">
        <v>1045</v>
      </c>
      <c r="F936" s="88" t="s">
        <v>1046</v>
      </c>
      <c r="G936" s="88" t="s">
        <v>719</v>
      </c>
      <c r="H936" s="88" t="s">
        <v>596</v>
      </c>
    </row>
    <row r="937" spans="1:8" ht="28.8" x14ac:dyDescent="0.3">
      <c r="A937" s="88" t="s">
        <v>592</v>
      </c>
      <c r="B937" s="88">
        <v>137</v>
      </c>
      <c r="C937" s="88">
        <v>40</v>
      </c>
      <c r="D937" s="88" t="s">
        <v>224</v>
      </c>
      <c r="E937" s="88" t="s">
        <v>1351</v>
      </c>
      <c r="F937" s="88" t="s">
        <v>1352</v>
      </c>
      <c r="G937" s="88" t="s">
        <v>724</v>
      </c>
      <c r="H937" s="88" t="s">
        <v>596</v>
      </c>
    </row>
    <row r="938" spans="1:8" x14ac:dyDescent="0.3">
      <c r="A938" s="88" t="s">
        <v>592</v>
      </c>
      <c r="B938" s="88">
        <v>138</v>
      </c>
      <c r="C938" s="88">
        <v>33</v>
      </c>
      <c r="D938" s="88" t="s">
        <v>225</v>
      </c>
      <c r="E938" s="88" t="s">
        <v>1353</v>
      </c>
      <c r="F938" s="88" t="s">
        <v>1307</v>
      </c>
      <c r="G938" s="88" t="s">
        <v>749</v>
      </c>
      <c r="H938" s="88" t="s">
        <v>596</v>
      </c>
    </row>
    <row r="939" spans="1:8" x14ac:dyDescent="0.3">
      <c r="A939" s="88" t="s">
        <v>592</v>
      </c>
      <c r="B939" s="88">
        <v>138</v>
      </c>
      <c r="C939" s="88">
        <v>34</v>
      </c>
      <c r="D939" s="88" t="s">
        <v>225</v>
      </c>
      <c r="E939" s="88" t="s">
        <v>1354</v>
      </c>
      <c r="F939" s="88" t="s">
        <v>1308</v>
      </c>
      <c r="G939" s="88" t="s">
        <v>752</v>
      </c>
      <c r="H939" s="88" t="s">
        <v>596</v>
      </c>
    </row>
    <row r="940" spans="1:8" x14ac:dyDescent="0.3">
      <c r="A940" s="88" t="s">
        <v>592</v>
      </c>
      <c r="B940" s="88">
        <v>138</v>
      </c>
      <c r="C940" s="88">
        <v>35</v>
      </c>
      <c r="D940" s="88" t="s">
        <v>225</v>
      </c>
      <c r="E940" s="88" t="s">
        <v>1214</v>
      </c>
      <c r="F940" s="88" t="s">
        <v>1048</v>
      </c>
      <c r="G940" s="88" t="s">
        <v>755</v>
      </c>
      <c r="H940" s="88" t="s">
        <v>596</v>
      </c>
    </row>
    <row r="941" spans="1:8" x14ac:dyDescent="0.3">
      <c r="A941" s="88" t="s">
        <v>592</v>
      </c>
      <c r="B941" s="88">
        <v>138</v>
      </c>
      <c r="C941" s="88">
        <v>36</v>
      </c>
      <c r="D941" s="88" t="s">
        <v>225</v>
      </c>
      <c r="E941" s="88" t="s">
        <v>844</v>
      </c>
      <c r="F941" s="88" t="s">
        <v>1309</v>
      </c>
      <c r="G941" s="88" t="s">
        <v>758</v>
      </c>
      <c r="H941" s="88" t="s">
        <v>596</v>
      </c>
    </row>
    <row r="942" spans="1:8" ht="28.8" x14ac:dyDescent="0.3">
      <c r="A942" s="88" t="s">
        <v>592</v>
      </c>
      <c r="B942" s="88">
        <v>138</v>
      </c>
      <c r="C942" s="88">
        <v>39</v>
      </c>
      <c r="D942" s="88" t="s">
        <v>225</v>
      </c>
      <c r="E942" s="88" t="s">
        <v>1139</v>
      </c>
      <c r="F942" s="88" t="s">
        <v>1355</v>
      </c>
      <c r="G942" s="88" t="s">
        <v>719</v>
      </c>
      <c r="H942" s="88" t="s">
        <v>596</v>
      </c>
    </row>
    <row r="943" spans="1:8" x14ac:dyDescent="0.3">
      <c r="A943" s="88" t="s">
        <v>592</v>
      </c>
      <c r="B943" s="88">
        <v>139</v>
      </c>
      <c r="C943" s="88">
        <v>33</v>
      </c>
      <c r="D943" s="88" t="s">
        <v>226</v>
      </c>
      <c r="E943" s="88" t="s">
        <v>1093</v>
      </c>
      <c r="F943" s="88" t="s">
        <v>757</v>
      </c>
      <c r="G943" s="88" t="s">
        <v>749</v>
      </c>
      <c r="H943" s="88" t="s">
        <v>596</v>
      </c>
    </row>
    <row r="944" spans="1:8" x14ac:dyDescent="0.3">
      <c r="A944" s="88" t="s">
        <v>592</v>
      </c>
      <c r="B944" s="88">
        <v>139</v>
      </c>
      <c r="C944" s="88">
        <v>34</v>
      </c>
      <c r="D944" s="88" t="s">
        <v>226</v>
      </c>
      <c r="E944" s="88" t="s">
        <v>1356</v>
      </c>
      <c r="F944" s="88" t="s">
        <v>1313</v>
      </c>
      <c r="G944" s="88" t="s">
        <v>752</v>
      </c>
      <c r="H944" s="88" t="s">
        <v>596</v>
      </c>
    </row>
    <row r="945" spans="1:8" x14ac:dyDescent="0.3">
      <c r="A945" s="88" t="s">
        <v>592</v>
      </c>
      <c r="B945" s="88">
        <v>139</v>
      </c>
      <c r="C945" s="88">
        <v>35</v>
      </c>
      <c r="D945" s="88" t="s">
        <v>226</v>
      </c>
      <c r="E945" s="88" t="s">
        <v>998</v>
      </c>
      <c r="F945" s="88" t="s">
        <v>1054</v>
      </c>
      <c r="G945" s="88" t="s">
        <v>755</v>
      </c>
      <c r="H945" s="88" t="s">
        <v>596</v>
      </c>
    </row>
    <row r="946" spans="1:8" x14ac:dyDescent="0.3">
      <c r="A946" s="88" t="s">
        <v>592</v>
      </c>
      <c r="B946" s="88">
        <v>139</v>
      </c>
      <c r="C946" s="88">
        <v>36</v>
      </c>
      <c r="D946" s="88" t="s">
        <v>226</v>
      </c>
      <c r="E946" s="88" t="s">
        <v>763</v>
      </c>
      <c r="F946" s="88" t="s">
        <v>881</v>
      </c>
      <c r="G946" s="88" t="s">
        <v>758</v>
      </c>
      <c r="H946" s="88" t="s">
        <v>596</v>
      </c>
    </row>
    <row r="947" spans="1:8" ht="28.8" x14ac:dyDescent="0.3">
      <c r="A947" s="88" t="s">
        <v>592</v>
      </c>
      <c r="B947" s="88">
        <v>139</v>
      </c>
      <c r="C947" s="88">
        <v>39</v>
      </c>
      <c r="D947" s="88" t="s">
        <v>226</v>
      </c>
      <c r="E947" s="88" t="s">
        <v>1357</v>
      </c>
      <c r="F947" s="88" t="s">
        <v>1358</v>
      </c>
      <c r="G947" s="88" t="s">
        <v>719</v>
      </c>
      <c r="H947" s="88" t="s">
        <v>596</v>
      </c>
    </row>
    <row r="948" spans="1:8" x14ac:dyDescent="0.3">
      <c r="A948" s="88" t="s">
        <v>592</v>
      </c>
      <c r="B948" s="88">
        <v>140</v>
      </c>
      <c r="C948" s="88">
        <v>33</v>
      </c>
      <c r="D948" s="88" t="s">
        <v>227</v>
      </c>
      <c r="E948" s="88" t="s">
        <v>985</v>
      </c>
      <c r="F948" s="88" t="s">
        <v>1315</v>
      </c>
      <c r="G948" s="88" t="s">
        <v>749</v>
      </c>
      <c r="H948" s="88" t="s">
        <v>596</v>
      </c>
    </row>
    <row r="949" spans="1:8" x14ac:dyDescent="0.3">
      <c r="A949" s="88" t="s">
        <v>592</v>
      </c>
      <c r="B949" s="88">
        <v>140</v>
      </c>
      <c r="C949" s="88">
        <v>34</v>
      </c>
      <c r="D949" s="88" t="s">
        <v>227</v>
      </c>
      <c r="E949" s="88" t="s">
        <v>1359</v>
      </c>
      <c r="F949" s="88" t="s">
        <v>1316</v>
      </c>
      <c r="G949" s="88" t="s">
        <v>752</v>
      </c>
      <c r="H949" s="88" t="s">
        <v>596</v>
      </c>
    </row>
    <row r="950" spans="1:8" x14ac:dyDescent="0.3">
      <c r="A950" s="88" t="s">
        <v>592</v>
      </c>
      <c r="B950" s="88">
        <v>140</v>
      </c>
      <c r="C950" s="88">
        <v>35</v>
      </c>
      <c r="D950" s="88" t="s">
        <v>227</v>
      </c>
      <c r="E950" s="88" t="s">
        <v>904</v>
      </c>
      <c r="F950" s="88" t="s">
        <v>889</v>
      </c>
      <c r="G950" s="88" t="s">
        <v>755</v>
      </c>
      <c r="H950" s="88" t="s">
        <v>596</v>
      </c>
    </row>
    <row r="951" spans="1:8" x14ac:dyDescent="0.3">
      <c r="A951" s="88" t="s">
        <v>592</v>
      </c>
      <c r="B951" s="88">
        <v>140</v>
      </c>
      <c r="C951" s="88">
        <v>36</v>
      </c>
      <c r="D951" s="88" t="s">
        <v>227</v>
      </c>
      <c r="E951" s="88" t="s">
        <v>968</v>
      </c>
      <c r="F951" s="88" t="s">
        <v>651</v>
      </c>
      <c r="G951" s="88" t="s">
        <v>758</v>
      </c>
      <c r="H951" s="88" t="s">
        <v>596</v>
      </c>
    </row>
    <row r="952" spans="1:8" ht="28.8" x14ac:dyDescent="0.3">
      <c r="A952" s="88" t="s">
        <v>592</v>
      </c>
      <c r="B952" s="88">
        <v>140</v>
      </c>
      <c r="C952" s="88">
        <v>39</v>
      </c>
      <c r="D952" s="88" t="s">
        <v>227</v>
      </c>
      <c r="E952" s="88" t="s">
        <v>1145</v>
      </c>
      <c r="F952" s="88" t="s">
        <v>1360</v>
      </c>
      <c r="G952" s="88" t="s">
        <v>719</v>
      </c>
      <c r="H952" s="88" t="s">
        <v>596</v>
      </c>
    </row>
    <row r="953" spans="1:8" ht="28.8" x14ac:dyDescent="0.3">
      <c r="A953" s="88" t="s">
        <v>592</v>
      </c>
      <c r="B953" s="88">
        <v>140</v>
      </c>
      <c r="C953" s="88">
        <v>40</v>
      </c>
      <c r="D953" s="88" t="s">
        <v>227</v>
      </c>
      <c r="E953" s="88" t="s">
        <v>1361</v>
      </c>
      <c r="F953" s="88" t="s">
        <v>1362</v>
      </c>
      <c r="G953" s="88" t="s">
        <v>724</v>
      </c>
      <c r="H953" s="88" t="s">
        <v>596</v>
      </c>
    </row>
    <row r="954" spans="1:8" x14ac:dyDescent="0.3">
      <c r="A954" s="88" t="s">
        <v>592</v>
      </c>
      <c r="B954" s="88">
        <v>141</v>
      </c>
      <c r="C954" s="88">
        <v>33</v>
      </c>
      <c r="D954" s="88" t="s">
        <v>228</v>
      </c>
      <c r="E954" s="88" t="s">
        <v>1036</v>
      </c>
      <c r="F954" s="88" t="s">
        <v>848</v>
      </c>
      <c r="G954" s="88" t="s">
        <v>749</v>
      </c>
      <c r="H954" s="88" t="s">
        <v>596</v>
      </c>
    </row>
    <row r="955" spans="1:8" x14ac:dyDescent="0.3">
      <c r="A955" s="88" t="s">
        <v>592</v>
      </c>
      <c r="B955" s="88">
        <v>141</v>
      </c>
      <c r="C955" s="88">
        <v>34</v>
      </c>
      <c r="D955" s="88" t="s">
        <v>228</v>
      </c>
      <c r="E955" s="88" t="s">
        <v>1023</v>
      </c>
      <c r="F955" s="88" t="s">
        <v>1319</v>
      </c>
      <c r="G955" s="88" t="s">
        <v>752</v>
      </c>
      <c r="H955" s="88" t="s">
        <v>596</v>
      </c>
    </row>
    <row r="956" spans="1:8" x14ac:dyDescent="0.3">
      <c r="A956" s="88" t="s">
        <v>592</v>
      </c>
      <c r="B956" s="88">
        <v>141</v>
      </c>
      <c r="C956" s="88">
        <v>35</v>
      </c>
      <c r="D956" s="88" t="s">
        <v>228</v>
      </c>
      <c r="E956" s="88" t="s">
        <v>1071</v>
      </c>
      <c r="F956" s="88" t="s">
        <v>835</v>
      </c>
      <c r="G956" s="88" t="s">
        <v>755</v>
      </c>
      <c r="H956" s="88" t="s">
        <v>596</v>
      </c>
    </row>
    <row r="957" spans="1:8" x14ac:dyDescent="0.3">
      <c r="A957" s="88" t="s">
        <v>592</v>
      </c>
      <c r="B957" s="88">
        <v>141</v>
      </c>
      <c r="C957" s="88">
        <v>36</v>
      </c>
      <c r="D957" s="88" t="s">
        <v>228</v>
      </c>
      <c r="E957" s="88" t="s">
        <v>1025</v>
      </c>
      <c r="F957" s="88" t="s">
        <v>1200</v>
      </c>
      <c r="G957" s="88" t="s">
        <v>758</v>
      </c>
      <c r="H957" s="88" t="s">
        <v>596</v>
      </c>
    </row>
    <row r="958" spans="1:8" ht="28.8" x14ac:dyDescent="0.3">
      <c r="A958" s="88" t="s">
        <v>592</v>
      </c>
      <c r="B958" s="88">
        <v>141</v>
      </c>
      <c r="C958" s="88">
        <v>39</v>
      </c>
      <c r="D958" s="88" t="s">
        <v>228</v>
      </c>
      <c r="E958" s="88" t="s">
        <v>910</v>
      </c>
      <c r="F958" s="88" t="s">
        <v>969</v>
      </c>
      <c r="G958" s="88" t="s">
        <v>719</v>
      </c>
      <c r="H958" s="88" t="s">
        <v>596</v>
      </c>
    </row>
    <row r="959" spans="1:8" x14ac:dyDescent="0.3">
      <c r="A959" s="88" t="s">
        <v>592</v>
      </c>
      <c r="B959" s="88">
        <v>142</v>
      </c>
      <c r="C959" s="88">
        <v>33</v>
      </c>
      <c r="D959" s="88" t="s">
        <v>229</v>
      </c>
      <c r="E959" s="88" t="s">
        <v>750</v>
      </c>
      <c r="F959" s="88" t="s">
        <v>923</v>
      </c>
      <c r="G959" s="88" t="s">
        <v>749</v>
      </c>
      <c r="H959" s="88" t="s">
        <v>596</v>
      </c>
    </row>
    <row r="960" spans="1:8" x14ac:dyDescent="0.3">
      <c r="A960" s="88" t="s">
        <v>592</v>
      </c>
      <c r="B960" s="88">
        <v>142</v>
      </c>
      <c r="C960" s="88">
        <v>34</v>
      </c>
      <c r="D960" s="88" t="s">
        <v>229</v>
      </c>
      <c r="E960" s="88" t="s">
        <v>820</v>
      </c>
      <c r="F960" s="88" t="s">
        <v>751</v>
      </c>
      <c r="G960" s="88" t="s">
        <v>752</v>
      </c>
      <c r="H960" s="88" t="s">
        <v>596</v>
      </c>
    </row>
    <row r="961" spans="1:8" x14ac:dyDescent="0.3">
      <c r="A961" s="88" t="s">
        <v>592</v>
      </c>
      <c r="B961" s="88">
        <v>142</v>
      </c>
      <c r="C961" s="88">
        <v>35</v>
      </c>
      <c r="D961" s="88" t="s">
        <v>229</v>
      </c>
      <c r="E961" s="88" t="s">
        <v>1241</v>
      </c>
      <c r="F961" s="88" t="s">
        <v>771</v>
      </c>
      <c r="G961" s="88" t="s">
        <v>755</v>
      </c>
      <c r="H961" s="88" t="s">
        <v>596</v>
      </c>
    </row>
    <row r="962" spans="1:8" x14ac:dyDescent="0.3">
      <c r="A962" s="88" t="s">
        <v>592</v>
      </c>
      <c r="B962" s="88">
        <v>142</v>
      </c>
      <c r="C962" s="88">
        <v>36</v>
      </c>
      <c r="D962" s="88" t="s">
        <v>229</v>
      </c>
      <c r="E962" s="88" t="s">
        <v>1042</v>
      </c>
      <c r="F962" s="88" t="s">
        <v>1000</v>
      </c>
      <c r="G962" s="88" t="s">
        <v>758</v>
      </c>
      <c r="H962" s="88" t="s">
        <v>596</v>
      </c>
    </row>
    <row r="963" spans="1:8" ht="28.8" x14ac:dyDescent="0.3">
      <c r="A963" s="88" t="s">
        <v>592</v>
      </c>
      <c r="B963" s="88">
        <v>142</v>
      </c>
      <c r="C963" s="88">
        <v>39</v>
      </c>
      <c r="D963" s="88" t="s">
        <v>229</v>
      </c>
      <c r="E963" s="88" t="s">
        <v>1325</v>
      </c>
      <c r="F963" s="88" t="s">
        <v>1363</v>
      </c>
      <c r="G963" s="88" t="s">
        <v>719</v>
      </c>
      <c r="H963" s="88" t="s">
        <v>596</v>
      </c>
    </row>
    <row r="964" spans="1:8" ht="28.8" x14ac:dyDescent="0.3">
      <c r="A964" s="88" t="s">
        <v>592</v>
      </c>
      <c r="B964" s="88">
        <v>142</v>
      </c>
      <c r="C964" s="88">
        <v>40</v>
      </c>
      <c r="D964" s="88" t="s">
        <v>229</v>
      </c>
      <c r="E964" s="88" t="s">
        <v>1364</v>
      </c>
      <c r="F964" s="88" t="s">
        <v>1365</v>
      </c>
      <c r="G964" s="88" t="s">
        <v>724</v>
      </c>
      <c r="H964" s="88" t="s">
        <v>596</v>
      </c>
    </row>
    <row r="965" spans="1:8" x14ac:dyDescent="0.3">
      <c r="A965" s="88" t="s">
        <v>592</v>
      </c>
      <c r="B965" s="88">
        <v>143</v>
      </c>
      <c r="C965" s="88">
        <v>33</v>
      </c>
      <c r="D965" s="88" t="s">
        <v>230</v>
      </c>
      <c r="E965" s="88" t="s">
        <v>1036</v>
      </c>
      <c r="F965" s="88" t="s">
        <v>866</v>
      </c>
      <c r="G965" s="88" t="s">
        <v>749</v>
      </c>
      <c r="H965" s="88" t="s">
        <v>596</v>
      </c>
    </row>
    <row r="966" spans="1:8" x14ac:dyDescent="0.3">
      <c r="A966" s="88" t="s">
        <v>592</v>
      </c>
      <c r="B966" s="88">
        <v>143</v>
      </c>
      <c r="C966" s="88">
        <v>34</v>
      </c>
      <c r="D966" s="88" t="s">
        <v>230</v>
      </c>
      <c r="E966" s="88" t="s">
        <v>1366</v>
      </c>
      <c r="F966" s="88" t="s">
        <v>1323</v>
      </c>
      <c r="G966" s="88" t="s">
        <v>752</v>
      </c>
      <c r="H966" s="88" t="s">
        <v>596</v>
      </c>
    </row>
    <row r="967" spans="1:8" x14ac:dyDescent="0.3">
      <c r="A967" s="88" t="s">
        <v>592</v>
      </c>
      <c r="B967" s="88">
        <v>143</v>
      </c>
      <c r="C967" s="88">
        <v>35</v>
      </c>
      <c r="D967" s="88" t="s">
        <v>230</v>
      </c>
      <c r="E967" s="88" t="s">
        <v>886</v>
      </c>
      <c r="F967" s="88" t="s">
        <v>960</v>
      </c>
      <c r="G967" s="88" t="s">
        <v>755</v>
      </c>
      <c r="H967" s="88" t="s">
        <v>596</v>
      </c>
    </row>
    <row r="968" spans="1:8" x14ac:dyDescent="0.3">
      <c r="A968" s="88" t="s">
        <v>592</v>
      </c>
      <c r="B968" s="88">
        <v>143</v>
      </c>
      <c r="C968" s="88">
        <v>36</v>
      </c>
      <c r="D968" s="88" t="s">
        <v>230</v>
      </c>
      <c r="E968" s="88" t="s">
        <v>1180</v>
      </c>
      <c r="F968" s="88" t="s">
        <v>1324</v>
      </c>
      <c r="G968" s="88" t="s">
        <v>758</v>
      </c>
      <c r="H968" s="88" t="s">
        <v>596</v>
      </c>
    </row>
    <row r="969" spans="1:8" ht="28.8" x14ac:dyDescent="0.3">
      <c r="A969" s="88" t="s">
        <v>592</v>
      </c>
      <c r="B969" s="88">
        <v>143</v>
      </c>
      <c r="C969" s="88">
        <v>39</v>
      </c>
      <c r="D969" s="88" t="s">
        <v>230</v>
      </c>
      <c r="E969" s="88" t="s">
        <v>1367</v>
      </c>
      <c r="F969" s="88" t="s">
        <v>1368</v>
      </c>
      <c r="G969" s="88" t="s">
        <v>719</v>
      </c>
      <c r="H969" s="88" t="s">
        <v>596</v>
      </c>
    </row>
    <row r="970" spans="1:8" x14ac:dyDescent="0.3">
      <c r="A970" s="88" t="s">
        <v>592</v>
      </c>
      <c r="B970" s="88">
        <v>144</v>
      </c>
      <c r="C970" s="88">
        <v>33</v>
      </c>
      <c r="D970" s="88" t="s">
        <v>231</v>
      </c>
      <c r="E970" s="88" t="s">
        <v>1309</v>
      </c>
      <c r="F970" s="88" t="s">
        <v>1231</v>
      </c>
      <c r="G970" s="88" t="s">
        <v>749</v>
      </c>
      <c r="H970" s="88" t="s">
        <v>596</v>
      </c>
    </row>
    <row r="971" spans="1:8" x14ac:dyDescent="0.3">
      <c r="A971" s="88" t="s">
        <v>592</v>
      </c>
      <c r="B971" s="88">
        <v>144</v>
      </c>
      <c r="C971" s="88">
        <v>34</v>
      </c>
      <c r="D971" s="88" t="s">
        <v>231</v>
      </c>
      <c r="E971" s="88" t="s">
        <v>1205</v>
      </c>
      <c r="F971" s="88" t="s">
        <v>1024</v>
      </c>
      <c r="G971" s="88" t="s">
        <v>752</v>
      </c>
      <c r="H971" s="88" t="s">
        <v>596</v>
      </c>
    </row>
    <row r="972" spans="1:8" x14ac:dyDescent="0.3">
      <c r="A972" s="88" t="s">
        <v>592</v>
      </c>
      <c r="B972" s="88">
        <v>144</v>
      </c>
      <c r="C972" s="88">
        <v>35</v>
      </c>
      <c r="D972" s="88" t="s">
        <v>231</v>
      </c>
      <c r="E972" s="88" t="s">
        <v>1369</v>
      </c>
      <c r="F972" s="88" t="s">
        <v>866</v>
      </c>
      <c r="G972" s="88" t="s">
        <v>755</v>
      </c>
      <c r="H972" s="88" t="s">
        <v>596</v>
      </c>
    </row>
    <row r="973" spans="1:8" x14ac:dyDescent="0.3">
      <c r="A973" s="88" t="s">
        <v>592</v>
      </c>
      <c r="B973" s="88">
        <v>144</v>
      </c>
      <c r="C973" s="88">
        <v>36</v>
      </c>
      <c r="D973" s="88" t="s">
        <v>231</v>
      </c>
      <c r="E973" s="88" t="s">
        <v>1370</v>
      </c>
      <c r="F973" s="88" t="s">
        <v>1327</v>
      </c>
      <c r="G973" s="88" t="s">
        <v>758</v>
      </c>
      <c r="H973" s="88" t="s">
        <v>596</v>
      </c>
    </row>
    <row r="974" spans="1:8" ht="28.8" x14ac:dyDescent="0.3">
      <c r="A974" s="88" t="s">
        <v>592</v>
      </c>
      <c r="B974" s="88">
        <v>144</v>
      </c>
      <c r="C974" s="88">
        <v>39</v>
      </c>
      <c r="D974" s="88" t="s">
        <v>231</v>
      </c>
      <c r="E974" s="88" t="s">
        <v>734</v>
      </c>
      <c r="F974" s="88"/>
      <c r="G974" s="88" t="s">
        <v>719</v>
      </c>
      <c r="H974" s="88" t="s">
        <v>596</v>
      </c>
    </row>
    <row r="975" spans="1:8" x14ac:dyDescent="0.3">
      <c r="A975" s="88" t="s">
        <v>592</v>
      </c>
      <c r="B975" s="88">
        <v>145</v>
      </c>
      <c r="C975" s="88">
        <v>33</v>
      </c>
      <c r="D975" s="88" t="s">
        <v>232</v>
      </c>
      <c r="E975" s="88" t="s">
        <v>1098</v>
      </c>
      <c r="F975" s="88" t="s">
        <v>826</v>
      </c>
      <c r="G975" s="88" t="s">
        <v>749</v>
      </c>
      <c r="H975" s="88" t="s">
        <v>596</v>
      </c>
    </row>
    <row r="976" spans="1:8" x14ac:dyDescent="0.3">
      <c r="A976" s="88" t="s">
        <v>592</v>
      </c>
      <c r="B976" s="88">
        <v>145</v>
      </c>
      <c r="C976" s="88">
        <v>34</v>
      </c>
      <c r="D976" s="88" t="s">
        <v>232</v>
      </c>
      <c r="E976" s="88" t="s">
        <v>1371</v>
      </c>
      <c r="F976" s="88" t="s">
        <v>1231</v>
      </c>
      <c r="G976" s="88" t="s">
        <v>752</v>
      </c>
      <c r="H976" s="88" t="s">
        <v>596</v>
      </c>
    </row>
    <row r="977" spans="1:8" x14ac:dyDescent="0.3">
      <c r="A977" s="88" t="s">
        <v>592</v>
      </c>
      <c r="B977" s="88">
        <v>145</v>
      </c>
      <c r="C977" s="88">
        <v>35</v>
      </c>
      <c r="D977" s="88" t="s">
        <v>232</v>
      </c>
      <c r="E977" s="88" t="s">
        <v>1036</v>
      </c>
      <c r="F977" s="88" t="s">
        <v>1123</v>
      </c>
      <c r="G977" s="88" t="s">
        <v>755</v>
      </c>
      <c r="H977" s="88" t="s">
        <v>596</v>
      </c>
    </row>
    <row r="978" spans="1:8" x14ac:dyDescent="0.3">
      <c r="A978" s="88" t="s">
        <v>592</v>
      </c>
      <c r="B978" s="88">
        <v>145</v>
      </c>
      <c r="C978" s="88">
        <v>36</v>
      </c>
      <c r="D978" s="88" t="s">
        <v>232</v>
      </c>
      <c r="E978" s="88" t="s">
        <v>1251</v>
      </c>
      <c r="F978" s="88" t="s">
        <v>860</v>
      </c>
      <c r="G978" s="88" t="s">
        <v>758</v>
      </c>
      <c r="H978" s="88" t="s">
        <v>596</v>
      </c>
    </row>
    <row r="979" spans="1:8" ht="28.8" x14ac:dyDescent="0.3">
      <c r="A979" s="88" t="s">
        <v>592</v>
      </c>
      <c r="B979" s="88">
        <v>145</v>
      </c>
      <c r="C979" s="88">
        <v>39</v>
      </c>
      <c r="D979" s="88" t="s">
        <v>232</v>
      </c>
      <c r="E979" s="88" t="s">
        <v>973</v>
      </c>
      <c r="F979" s="88" t="s">
        <v>1372</v>
      </c>
      <c r="G979" s="88" t="s">
        <v>719</v>
      </c>
      <c r="H979" s="88" t="s">
        <v>596</v>
      </c>
    </row>
    <row r="980" spans="1:8" ht="28.8" x14ac:dyDescent="0.3">
      <c r="A980" s="88" t="s">
        <v>592</v>
      </c>
      <c r="B980" s="88">
        <v>145</v>
      </c>
      <c r="C980" s="88">
        <v>40</v>
      </c>
      <c r="D980" s="88" t="s">
        <v>232</v>
      </c>
      <c r="E980" s="88" t="s">
        <v>1373</v>
      </c>
      <c r="F980" s="88" t="s">
        <v>1374</v>
      </c>
      <c r="G980" s="88" t="s">
        <v>724</v>
      </c>
      <c r="H980" s="88" t="s">
        <v>596</v>
      </c>
    </row>
    <row r="981" spans="1:8" x14ac:dyDescent="0.3">
      <c r="A981" s="88" t="s">
        <v>592</v>
      </c>
      <c r="B981" s="88">
        <v>146</v>
      </c>
      <c r="C981" s="88">
        <v>33</v>
      </c>
      <c r="D981" s="88" t="s">
        <v>233</v>
      </c>
      <c r="E981" s="88" t="s">
        <v>926</v>
      </c>
      <c r="F981" s="88" t="s">
        <v>747</v>
      </c>
      <c r="G981" s="88" t="s">
        <v>749</v>
      </c>
      <c r="H981" s="88" t="s">
        <v>596</v>
      </c>
    </row>
    <row r="982" spans="1:8" x14ac:dyDescent="0.3">
      <c r="A982" s="88" t="s">
        <v>592</v>
      </c>
      <c r="B982" s="88">
        <v>146</v>
      </c>
      <c r="C982" s="88">
        <v>34</v>
      </c>
      <c r="D982" s="88" t="s">
        <v>233</v>
      </c>
      <c r="E982" s="88" t="s">
        <v>1245</v>
      </c>
      <c r="F982" s="88" t="s">
        <v>917</v>
      </c>
      <c r="G982" s="88" t="s">
        <v>752</v>
      </c>
      <c r="H982" s="88" t="s">
        <v>596</v>
      </c>
    </row>
    <row r="983" spans="1:8" x14ac:dyDescent="0.3">
      <c r="A983" s="88" t="s">
        <v>592</v>
      </c>
      <c r="B983" s="88">
        <v>146</v>
      </c>
      <c r="C983" s="88">
        <v>35</v>
      </c>
      <c r="D983" s="88" t="s">
        <v>233</v>
      </c>
      <c r="E983" s="88" t="s">
        <v>860</v>
      </c>
      <c r="F983" s="88" t="s">
        <v>641</v>
      </c>
      <c r="G983" s="88" t="s">
        <v>755</v>
      </c>
      <c r="H983" s="88" t="s">
        <v>596</v>
      </c>
    </row>
    <row r="984" spans="1:8" x14ac:dyDescent="0.3">
      <c r="A984" s="88" t="s">
        <v>592</v>
      </c>
      <c r="B984" s="88">
        <v>146</v>
      </c>
      <c r="C984" s="88">
        <v>36</v>
      </c>
      <c r="D984" s="88" t="s">
        <v>233</v>
      </c>
      <c r="E984" s="88" t="s">
        <v>1375</v>
      </c>
      <c r="F984" s="88" t="s">
        <v>1302</v>
      </c>
      <c r="G984" s="88" t="s">
        <v>758</v>
      </c>
      <c r="H984" s="88" t="s">
        <v>596</v>
      </c>
    </row>
    <row r="985" spans="1:8" ht="28.8" x14ac:dyDescent="0.3">
      <c r="A985" s="88" t="s">
        <v>592</v>
      </c>
      <c r="B985" s="88">
        <v>146</v>
      </c>
      <c r="C985" s="88">
        <v>39</v>
      </c>
      <c r="D985" s="88" t="s">
        <v>233</v>
      </c>
      <c r="E985" s="88" t="s">
        <v>1376</v>
      </c>
      <c r="F985" s="88" t="s">
        <v>1377</v>
      </c>
      <c r="G985" s="88" t="s">
        <v>719</v>
      </c>
      <c r="H985" s="88" t="s">
        <v>596</v>
      </c>
    </row>
    <row r="986" spans="1:8" ht="28.8" x14ac:dyDescent="0.3">
      <c r="A986" s="88" t="s">
        <v>592</v>
      </c>
      <c r="B986" s="88">
        <v>146</v>
      </c>
      <c r="C986" s="88">
        <v>40</v>
      </c>
      <c r="D986" s="88" t="s">
        <v>233</v>
      </c>
      <c r="E986" s="88" t="s">
        <v>1378</v>
      </c>
      <c r="F986" s="88" t="s">
        <v>1379</v>
      </c>
      <c r="G986" s="88" t="s">
        <v>724</v>
      </c>
      <c r="H986" s="88" t="s">
        <v>596</v>
      </c>
    </row>
    <row r="987" spans="1:8" x14ac:dyDescent="0.3">
      <c r="A987" s="88" t="s">
        <v>592</v>
      </c>
      <c r="B987" s="88">
        <v>147</v>
      </c>
      <c r="C987" s="88">
        <v>33</v>
      </c>
      <c r="D987" s="88" t="s">
        <v>234</v>
      </c>
      <c r="E987" s="88" t="s">
        <v>1053</v>
      </c>
      <c r="F987" s="88" t="s">
        <v>1054</v>
      </c>
      <c r="G987" s="88" t="s">
        <v>749</v>
      </c>
      <c r="H987" s="88" t="s">
        <v>596</v>
      </c>
    </row>
    <row r="988" spans="1:8" x14ac:dyDescent="0.3">
      <c r="A988" s="88" t="s">
        <v>592</v>
      </c>
      <c r="B988" s="88">
        <v>147</v>
      </c>
      <c r="C988" s="88">
        <v>34</v>
      </c>
      <c r="D988" s="88" t="s">
        <v>234</v>
      </c>
      <c r="E988" s="88" t="s">
        <v>1380</v>
      </c>
      <c r="F988" s="88" t="s">
        <v>1336</v>
      </c>
      <c r="G988" s="88" t="s">
        <v>752</v>
      </c>
      <c r="H988" s="88" t="s">
        <v>596</v>
      </c>
    </row>
    <row r="989" spans="1:8" x14ac:dyDescent="0.3">
      <c r="A989" s="88" t="s">
        <v>592</v>
      </c>
      <c r="B989" s="88">
        <v>147</v>
      </c>
      <c r="C989" s="88">
        <v>35</v>
      </c>
      <c r="D989" s="88" t="s">
        <v>234</v>
      </c>
      <c r="E989" s="88" t="s">
        <v>886</v>
      </c>
      <c r="F989" s="88" t="s">
        <v>1337</v>
      </c>
      <c r="G989" s="88" t="s">
        <v>755</v>
      </c>
      <c r="H989" s="88" t="s">
        <v>596</v>
      </c>
    </row>
    <row r="990" spans="1:8" x14ac:dyDescent="0.3">
      <c r="A990" s="88" t="s">
        <v>592</v>
      </c>
      <c r="B990" s="88">
        <v>147</v>
      </c>
      <c r="C990" s="88">
        <v>36</v>
      </c>
      <c r="D990" s="88" t="s">
        <v>234</v>
      </c>
      <c r="E990" s="88" t="s">
        <v>816</v>
      </c>
      <c r="F990" s="88" t="s">
        <v>1338</v>
      </c>
      <c r="G990" s="88" t="s">
        <v>758</v>
      </c>
      <c r="H990" s="88" t="s">
        <v>596</v>
      </c>
    </row>
    <row r="991" spans="1:8" ht="28.8" x14ac:dyDescent="0.3">
      <c r="A991" s="88" t="s">
        <v>592</v>
      </c>
      <c r="B991" s="88">
        <v>147</v>
      </c>
      <c r="C991" s="88">
        <v>39</v>
      </c>
      <c r="D991" s="88" t="s">
        <v>234</v>
      </c>
      <c r="E991" s="88" t="s">
        <v>1381</v>
      </c>
      <c r="F991" s="88" t="s">
        <v>1382</v>
      </c>
      <c r="G991" s="88" t="s">
        <v>719</v>
      </c>
      <c r="H991" s="88" t="s">
        <v>596</v>
      </c>
    </row>
    <row r="992" spans="1:8" ht="28.8" x14ac:dyDescent="0.3">
      <c r="A992" s="88" t="s">
        <v>592</v>
      </c>
      <c r="B992" s="88">
        <v>147</v>
      </c>
      <c r="C992" s="88">
        <v>40</v>
      </c>
      <c r="D992" s="88" t="s">
        <v>234</v>
      </c>
      <c r="E992" s="88" t="s">
        <v>1383</v>
      </c>
      <c r="F992" s="88" t="s">
        <v>1384</v>
      </c>
      <c r="G992" s="88" t="s">
        <v>724</v>
      </c>
      <c r="H992" s="88" t="s">
        <v>596</v>
      </c>
    </row>
    <row r="993" spans="1:8" x14ac:dyDescent="0.3">
      <c r="A993" s="88" t="s">
        <v>592</v>
      </c>
      <c r="B993" s="88">
        <v>148</v>
      </c>
      <c r="C993" s="88">
        <v>33</v>
      </c>
      <c r="D993" s="88" t="s">
        <v>235</v>
      </c>
      <c r="E993" s="88" t="s">
        <v>985</v>
      </c>
      <c r="F993" s="88" t="s">
        <v>804</v>
      </c>
      <c r="G993" s="88" t="s">
        <v>749</v>
      </c>
      <c r="H993" s="88" t="s">
        <v>596</v>
      </c>
    </row>
    <row r="994" spans="1:8" x14ac:dyDescent="0.3">
      <c r="A994" s="88" t="s">
        <v>592</v>
      </c>
      <c r="B994" s="88">
        <v>148</v>
      </c>
      <c r="C994" s="88">
        <v>34</v>
      </c>
      <c r="D994" s="88" t="s">
        <v>235</v>
      </c>
      <c r="E994" s="88" t="s">
        <v>1099</v>
      </c>
      <c r="F994" s="88" t="s">
        <v>1341</v>
      </c>
      <c r="G994" s="88" t="s">
        <v>752</v>
      </c>
      <c r="H994" s="88" t="s">
        <v>596</v>
      </c>
    </row>
    <row r="995" spans="1:8" x14ac:dyDescent="0.3">
      <c r="A995" s="88" t="s">
        <v>592</v>
      </c>
      <c r="B995" s="88">
        <v>148</v>
      </c>
      <c r="C995" s="88">
        <v>35</v>
      </c>
      <c r="D995" s="88" t="s">
        <v>235</v>
      </c>
      <c r="E995" s="88" t="s">
        <v>855</v>
      </c>
      <c r="F995" s="88" t="s">
        <v>843</v>
      </c>
      <c r="G995" s="88" t="s">
        <v>755</v>
      </c>
      <c r="H995" s="88" t="s">
        <v>596</v>
      </c>
    </row>
    <row r="996" spans="1:8" x14ac:dyDescent="0.3">
      <c r="A996" s="88" t="s">
        <v>592</v>
      </c>
      <c r="B996" s="88">
        <v>148</v>
      </c>
      <c r="C996" s="88">
        <v>36</v>
      </c>
      <c r="D996" s="88" t="s">
        <v>235</v>
      </c>
      <c r="E996" s="88" t="s">
        <v>1089</v>
      </c>
      <c r="F996" s="88" t="s">
        <v>904</v>
      </c>
      <c r="G996" s="88" t="s">
        <v>758</v>
      </c>
      <c r="H996" s="88" t="s">
        <v>596</v>
      </c>
    </row>
    <row r="997" spans="1:8" ht="28.8" x14ac:dyDescent="0.3">
      <c r="A997" s="88" t="s">
        <v>592</v>
      </c>
      <c r="B997" s="88">
        <v>148</v>
      </c>
      <c r="C997" s="88">
        <v>39</v>
      </c>
      <c r="D997" s="88" t="s">
        <v>235</v>
      </c>
      <c r="E997" s="88" t="s">
        <v>734</v>
      </c>
      <c r="F997" s="88"/>
      <c r="G997" s="88" t="s">
        <v>719</v>
      </c>
      <c r="H997" s="88" t="s">
        <v>596</v>
      </c>
    </row>
    <row r="998" spans="1:8" ht="28.8" x14ac:dyDescent="0.3">
      <c r="A998" s="88" t="s">
        <v>592</v>
      </c>
      <c r="B998" s="88">
        <v>148</v>
      </c>
      <c r="C998" s="88">
        <v>40</v>
      </c>
      <c r="D998" s="88" t="s">
        <v>235</v>
      </c>
      <c r="E998" s="88" t="s">
        <v>1385</v>
      </c>
      <c r="F998" s="88" t="s">
        <v>1386</v>
      </c>
      <c r="G998" s="88" t="s">
        <v>724</v>
      </c>
      <c r="H998" s="88" t="s">
        <v>596</v>
      </c>
    </row>
    <row r="999" spans="1:8" x14ac:dyDescent="0.3">
      <c r="A999" s="88" t="s">
        <v>592</v>
      </c>
      <c r="B999" s="88">
        <v>149</v>
      </c>
      <c r="C999" s="88">
        <v>33</v>
      </c>
      <c r="D999" s="88" t="s">
        <v>529</v>
      </c>
      <c r="E999" s="88" t="s">
        <v>1214</v>
      </c>
      <c r="F999" s="88" t="s">
        <v>980</v>
      </c>
      <c r="G999" s="88" t="s">
        <v>749</v>
      </c>
      <c r="H999" s="88" t="s">
        <v>596</v>
      </c>
    </row>
    <row r="1000" spans="1:8" x14ac:dyDescent="0.3">
      <c r="A1000" s="88" t="s">
        <v>592</v>
      </c>
      <c r="B1000" s="88">
        <v>149</v>
      </c>
      <c r="C1000" s="88">
        <v>34</v>
      </c>
      <c r="D1000" s="88" t="s">
        <v>529</v>
      </c>
      <c r="E1000" s="88" t="s">
        <v>814</v>
      </c>
      <c r="F1000" s="88" t="s">
        <v>1343</v>
      </c>
      <c r="G1000" s="88" t="s">
        <v>752</v>
      </c>
      <c r="H1000" s="88" t="s">
        <v>596</v>
      </c>
    </row>
    <row r="1001" spans="1:8" x14ac:dyDescent="0.3">
      <c r="A1001" s="88" t="s">
        <v>592</v>
      </c>
      <c r="B1001" s="88">
        <v>149</v>
      </c>
      <c r="C1001" s="88">
        <v>35</v>
      </c>
      <c r="D1001" s="88" t="s">
        <v>529</v>
      </c>
      <c r="E1001" s="88" t="s">
        <v>651</v>
      </c>
      <c r="F1001" s="88" t="s">
        <v>1071</v>
      </c>
      <c r="G1001" s="88" t="s">
        <v>755</v>
      </c>
      <c r="H1001" s="88" t="s">
        <v>596</v>
      </c>
    </row>
    <row r="1002" spans="1:8" x14ac:dyDescent="0.3">
      <c r="A1002" s="88" t="s">
        <v>592</v>
      </c>
      <c r="B1002" s="88">
        <v>149</v>
      </c>
      <c r="C1002" s="88">
        <v>36</v>
      </c>
      <c r="D1002" s="88" t="s">
        <v>529</v>
      </c>
      <c r="E1002" s="88" t="s">
        <v>1071</v>
      </c>
      <c r="F1002" s="88" t="s">
        <v>1269</v>
      </c>
      <c r="G1002" s="88" t="s">
        <v>758</v>
      </c>
      <c r="H1002" s="88" t="s">
        <v>596</v>
      </c>
    </row>
    <row r="1003" spans="1:8" ht="28.8" x14ac:dyDescent="0.3">
      <c r="A1003" s="88" t="s">
        <v>592</v>
      </c>
      <c r="B1003" s="88">
        <v>149</v>
      </c>
      <c r="C1003" s="88">
        <v>39</v>
      </c>
      <c r="D1003" s="88" t="s">
        <v>529</v>
      </c>
      <c r="E1003" s="88" t="s">
        <v>1387</v>
      </c>
      <c r="F1003" s="88" t="s">
        <v>1388</v>
      </c>
      <c r="G1003" s="88" t="s">
        <v>719</v>
      </c>
      <c r="H1003" s="88" t="s">
        <v>596</v>
      </c>
    </row>
    <row r="1004" spans="1:8" ht="28.8" x14ac:dyDescent="0.3">
      <c r="A1004" s="88" t="s">
        <v>592</v>
      </c>
      <c r="B1004" s="88">
        <v>149</v>
      </c>
      <c r="C1004" s="88">
        <v>40</v>
      </c>
      <c r="D1004" s="88" t="s">
        <v>529</v>
      </c>
      <c r="E1004" s="88" t="s">
        <v>1389</v>
      </c>
      <c r="F1004" s="88" t="s">
        <v>1390</v>
      </c>
      <c r="G1004" s="88" t="s">
        <v>724</v>
      </c>
      <c r="H1004" s="88" t="s">
        <v>596</v>
      </c>
    </row>
    <row r="1005" spans="1:8" x14ac:dyDescent="0.3">
      <c r="A1005" s="88" t="s">
        <v>592</v>
      </c>
      <c r="B1005" s="88">
        <v>150</v>
      </c>
      <c r="C1005" s="88">
        <v>33</v>
      </c>
      <c r="D1005" s="88" t="s">
        <v>531</v>
      </c>
      <c r="E1005" s="88" t="s">
        <v>1204</v>
      </c>
      <c r="F1005" s="88" t="s">
        <v>1165</v>
      </c>
      <c r="G1005" s="88" t="s">
        <v>749</v>
      </c>
      <c r="H1005" s="88" t="s">
        <v>596</v>
      </c>
    </row>
    <row r="1006" spans="1:8" x14ac:dyDescent="0.3">
      <c r="A1006" s="88" t="s">
        <v>592</v>
      </c>
      <c r="B1006" s="88">
        <v>150</v>
      </c>
      <c r="C1006" s="88">
        <v>34</v>
      </c>
      <c r="D1006" s="88" t="s">
        <v>531</v>
      </c>
      <c r="E1006" s="88" t="s">
        <v>1391</v>
      </c>
      <c r="F1006" s="88" t="s">
        <v>1348</v>
      </c>
      <c r="G1006" s="88" t="s">
        <v>752</v>
      </c>
      <c r="H1006" s="88" t="s">
        <v>596</v>
      </c>
    </row>
    <row r="1007" spans="1:8" x14ac:dyDescent="0.3">
      <c r="A1007" s="88" t="s">
        <v>592</v>
      </c>
      <c r="B1007" s="88">
        <v>150</v>
      </c>
      <c r="C1007" s="88">
        <v>35</v>
      </c>
      <c r="D1007" s="88" t="s">
        <v>531</v>
      </c>
      <c r="E1007" s="88" t="s">
        <v>927</v>
      </c>
      <c r="F1007" s="88" t="s">
        <v>831</v>
      </c>
      <c r="G1007" s="88" t="s">
        <v>755</v>
      </c>
      <c r="H1007" s="88" t="s">
        <v>596</v>
      </c>
    </row>
    <row r="1008" spans="1:8" x14ac:dyDescent="0.3">
      <c r="A1008" s="88" t="s">
        <v>592</v>
      </c>
      <c r="B1008" s="88">
        <v>150</v>
      </c>
      <c r="C1008" s="88">
        <v>36</v>
      </c>
      <c r="D1008" s="88" t="s">
        <v>531</v>
      </c>
      <c r="E1008" s="88" t="s">
        <v>1318</v>
      </c>
      <c r="F1008" s="88" t="s">
        <v>753</v>
      </c>
      <c r="G1008" s="88" t="s">
        <v>758</v>
      </c>
      <c r="H1008" s="88" t="s">
        <v>596</v>
      </c>
    </row>
    <row r="1009" spans="1:8" x14ac:dyDescent="0.3">
      <c r="A1009" s="88" t="s">
        <v>592</v>
      </c>
      <c r="B1009" s="88">
        <v>151</v>
      </c>
      <c r="C1009" s="88">
        <v>33</v>
      </c>
      <c r="D1009" s="88" t="s">
        <v>533</v>
      </c>
      <c r="E1009" s="88" t="s">
        <v>1230</v>
      </c>
      <c r="F1009" s="88" t="s">
        <v>829</v>
      </c>
      <c r="G1009" s="88" t="s">
        <v>749</v>
      </c>
      <c r="H1009" s="88" t="s">
        <v>596</v>
      </c>
    </row>
    <row r="1010" spans="1:8" x14ac:dyDescent="0.3">
      <c r="A1010" s="88" t="s">
        <v>592</v>
      </c>
      <c r="B1010" s="88">
        <v>151</v>
      </c>
      <c r="C1010" s="88">
        <v>34</v>
      </c>
      <c r="D1010" s="88" t="s">
        <v>533</v>
      </c>
      <c r="E1010" s="88" t="s">
        <v>1173</v>
      </c>
      <c r="F1010" s="88" t="s">
        <v>1248</v>
      </c>
      <c r="G1010" s="88" t="s">
        <v>752</v>
      </c>
      <c r="H1010" s="88" t="s">
        <v>596</v>
      </c>
    </row>
    <row r="1011" spans="1:8" x14ac:dyDescent="0.3">
      <c r="A1011" s="88" t="s">
        <v>592</v>
      </c>
      <c r="B1011" s="88">
        <v>151</v>
      </c>
      <c r="C1011" s="88">
        <v>35</v>
      </c>
      <c r="D1011" s="88" t="s">
        <v>533</v>
      </c>
      <c r="E1011" s="88" t="s">
        <v>866</v>
      </c>
      <c r="F1011" s="88" t="s">
        <v>784</v>
      </c>
      <c r="G1011" s="88" t="s">
        <v>755</v>
      </c>
      <c r="H1011" s="88" t="s">
        <v>596</v>
      </c>
    </row>
    <row r="1012" spans="1:8" x14ac:dyDescent="0.3">
      <c r="A1012" s="88" t="s">
        <v>592</v>
      </c>
      <c r="B1012" s="88">
        <v>151</v>
      </c>
      <c r="C1012" s="88">
        <v>36</v>
      </c>
      <c r="D1012" s="88" t="s">
        <v>533</v>
      </c>
      <c r="E1012" s="88" t="s">
        <v>1221</v>
      </c>
      <c r="F1012" s="88" t="s">
        <v>919</v>
      </c>
      <c r="G1012" s="88" t="s">
        <v>758</v>
      </c>
      <c r="H1012" s="88" t="s">
        <v>596</v>
      </c>
    </row>
    <row r="1013" spans="1:8" ht="28.8" x14ac:dyDescent="0.3">
      <c r="A1013" s="88" t="s">
        <v>592</v>
      </c>
      <c r="B1013" s="88">
        <v>151</v>
      </c>
      <c r="C1013" s="88">
        <v>39</v>
      </c>
      <c r="D1013" s="88" t="s">
        <v>533</v>
      </c>
      <c r="E1013" s="88" t="s">
        <v>1392</v>
      </c>
      <c r="F1013" s="88" t="s">
        <v>1393</v>
      </c>
      <c r="G1013" s="88" t="s">
        <v>719</v>
      </c>
      <c r="H1013" s="88" t="s">
        <v>596</v>
      </c>
    </row>
    <row r="1014" spans="1:8" ht="28.8" x14ac:dyDescent="0.3">
      <c r="A1014" s="88" t="s">
        <v>592</v>
      </c>
      <c r="B1014" s="88">
        <v>151</v>
      </c>
      <c r="C1014" s="88">
        <v>40</v>
      </c>
      <c r="D1014" s="88" t="s">
        <v>533</v>
      </c>
      <c r="E1014" s="88" t="s">
        <v>1394</v>
      </c>
      <c r="F1014" s="88" t="s">
        <v>1395</v>
      </c>
      <c r="G1014" s="88" t="s">
        <v>724</v>
      </c>
      <c r="H1014" s="88" t="s">
        <v>596</v>
      </c>
    </row>
    <row r="1015" spans="1:8" x14ac:dyDescent="0.3">
      <c r="A1015" s="88" t="s">
        <v>592</v>
      </c>
      <c r="B1015" s="88">
        <v>152</v>
      </c>
      <c r="C1015" s="88">
        <v>33</v>
      </c>
      <c r="D1015" s="88" t="s">
        <v>239</v>
      </c>
      <c r="E1015" s="88" t="s">
        <v>698</v>
      </c>
      <c r="F1015" s="88" t="s">
        <v>1353</v>
      </c>
      <c r="G1015" s="88" t="s">
        <v>749</v>
      </c>
      <c r="H1015" s="88" t="s">
        <v>596</v>
      </c>
    </row>
    <row r="1016" spans="1:8" x14ac:dyDescent="0.3">
      <c r="A1016" s="88" t="s">
        <v>592</v>
      </c>
      <c r="B1016" s="88">
        <v>152</v>
      </c>
      <c r="C1016" s="88">
        <v>34</v>
      </c>
      <c r="D1016" s="88" t="s">
        <v>239</v>
      </c>
      <c r="E1016" s="88" t="s">
        <v>1396</v>
      </c>
      <c r="F1016" s="88" t="s">
        <v>1354</v>
      </c>
      <c r="G1016" s="88" t="s">
        <v>752</v>
      </c>
      <c r="H1016" s="88" t="s">
        <v>596</v>
      </c>
    </row>
    <row r="1017" spans="1:8" x14ac:dyDescent="0.3">
      <c r="A1017" s="88" t="s">
        <v>592</v>
      </c>
      <c r="B1017" s="88">
        <v>152</v>
      </c>
      <c r="C1017" s="88">
        <v>35</v>
      </c>
      <c r="D1017" s="88" t="s">
        <v>239</v>
      </c>
      <c r="E1017" s="88" t="s">
        <v>1205</v>
      </c>
      <c r="F1017" s="88" t="s">
        <v>1214</v>
      </c>
      <c r="G1017" s="88" t="s">
        <v>755</v>
      </c>
      <c r="H1017" s="88" t="s">
        <v>596</v>
      </c>
    </row>
    <row r="1018" spans="1:8" x14ac:dyDescent="0.3">
      <c r="A1018" s="88" t="s">
        <v>592</v>
      </c>
      <c r="B1018" s="88">
        <v>152</v>
      </c>
      <c r="C1018" s="88">
        <v>36</v>
      </c>
      <c r="D1018" s="88" t="s">
        <v>239</v>
      </c>
      <c r="E1018" s="88" t="s">
        <v>1221</v>
      </c>
      <c r="F1018" s="88" t="s">
        <v>844</v>
      </c>
      <c r="G1018" s="88" t="s">
        <v>758</v>
      </c>
      <c r="H1018" s="88" t="s">
        <v>596</v>
      </c>
    </row>
    <row r="1019" spans="1:8" ht="28.8" x14ac:dyDescent="0.3">
      <c r="A1019" s="88" t="s">
        <v>592</v>
      </c>
      <c r="B1019" s="88">
        <v>152</v>
      </c>
      <c r="C1019" s="88">
        <v>39</v>
      </c>
      <c r="D1019" s="88" t="s">
        <v>239</v>
      </c>
      <c r="E1019" s="88" t="s">
        <v>1397</v>
      </c>
      <c r="F1019" s="88" t="s">
        <v>1398</v>
      </c>
      <c r="G1019" s="88" t="s">
        <v>719</v>
      </c>
      <c r="H1019" s="88" t="s">
        <v>596</v>
      </c>
    </row>
    <row r="1020" spans="1:8" x14ac:dyDescent="0.3">
      <c r="A1020" s="88" t="s">
        <v>592</v>
      </c>
      <c r="B1020" s="88">
        <v>153</v>
      </c>
      <c r="C1020" s="88">
        <v>33</v>
      </c>
      <c r="D1020" s="88" t="s">
        <v>536</v>
      </c>
      <c r="E1020" s="88" t="s">
        <v>797</v>
      </c>
      <c r="F1020" s="88" t="s">
        <v>1093</v>
      </c>
      <c r="G1020" s="88" t="s">
        <v>749</v>
      </c>
      <c r="H1020" s="88" t="s">
        <v>596</v>
      </c>
    </row>
    <row r="1021" spans="1:8" x14ac:dyDescent="0.3">
      <c r="A1021" s="88" t="s">
        <v>592</v>
      </c>
      <c r="B1021" s="88">
        <v>153</v>
      </c>
      <c r="C1021" s="88">
        <v>34</v>
      </c>
      <c r="D1021" s="88" t="s">
        <v>536</v>
      </c>
      <c r="E1021" s="88" t="s">
        <v>1075</v>
      </c>
      <c r="F1021" s="88" t="s">
        <v>1356</v>
      </c>
      <c r="G1021" s="88" t="s">
        <v>752</v>
      </c>
      <c r="H1021" s="88" t="s">
        <v>596</v>
      </c>
    </row>
    <row r="1022" spans="1:8" x14ac:dyDescent="0.3">
      <c r="A1022" s="88" t="s">
        <v>592</v>
      </c>
      <c r="B1022" s="88">
        <v>153</v>
      </c>
      <c r="C1022" s="88">
        <v>35</v>
      </c>
      <c r="D1022" s="88" t="s">
        <v>536</v>
      </c>
      <c r="E1022" s="88" t="s">
        <v>1236</v>
      </c>
      <c r="F1022" s="88" t="s">
        <v>998</v>
      </c>
      <c r="G1022" s="88" t="s">
        <v>755</v>
      </c>
      <c r="H1022" s="88" t="s">
        <v>596</v>
      </c>
    </row>
    <row r="1023" spans="1:8" x14ac:dyDescent="0.3">
      <c r="A1023" s="88" t="s">
        <v>592</v>
      </c>
      <c r="B1023" s="88">
        <v>153</v>
      </c>
      <c r="C1023" s="88">
        <v>36</v>
      </c>
      <c r="D1023" s="88" t="s">
        <v>536</v>
      </c>
      <c r="E1023" s="88" t="s">
        <v>1399</v>
      </c>
      <c r="F1023" s="88" t="s">
        <v>763</v>
      </c>
      <c r="G1023" s="88" t="s">
        <v>758</v>
      </c>
      <c r="H1023" s="88" t="s">
        <v>596</v>
      </c>
    </row>
    <row r="1024" spans="1:8" ht="28.8" x14ac:dyDescent="0.3">
      <c r="A1024" s="88" t="s">
        <v>592</v>
      </c>
      <c r="B1024" s="88">
        <v>153</v>
      </c>
      <c r="C1024" s="88">
        <v>39</v>
      </c>
      <c r="D1024" s="88" t="s">
        <v>536</v>
      </c>
      <c r="E1024" s="88" t="s">
        <v>897</v>
      </c>
      <c r="F1024" s="88" t="s">
        <v>1400</v>
      </c>
      <c r="G1024" s="88" t="s">
        <v>719</v>
      </c>
      <c r="H1024" s="88" t="s">
        <v>596</v>
      </c>
    </row>
    <row r="1025" spans="1:8" x14ac:dyDescent="0.3">
      <c r="A1025" s="88" t="s">
        <v>592</v>
      </c>
      <c r="B1025" s="88">
        <v>154</v>
      </c>
      <c r="C1025" s="88">
        <v>33</v>
      </c>
      <c r="D1025" s="88" t="s">
        <v>538</v>
      </c>
      <c r="E1025" s="88" t="s">
        <v>1017</v>
      </c>
      <c r="F1025" s="88" t="s">
        <v>985</v>
      </c>
      <c r="G1025" s="88" t="s">
        <v>749</v>
      </c>
      <c r="H1025" s="88" t="s">
        <v>596</v>
      </c>
    </row>
    <row r="1026" spans="1:8" x14ac:dyDescent="0.3">
      <c r="A1026" s="88" t="s">
        <v>592</v>
      </c>
      <c r="B1026" s="88">
        <v>154</v>
      </c>
      <c r="C1026" s="88">
        <v>34</v>
      </c>
      <c r="D1026" s="88" t="s">
        <v>538</v>
      </c>
      <c r="E1026" s="88" t="s">
        <v>1074</v>
      </c>
      <c r="F1026" s="88" t="s">
        <v>1359</v>
      </c>
      <c r="G1026" s="88" t="s">
        <v>752</v>
      </c>
      <c r="H1026" s="88" t="s">
        <v>596</v>
      </c>
    </row>
    <row r="1027" spans="1:8" x14ac:dyDescent="0.3">
      <c r="A1027" s="88" t="s">
        <v>592</v>
      </c>
      <c r="B1027" s="88">
        <v>154</v>
      </c>
      <c r="C1027" s="88">
        <v>35</v>
      </c>
      <c r="D1027" s="88" t="s">
        <v>538</v>
      </c>
      <c r="E1027" s="88" t="s">
        <v>979</v>
      </c>
      <c r="F1027" s="88" t="s">
        <v>904</v>
      </c>
      <c r="G1027" s="88" t="s">
        <v>755</v>
      </c>
      <c r="H1027" s="88" t="s">
        <v>596</v>
      </c>
    </row>
    <row r="1028" spans="1:8" x14ac:dyDescent="0.3">
      <c r="A1028" s="88" t="s">
        <v>592</v>
      </c>
      <c r="B1028" s="88">
        <v>154</v>
      </c>
      <c r="C1028" s="88">
        <v>36</v>
      </c>
      <c r="D1028" s="88" t="s">
        <v>538</v>
      </c>
      <c r="E1028" s="88" t="s">
        <v>1401</v>
      </c>
      <c r="F1028" s="88" t="s">
        <v>968</v>
      </c>
      <c r="G1028" s="88" t="s">
        <v>758</v>
      </c>
      <c r="H1028" s="88" t="s">
        <v>596</v>
      </c>
    </row>
    <row r="1029" spans="1:8" ht="28.8" x14ac:dyDescent="0.3">
      <c r="A1029" s="88" t="s">
        <v>592</v>
      </c>
      <c r="B1029" s="88">
        <v>154</v>
      </c>
      <c r="C1029" s="88">
        <v>39</v>
      </c>
      <c r="D1029" s="88" t="s">
        <v>538</v>
      </c>
      <c r="E1029" s="88" t="s">
        <v>1402</v>
      </c>
      <c r="F1029" s="88" t="s">
        <v>1403</v>
      </c>
      <c r="G1029" s="88" t="s">
        <v>719</v>
      </c>
      <c r="H1029" s="88" t="s">
        <v>596</v>
      </c>
    </row>
    <row r="1030" spans="1:8" x14ac:dyDescent="0.3">
      <c r="A1030" s="88" t="s">
        <v>592</v>
      </c>
      <c r="B1030" s="88">
        <v>155</v>
      </c>
      <c r="C1030" s="88">
        <v>33</v>
      </c>
      <c r="D1030" s="88" t="s">
        <v>242</v>
      </c>
      <c r="E1030" s="88" t="s">
        <v>1130</v>
      </c>
      <c r="F1030" s="88" t="s">
        <v>1036</v>
      </c>
      <c r="G1030" s="88" t="s">
        <v>749</v>
      </c>
      <c r="H1030" s="88" t="s">
        <v>596</v>
      </c>
    </row>
    <row r="1031" spans="1:8" x14ac:dyDescent="0.3">
      <c r="A1031" s="88" t="s">
        <v>592</v>
      </c>
      <c r="B1031" s="88">
        <v>155</v>
      </c>
      <c r="C1031" s="88">
        <v>34</v>
      </c>
      <c r="D1031" s="88" t="s">
        <v>242</v>
      </c>
      <c r="E1031" s="88" t="s">
        <v>1404</v>
      </c>
      <c r="F1031" s="88" t="s">
        <v>1023</v>
      </c>
      <c r="G1031" s="88" t="s">
        <v>752</v>
      </c>
      <c r="H1031" s="88" t="s">
        <v>596</v>
      </c>
    </row>
    <row r="1032" spans="1:8" x14ac:dyDescent="0.3">
      <c r="A1032" s="88" t="s">
        <v>592</v>
      </c>
      <c r="B1032" s="88">
        <v>155</v>
      </c>
      <c r="C1032" s="88">
        <v>35</v>
      </c>
      <c r="D1032" s="88" t="s">
        <v>242</v>
      </c>
      <c r="E1032" s="88" t="s">
        <v>771</v>
      </c>
      <c r="F1032" s="88" t="s">
        <v>1071</v>
      </c>
      <c r="G1032" s="88" t="s">
        <v>755</v>
      </c>
      <c r="H1032" s="88" t="s">
        <v>596</v>
      </c>
    </row>
    <row r="1033" spans="1:8" x14ac:dyDescent="0.3">
      <c r="A1033" s="88" t="s">
        <v>592</v>
      </c>
      <c r="B1033" s="88">
        <v>155</v>
      </c>
      <c r="C1033" s="88">
        <v>36</v>
      </c>
      <c r="D1033" s="88" t="s">
        <v>242</v>
      </c>
      <c r="E1033" s="88" t="s">
        <v>890</v>
      </c>
      <c r="F1033" s="88" t="s">
        <v>1025</v>
      </c>
      <c r="G1033" s="88" t="s">
        <v>758</v>
      </c>
      <c r="H1033" s="88" t="s">
        <v>596</v>
      </c>
    </row>
    <row r="1034" spans="1:8" ht="28.8" x14ac:dyDescent="0.3">
      <c r="A1034" s="88" t="s">
        <v>592</v>
      </c>
      <c r="B1034" s="88">
        <v>155</v>
      </c>
      <c r="C1034" s="88">
        <v>39</v>
      </c>
      <c r="D1034" s="88" t="s">
        <v>242</v>
      </c>
      <c r="E1034" s="88" t="s">
        <v>1405</v>
      </c>
      <c r="F1034" s="88" t="s">
        <v>1406</v>
      </c>
      <c r="G1034" s="88" t="s">
        <v>719</v>
      </c>
      <c r="H1034" s="88" t="s">
        <v>596</v>
      </c>
    </row>
    <row r="1035" spans="1:8" x14ac:dyDescent="0.3">
      <c r="A1035" s="88" t="s">
        <v>592</v>
      </c>
      <c r="B1035" s="88">
        <v>156</v>
      </c>
      <c r="C1035" s="88">
        <v>33</v>
      </c>
      <c r="D1035" s="88" t="s">
        <v>243</v>
      </c>
      <c r="E1035" s="88" t="s">
        <v>844</v>
      </c>
      <c r="F1035" s="88" t="s">
        <v>750</v>
      </c>
      <c r="G1035" s="88" t="s">
        <v>749</v>
      </c>
      <c r="H1035" s="88" t="s">
        <v>596</v>
      </c>
    </row>
    <row r="1036" spans="1:8" x14ac:dyDescent="0.3">
      <c r="A1036" s="88" t="s">
        <v>592</v>
      </c>
      <c r="B1036" s="88">
        <v>156</v>
      </c>
      <c r="C1036" s="88">
        <v>34</v>
      </c>
      <c r="D1036" s="88" t="s">
        <v>243</v>
      </c>
      <c r="E1036" s="88" t="s">
        <v>1407</v>
      </c>
      <c r="F1036" s="88" t="s">
        <v>820</v>
      </c>
      <c r="G1036" s="88" t="s">
        <v>752</v>
      </c>
      <c r="H1036" s="88" t="s">
        <v>596</v>
      </c>
    </row>
    <row r="1037" spans="1:8" x14ac:dyDescent="0.3">
      <c r="A1037" s="88" t="s">
        <v>592</v>
      </c>
      <c r="B1037" s="88">
        <v>156</v>
      </c>
      <c r="C1037" s="88">
        <v>35</v>
      </c>
      <c r="D1037" s="88" t="s">
        <v>243</v>
      </c>
      <c r="E1037" s="88" t="s">
        <v>944</v>
      </c>
      <c r="F1037" s="88" t="s">
        <v>1241</v>
      </c>
      <c r="G1037" s="88" t="s">
        <v>755</v>
      </c>
      <c r="H1037" s="88" t="s">
        <v>596</v>
      </c>
    </row>
    <row r="1038" spans="1:8" x14ac:dyDescent="0.3">
      <c r="A1038" s="88" t="s">
        <v>592</v>
      </c>
      <c r="B1038" s="88">
        <v>156</v>
      </c>
      <c r="C1038" s="88">
        <v>36</v>
      </c>
      <c r="D1038" s="88" t="s">
        <v>243</v>
      </c>
      <c r="E1038" s="88" t="s">
        <v>1408</v>
      </c>
      <c r="F1038" s="88" t="s">
        <v>1042</v>
      </c>
      <c r="G1038" s="88" t="s">
        <v>758</v>
      </c>
      <c r="H1038" s="88" t="s">
        <v>596</v>
      </c>
    </row>
    <row r="1039" spans="1:8" ht="28.8" x14ac:dyDescent="0.3">
      <c r="A1039" s="88" t="s">
        <v>592</v>
      </c>
      <c r="B1039" s="88">
        <v>156</v>
      </c>
      <c r="C1039" s="88">
        <v>39</v>
      </c>
      <c r="D1039" s="88" t="s">
        <v>243</v>
      </c>
      <c r="E1039" s="88" t="s">
        <v>1254</v>
      </c>
      <c r="F1039" s="88" t="s">
        <v>1409</v>
      </c>
      <c r="G1039" s="88" t="s">
        <v>719</v>
      </c>
      <c r="H1039" s="88" t="s">
        <v>596</v>
      </c>
    </row>
    <row r="1040" spans="1:8" ht="28.8" x14ac:dyDescent="0.3">
      <c r="A1040" s="88" t="s">
        <v>592</v>
      </c>
      <c r="B1040" s="88">
        <v>156</v>
      </c>
      <c r="C1040" s="88">
        <v>40</v>
      </c>
      <c r="D1040" s="88" t="s">
        <v>243</v>
      </c>
      <c r="E1040" s="88" t="s">
        <v>1410</v>
      </c>
      <c r="F1040" s="88" t="s">
        <v>1411</v>
      </c>
      <c r="G1040" s="88" t="s">
        <v>724</v>
      </c>
      <c r="H1040" s="88" t="s">
        <v>596</v>
      </c>
    </row>
    <row r="1041" spans="1:8" x14ac:dyDescent="0.3">
      <c r="A1041" s="88" t="s">
        <v>592</v>
      </c>
      <c r="B1041" s="88">
        <v>157</v>
      </c>
      <c r="C1041" s="88">
        <v>33</v>
      </c>
      <c r="D1041" s="88" t="s">
        <v>244</v>
      </c>
      <c r="E1041" s="88" t="s">
        <v>916</v>
      </c>
      <c r="F1041" s="88" t="s">
        <v>1036</v>
      </c>
      <c r="G1041" s="88" t="s">
        <v>749</v>
      </c>
      <c r="H1041" s="88" t="s">
        <v>596</v>
      </c>
    </row>
    <row r="1042" spans="1:8" x14ac:dyDescent="0.3">
      <c r="A1042" s="88" t="s">
        <v>592</v>
      </c>
      <c r="B1042" s="88">
        <v>157</v>
      </c>
      <c r="C1042" s="88">
        <v>34</v>
      </c>
      <c r="D1042" s="88" t="s">
        <v>244</v>
      </c>
      <c r="E1042" s="88" t="s">
        <v>1412</v>
      </c>
      <c r="F1042" s="88" t="s">
        <v>1366</v>
      </c>
      <c r="G1042" s="88" t="s">
        <v>752</v>
      </c>
      <c r="H1042" s="88" t="s">
        <v>596</v>
      </c>
    </row>
    <row r="1043" spans="1:8" x14ac:dyDescent="0.3">
      <c r="A1043" s="88" t="s">
        <v>592</v>
      </c>
      <c r="B1043" s="88">
        <v>157</v>
      </c>
      <c r="C1043" s="88">
        <v>35</v>
      </c>
      <c r="D1043" s="88" t="s">
        <v>244</v>
      </c>
      <c r="E1043" s="88" t="s">
        <v>1413</v>
      </c>
      <c r="F1043" s="88" t="s">
        <v>886</v>
      </c>
      <c r="G1043" s="88" t="s">
        <v>755</v>
      </c>
      <c r="H1043" s="88" t="s">
        <v>596</v>
      </c>
    </row>
    <row r="1044" spans="1:8" x14ac:dyDescent="0.3">
      <c r="A1044" s="88" t="s">
        <v>592</v>
      </c>
      <c r="B1044" s="88">
        <v>157</v>
      </c>
      <c r="C1044" s="88">
        <v>36</v>
      </c>
      <c r="D1044" s="88" t="s">
        <v>244</v>
      </c>
      <c r="E1044" s="88" t="s">
        <v>1414</v>
      </c>
      <c r="F1044" s="88" t="s">
        <v>1180</v>
      </c>
      <c r="G1044" s="88" t="s">
        <v>758</v>
      </c>
      <c r="H1044" s="88" t="s">
        <v>596</v>
      </c>
    </row>
    <row r="1045" spans="1:8" ht="28.8" x14ac:dyDescent="0.3">
      <c r="A1045" s="88" t="s">
        <v>592</v>
      </c>
      <c r="B1045" s="88">
        <v>157</v>
      </c>
      <c r="C1045" s="88">
        <v>39</v>
      </c>
      <c r="D1045" s="88" t="s">
        <v>244</v>
      </c>
      <c r="E1045" s="88" t="s">
        <v>734</v>
      </c>
      <c r="F1045" s="88"/>
      <c r="G1045" s="88" t="s">
        <v>719</v>
      </c>
      <c r="H1045" s="88" t="s">
        <v>596</v>
      </c>
    </row>
    <row r="1046" spans="1:8" x14ac:dyDescent="0.3">
      <c r="A1046" s="88" t="s">
        <v>592</v>
      </c>
      <c r="B1046" s="88">
        <v>158</v>
      </c>
      <c r="C1046" s="88">
        <v>33</v>
      </c>
      <c r="D1046" s="88" t="s">
        <v>245</v>
      </c>
      <c r="E1046" s="88" t="s">
        <v>923</v>
      </c>
      <c r="F1046" s="88" t="s">
        <v>1309</v>
      </c>
      <c r="G1046" s="88" t="s">
        <v>749</v>
      </c>
      <c r="H1046" s="88" t="s">
        <v>596</v>
      </c>
    </row>
    <row r="1047" spans="1:8" x14ac:dyDescent="0.3">
      <c r="A1047" s="88" t="s">
        <v>592</v>
      </c>
      <c r="B1047" s="88">
        <v>158</v>
      </c>
      <c r="C1047" s="88">
        <v>34</v>
      </c>
      <c r="D1047" s="88" t="s">
        <v>245</v>
      </c>
      <c r="E1047" s="88" t="s">
        <v>1415</v>
      </c>
      <c r="F1047" s="88" t="s">
        <v>1205</v>
      </c>
      <c r="G1047" s="88" t="s">
        <v>752</v>
      </c>
      <c r="H1047" s="88" t="s">
        <v>596</v>
      </c>
    </row>
    <row r="1048" spans="1:8" x14ac:dyDescent="0.3">
      <c r="A1048" s="88" t="s">
        <v>592</v>
      </c>
      <c r="B1048" s="88">
        <v>158</v>
      </c>
      <c r="C1048" s="88">
        <v>35</v>
      </c>
      <c r="D1048" s="88" t="s">
        <v>245</v>
      </c>
      <c r="E1048" s="88" t="s">
        <v>831</v>
      </c>
      <c r="F1048" s="88" t="s">
        <v>1369</v>
      </c>
      <c r="G1048" s="88" t="s">
        <v>755</v>
      </c>
      <c r="H1048" s="88" t="s">
        <v>596</v>
      </c>
    </row>
    <row r="1049" spans="1:8" x14ac:dyDescent="0.3">
      <c r="A1049" s="88" t="s">
        <v>592</v>
      </c>
      <c r="B1049" s="88">
        <v>158</v>
      </c>
      <c r="C1049" s="88">
        <v>36</v>
      </c>
      <c r="D1049" s="88" t="s">
        <v>245</v>
      </c>
      <c r="E1049" s="88" t="s">
        <v>656</v>
      </c>
      <c r="F1049" s="88" t="s">
        <v>1370</v>
      </c>
      <c r="G1049" s="88" t="s">
        <v>758</v>
      </c>
      <c r="H1049" s="88" t="s">
        <v>596</v>
      </c>
    </row>
    <row r="1050" spans="1:8" ht="28.8" x14ac:dyDescent="0.3">
      <c r="A1050" s="88" t="s">
        <v>592</v>
      </c>
      <c r="B1050" s="88">
        <v>158</v>
      </c>
      <c r="C1050" s="88">
        <v>39</v>
      </c>
      <c r="D1050" s="88" t="s">
        <v>245</v>
      </c>
      <c r="E1050" s="88" t="s">
        <v>1416</v>
      </c>
      <c r="F1050" s="88" t="s">
        <v>1417</v>
      </c>
      <c r="G1050" s="88" t="s">
        <v>719</v>
      </c>
      <c r="H1050" s="88" t="s">
        <v>596</v>
      </c>
    </row>
    <row r="1051" spans="1:8" x14ac:dyDescent="0.3">
      <c r="A1051" s="88" t="s">
        <v>592</v>
      </c>
      <c r="B1051" s="88">
        <v>159</v>
      </c>
      <c r="C1051" s="88">
        <v>18</v>
      </c>
      <c r="D1051" s="88" t="s">
        <v>544</v>
      </c>
      <c r="E1051" s="88" t="s">
        <v>628</v>
      </c>
      <c r="F1051" s="88" t="s">
        <v>627</v>
      </c>
      <c r="G1051" s="88" t="s">
        <v>896</v>
      </c>
      <c r="H1051" s="88" t="s">
        <v>596</v>
      </c>
    </row>
    <row r="1052" spans="1:8" x14ac:dyDescent="0.3">
      <c r="A1052" s="88" t="s">
        <v>592</v>
      </c>
      <c r="B1052" s="88">
        <v>159</v>
      </c>
      <c r="C1052" s="88">
        <v>33</v>
      </c>
      <c r="D1052" s="88" t="s">
        <v>544</v>
      </c>
      <c r="E1052" s="88" t="s">
        <v>652</v>
      </c>
      <c r="F1052" s="88" t="s">
        <v>1098</v>
      </c>
      <c r="G1052" s="88" t="s">
        <v>749</v>
      </c>
      <c r="H1052" s="88" t="s">
        <v>596</v>
      </c>
    </row>
    <row r="1053" spans="1:8" x14ac:dyDescent="0.3">
      <c r="A1053" s="88" t="s">
        <v>592</v>
      </c>
      <c r="B1053" s="88">
        <v>159</v>
      </c>
      <c r="C1053" s="88">
        <v>34</v>
      </c>
      <c r="D1053" s="88" t="s">
        <v>544</v>
      </c>
      <c r="E1053" s="88" t="s">
        <v>654</v>
      </c>
      <c r="F1053" s="88" t="s">
        <v>1371</v>
      </c>
      <c r="G1053" s="88" t="s">
        <v>752</v>
      </c>
      <c r="H1053" s="88" t="s">
        <v>596</v>
      </c>
    </row>
    <row r="1054" spans="1:8" x14ac:dyDescent="0.3">
      <c r="A1054" s="88" t="s">
        <v>592</v>
      </c>
      <c r="B1054" s="88">
        <v>159</v>
      </c>
      <c r="C1054" s="88">
        <v>35</v>
      </c>
      <c r="D1054" s="88" t="s">
        <v>544</v>
      </c>
      <c r="E1054" s="88" t="s">
        <v>656</v>
      </c>
      <c r="F1054" s="88" t="s">
        <v>1036</v>
      </c>
      <c r="G1054" s="88" t="s">
        <v>755</v>
      </c>
      <c r="H1054" s="88" t="s">
        <v>596</v>
      </c>
    </row>
    <row r="1055" spans="1:8" x14ac:dyDescent="0.3">
      <c r="A1055" s="88" t="s">
        <v>592</v>
      </c>
      <c r="B1055" s="88">
        <v>159</v>
      </c>
      <c r="C1055" s="88">
        <v>36</v>
      </c>
      <c r="D1055" s="88" t="s">
        <v>544</v>
      </c>
      <c r="E1055" s="88" t="s">
        <v>658</v>
      </c>
      <c r="F1055" s="88" t="s">
        <v>1251</v>
      </c>
      <c r="G1055" s="88" t="s">
        <v>758</v>
      </c>
      <c r="H1055" s="88" t="s">
        <v>596</v>
      </c>
    </row>
    <row r="1056" spans="1:8" ht="28.8" x14ac:dyDescent="0.3">
      <c r="A1056" s="88" t="s">
        <v>592</v>
      </c>
      <c r="B1056" s="88">
        <v>159</v>
      </c>
      <c r="C1056" s="88">
        <v>39</v>
      </c>
      <c r="D1056" s="88" t="s">
        <v>544</v>
      </c>
      <c r="E1056" s="88" t="s">
        <v>664</v>
      </c>
      <c r="F1056" s="88" t="s">
        <v>1418</v>
      </c>
      <c r="G1056" s="88" t="s">
        <v>719</v>
      </c>
      <c r="H1056" s="88" t="s">
        <v>596</v>
      </c>
    </row>
    <row r="1057" spans="1:8" ht="28.8" x14ac:dyDescent="0.3">
      <c r="A1057" s="88" t="s">
        <v>592</v>
      </c>
      <c r="B1057" s="88">
        <v>159</v>
      </c>
      <c r="C1057" s="88">
        <v>40</v>
      </c>
      <c r="D1057" s="88" t="s">
        <v>544</v>
      </c>
      <c r="E1057" s="88" t="s">
        <v>666</v>
      </c>
      <c r="F1057" s="88" t="s">
        <v>665</v>
      </c>
      <c r="G1057" s="88" t="s">
        <v>724</v>
      </c>
      <c r="H1057" s="88" t="s">
        <v>596</v>
      </c>
    </row>
    <row r="1058" spans="1:8" ht="28.8" x14ac:dyDescent="0.3">
      <c r="A1058" s="88" t="s">
        <v>592</v>
      </c>
      <c r="B1058" s="88">
        <v>159</v>
      </c>
      <c r="C1058" s="88">
        <v>11</v>
      </c>
      <c r="D1058" s="88" t="s">
        <v>544</v>
      </c>
      <c r="E1058" s="88" t="s">
        <v>614</v>
      </c>
      <c r="F1058" s="88" t="s">
        <v>1419</v>
      </c>
      <c r="G1058" s="88" t="s">
        <v>1420</v>
      </c>
      <c r="H1058" s="88" t="s">
        <v>596</v>
      </c>
    </row>
    <row r="1059" spans="1:8" x14ac:dyDescent="0.3">
      <c r="A1059" s="88" t="s">
        <v>592</v>
      </c>
      <c r="B1059" s="88">
        <v>160</v>
      </c>
      <c r="C1059" s="88">
        <v>18</v>
      </c>
      <c r="D1059" s="88" t="s">
        <v>546</v>
      </c>
      <c r="E1059" s="88" t="s">
        <v>627</v>
      </c>
      <c r="F1059" s="88" t="s">
        <v>692</v>
      </c>
      <c r="G1059" s="88" t="s">
        <v>896</v>
      </c>
      <c r="H1059" s="88" t="s">
        <v>596</v>
      </c>
    </row>
    <row r="1060" spans="1:8" x14ac:dyDescent="0.3">
      <c r="A1060" s="88" t="s">
        <v>592</v>
      </c>
      <c r="B1060" s="88">
        <v>160</v>
      </c>
      <c r="C1060" s="88">
        <v>33</v>
      </c>
      <c r="D1060" s="88" t="s">
        <v>546</v>
      </c>
      <c r="E1060" s="88" t="s">
        <v>651</v>
      </c>
      <c r="F1060" s="88" t="s">
        <v>926</v>
      </c>
      <c r="G1060" s="88" t="s">
        <v>749</v>
      </c>
      <c r="H1060" s="88" t="s">
        <v>596</v>
      </c>
    </row>
    <row r="1061" spans="1:8" x14ac:dyDescent="0.3">
      <c r="A1061" s="88" t="s">
        <v>592</v>
      </c>
      <c r="B1061" s="88">
        <v>160</v>
      </c>
      <c r="C1061" s="88">
        <v>34</v>
      </c>
      <c r="D1061" s="88" t="s">
        <v>546</v>
      </c>
      <c r="E1061" s="88" t="s">
        <v>653</v>
      </c>
      <c r="F1061" s="88" t="s">
        <v>1245</v>
      </c>
      <c r="G1061" s="88" t="s">
        <v>752</v>
      </c>
      <c r="H1061" s="88" t="s">
        <v>596</v>
      </c>
    </row>
    <row r="1062" spans="1:8" x14ac:dyDescent="0.3">
      <c r="A1062" s="88" t="s">
        <v>592</v>
      </c>
      <c r="B1062" s="88">
        <v>160</v>
      </c>
      <c r="C1062" s="88">
        <v>35</v>
      </c>
      <c r="D1062" s="88" t="s">
        <v>546</v>
      </c>
      <c r="E1062" s="88" t="s">
        <v>655</v>
      </c>
      <c r="F1062" s="88" t="s">
        <v>860</v>
      </c>
      <c r="G1062" s="88" t="s">
        <v>755</v>
      </c>
      <c r="H1062" s="88" t="s">
        <v>596</v>
      </c>
    </row>
    <row r="1063" spans="1:8" x14ac:dyDescent="0.3">
      <c r="A1063" s="88" t="s">
        <v>592</v>
      </c>
      <c r="B1063" s="88">
        <v>160</v>
      </c>
      <c r="C1063" s="88">
        <v>36</v>
      </c>
      <c r="D1063" s="88" t="s">
        <v>546</v>
      </c>
      <c r="E1063" s="88" t="s">
        <v>657</v>
      </c>
      <c r="F1063" s="88" t="s">
        <v>1375</v>
      </c>
      <c r="G1063" s="88" t="s">
        <v>758</v>
      </c>
      <c r="H1063" s="88" t="s">
        <v>596</v>
      </c>
    </row>
    <row r="1064" spans="1:8" ht="28.8" x14ac:dyDescent="0.3">
      <c r="A1064" s="88" t="s">
        <v>592</v>
      </c>
      <c r="B1064" s="88">
        <v>160</v>
      </c>
      <c r="C1064" s="88">
        <v>39</v>
      </c>
      <c r="D1064" s="88" t="s">
        <v>546</v>
      </c>
      <c r="E1064" s="88" t="s">
        <v>663</v>
      </c>
      <c r="F1064" s="88" t="s">
        <v>1421</v>
      </c>
      <c r="G1064" s="88" t="s">
        <v>719</v>
      </c>
      <c r="H1064" s="88" t="s">
        <v>596</v>
      </c>
    </row>
    <row r="1065" spans="1:8" ht="28.8" x14ac:dyDescent="0.3">
      <c r="A1065" s="88" t="s">
        <v>592</v>
      </c>
      <c r="B1065" s="88">
        <v>160</v>
      </c>
      <c r="C1065" s="88">
        <v>40</v>
      </c>
      <c r="D1065" s="88" t="s">
        <v>546</v>
      </c>
      <c r="E1065" s="88" t="s">
        <v>665</v>
      </c>
      <c r="F1065" s="88" t="s">
        <v>710</v>
      </c>
      <c r="G1065" s="88" t="s">
        <v>724</v>
      </c>
      <c r="H1065" s="88" t="s">
        <v>596</v>
      </c>
    </row>
    <row r="1066" spans="1:8" ht="28.8" x14ac:dyDescent="0.3">
      <c r="A1066" s="88" t="s">
        <v>592</v>
      </c>
      <c r="B1066" s="88">
        <v>160</v>
      </c>
      <c r="C1066" s="88">
        <v>11</v>
      </c>
      <c r="D1066" s="88" t="s">
        <v>546</v>
      </c>
      <c r="E1066" s="88" t="s">
        <v>613</v>
      </c>
      <c r="F1066" s="88" t="s">
        <v>1422</v>
      </c>
      <c r="G1066" s="88" t="s">
        <v>1420</v>
      </c>
      <c r="H1066" s="88" t="s">
        <v>596</v>
      </c>
    </row>
    <row r="1067" spans="1:8" x14ac:dyDescent="0.3">
      <c r="A1067" s="88" t="s">
        <v>592</v>
      </c>
      <c r="B1067" s="88">
        <v>161</v>
      </c>
      <c r="C1067" s="88">
        <v>18</v>
      </c>
      <c r="D1067" s="88" t="s">
        <v>248</v>
      </c>
      <c r="E1067" s="88" t="s">
        <v>692</v>
      </c>
      <c r="F1067" s="88" t="s">
        <v>628</v>
      </c>
      <c r="G1067" s="88" t="s">
        <v>896</v>
      </c>
      <c r="H1067" s="88" t="s">
        <v>596</v>
      </c>
    </row>
    <row r="1068" spans="1:8" x14ac:dyDescent="0.3">
      <c r="A1068" s="88" t="s">
        <v>592</v>
      </c>
      <c r="B1068" s="88">
        <v>161</v>
      </c>
      <c r="C1068" s="88">
        <v>33</v>
      </c>
      <c r="D1068" s="88" t="s">
        <v>248</v>
      </c>
      <c r="E1068" s="88" t="s">
        <v>703</v>
      </c>
      <c r="F1068" s="88" t="s">
        <v>1053</v>
      </c>
      <c r="G1068" s="88" t="s">
        <v>749</v>
      </c>
      <c r="H1068" s="88" t="s">
        <v>596</v>
      </c>
    </row>
    <row r="1069" spans="1:8" x14ac:dyDescent="0.3">
      <c r="A1069" s="88" t="s">
        <v>592</v>
      </c>
      <c r="B1069" s="88">
        <v>161</v>
      </c>
      <c r="C1069" s="88">
        <v>34</v>
      </c>
      <c r="D1069" s="88" t="s">
        <v>248</v>
      </c>
      <c r="E1069" s="88" t="s">
        <v>704</v>
      </c>
      <c r="F1069" s="88" t="s">
        <v>1380</v>
      </c>
      <c r="G1069" s="88" t="s">
        <v>752</v>
      </c>
      <c r="H1069" s="88" t="s">
        <v>596</v>
      </c>
    </row>
    <row r="1070" spans="1:8" x14ac:dyDescent="0.3">
      <c r="A1070" s="88" t="s">
        <v>592</v>
      </c>
      <c r="B1070" s="88">
        <v>161</v>
      </c>
      <c r="C1070" s="88">
        <v>35</v>
      </c>
      <c r="D1070" s="88" t="s">
        <v>248</v>
      </c>
      <c r="E1070" s="88" t="s">
        <v>705</v>
      </c>
      <c r="F1070" s="88" t="s">
        <v>886</v>
      </c>
      <c r="G1070" s="88" t="s">
        <v>755</v>
      </c>
      <c r="H1070" s="88" t="s">
        <v>596</v>
      </c>
    </row>
    <row r="1071" spans="1:8" x14ac:dyDescent="0.3">
      <c r="A1071" s="88" t="s">
        <v>592</v>
      </c>
      <c r="B1071" s="88">
        <v>161</v>
      </c>
      <c r="C1071" s="88">
        <v>36</v>
      </c>
      <c r="D1071" s="88" t="s">
        <v>248</v>
      </c>
      <c r="E1071" s="88" t="s">
        <v>706</v>
      </c>
      <c r="F1071" s="88" t="s">
        <v>816</v>
      </c>
      <c r="G1071" s="88" t="s">
        <v>758</v>
      </c>
      <c r="H1071" s="88" t="s">
        <v>596</v>
      </c>
    </row>
    <row r="1072" spans="1:8" ht="28.8" x14ac:dyDescent="0.3">
      <c r="A1072" s="88" t="s">
        <v>592</v>
      </c>
      <c r="B1072" s="88">
        <v>161</v>
      </c>
      <c r="C1072" s="88">
        <v>39</v>
      </c>
      <c r="D1072" s="88" t="s">
        <v>248</v>
      </c>
      <c r="E1072" s="88" t="s">
        <v>709</v>
      </c>
      <c r="F1072" s="88" t="s">
        <v>1423</v>
      </c>
      <c r="G1072" s="88" t="s">
        <v>719</v>
      </c>
      <c r="H1072" s="88" t="s">
        <v>596</v>
      </c>
    </row>
    <row r="1073" spans="1:8" ht="28.8" x14ac:dyDescent="0.3">
      <c r="A1073" s="88" t="s">
        <v>592</v>
      </c>
      <c r="B1073" s="88">
        <v>161</v>
      </c>
      <c r="C1073" s="88">
        <v>40</v>
      </c>
      <c r="D1073" s="88" t="s">
        <v>248</v>
      </c>
      <c r="E1073" s="88" t="s">
        <v>710</v>
      </c>
      <c r="F1073" s="88" t="s">
        <v>666</v>
      </c>
      <c r="G1073" s="88" t="s">
        <v>724</v>
      </c>
      <c r="H1073" s="88" t="s">
        <v>596</v>
      </c>
    </row>
    <row r="1074" spans="1:8" ht="28.8" x14ac:dyDescent="0.3">
      <c r="A1074" s="88" t="s">
        <v>592</v>
      </c>
      <c r="B1074" s="88">
        <v>161</v>
      </c>
      <c r="C1074" s="88">
        <v>11</v>
      </c>
      <c r="D1074" s="88" t="s">
        <v>248</v>
      </c>
      <c r="E1074" s="88" t="s">
        <v>686</v>
      </c>
      <c r="F1074" s="88" t="s">
        <v>1424</v>
      </c>
      <c r="G1074" s="88" t="s">
        <v>1420</v>
      </c>
      <c r="H1074" s="88" t="s">
        <v>596</v>
      </c>
    </row>
    <row r="1075" spans="1:8" x14ac:dyDescent="0.3">
      <c r="A1075" s="88" t="s">
        <v>592</v>
      </c>
      <c r="B1075" s="88">
        <v>162</v>
      </c>
      <c r="C1075" s="88">
        <v>18</v>
      </c>
      <c r="D1075" s="88" t="s">
        <v>549</v>
      </c>
      <c r="E1075" s="88" t="s">
        <v>1047</v>
      </c>
      <c r="F1075" s="88" t="s">
        <v>894</v>
      </c>
      <c r="G1075" s="88" t="s">
        <v>896</v>
      </c>
      <c r="H1075" s="88" t="s">
        <v>596</v>
      </c>
    </row>
    <row r="1076" spans="1:8" x14ac:dyDescent="0.3">
      <c r="A1076" s="88" t="s">
        <v>592</v>
      </c>
      <c r="B1076" s="88">
        <v>162</v>
      </c>
      <c r="C1076" s="88">
        <v>33</v>
      </c>
      <c r="D1076" s="88" t="s">
        <v>549</v>
      </c>
      <c r="E1076" s="88" t="s">
        <v>1002</v>
      </c>
      <c r="F1076" s="88" t="s">
        <v>698</v>
      </c>
      <c r="G1076" s="88" t="s">
        <v>749</v>
      </c>
      <c r="H1076" s="88" t="s">
        <v>596</v>
      </c>
    </row>
    <row r="1077" spans="1:8" x14ac:dyDescent="0.3">
      <c r="A1077" s="88" t="s">
        <v>592</v>
      </c>
      <c r="B1077" s="88">
        <v>162</v>
      </c>
      <c r="C1077" s="88">
        <v>34</v>
      </c>
      <c r="D1077" s="88" t="s">
        <v>549</v>
      </c>
      <c r="E1077" s="88" t="s">
        <v>1425</v>
      </c>
      <c r="F1077" s="88" t="s">
        <v>1396</v>
      </c>
      <c r="G1077" s="88" t="s">
        <v>752</v>
      </c>
      <c r="H1077" s="88" t="s">
        <v>596</v>
      </c>
    </row>
    <row r="1078" spans="1:8" x14ac:dyDescent="0.3">
      <c r="A1078" s="88" t="s">
        <v>592</v>
      </c>
      <c r="B1078" s="88">
        <v>162</v>
      </c>
      <c r="C1078" s="88">
        <v>35</v>
      </c>
      <c r="D1078" s="88" t="s">
        <v>549</v>
      </c>
      <c r="E1078" s="88" t="s">
        <v>1110</v>
      </c>
      <c r="F1078" s="88" t="s">
        <v>1205</v>
      </c>
      <c r="G1078" s="88" t="s">
        <v>755</v>
      </c>
      <c r="H1078" s="88" t="s">
        <v>596</v>
      </c>
    </row>
    <row r="1079" spans="1:8" x14ac:dyDescent="0.3">
      <c r="A1079" s="88" t="s">
        <v>592</v>
      </c>
      <c r="B1079" s="88">
        <v>162</v>
      </c>
      <c r="C1079" s="88">
        <v>36</v>
      </c>
      <c r="D1079" s="88" t="s">
        <v>549</v>
      </c>
      <c r="E1079" s="88" t="s">
        <v>1426</v>
      </c>
      <c r="F1079" s="88" t="s">
        <v>1221</v>
      </c>
      <c r="G1079" s="88" t="s">
        <v>758</v>
      </c>
      <c r="H1079" s="88" t="s">
        <v>596</v>
      </c>
    </row>
    <row r="1080" spans="1:8" ht="28.8" x14ac:dyDescent="0.3">
      <c r="A1080" s="88" t="s">
        <v>592</v>
      </c>
      <c r="B1080" s="88">
        <v>162</v>
      </c>
      <c r="C1080" s="88">
        <v>39</v>
      </c>
      <c r="D1080" s="88" t="s">
        <v>549</v>
      </c>
      <c r="E1080" s="88" t="s">
        <v>1427</v>
      </c>
      <c r="F1080" s="88" t="s">
        <v>1428</v>
      </c>
      <c r="G1080" s="88" t="s">
        <v>719</v>
      </c>
      <c r="H1080" s="88" t="s">
        <v>596</v>
      </c>
    </row>
    <row r="1081" spans="1:8" ht="28.8" x14ac:dyDescent="0.3">
      <c r="A1081" s="88" t="s">
        <v>592</v>
      </c>
      <c r="B1081" s="88">
        <v>162</v>
      </c>
      <c r="C1081" s="88">
        <v>40</v>
      </c>
      <c r="D1081" s="88" t="s">
        <v>549</v>
      </c>
      <c r="E1081" s="88" t="s">
        <v>1429</v>
      </c>
      <c r="F1081" s="88" t="s">
        <v>1430</v>
      </c>
      <c r="G1081" s="88" t="s">
        <v>724</v>
      </c>
      <c r="H1081" s="88" t="s">
        <v>596</v>
      </c>
    </row>
    <row r="1082" spans="1:8" x14ac:dyDescent="0.3">
      <c r="A1082" s="88" t="s">
        <v>592</v>
      </c>
      <c r="B1082" s="88">
        <v>163</v>
      </c>
      <c r="C1082" s="88">
        <v>18</v>
      </c>
      <c r="D1082" s="88" t="s">
        <v>551</v>
      </c>
      <c r="E1082" s="88" t="s">
        <v>1160</v>
      </c>
      <c r="F1082" s="88" t="s">
        <v>1431</v>
      </c>
      <c r="G1082" s="88" t="s">
        <v>896</v>
      </c>
      <c r="H1082" s="88" t="s">
        <v>596</v>
      </c>
    </row>
    <row r="1083" spans="1:8" x14ac:dyDescent="0.3">
      <c r="A1083" s="88" t="s">
        <v>592</v>
      </c>
      <c r="B1083" s="88">
        <v>163</v>
      </c>
      <c r="C1083" s="88">
        <v>33</v>
      </c>
      <c r="D1083" s="88" t="s">
        <v>551</v>
      </c>
      <c r="E1083" s="88" t="s">
        <v>1005</v>
      </c>
      <c r="F1083" s="88" t="s">
        <v>706</v>
      </c>
      <c r="G1083" s="88" t="s">
        <v>749</v>
      </c>
      <c r="H1083" s="88" t="s">
        <v>596</v>
      </c>
    </row>
    <row r="1084" spans="1:8" x14ac:dyDescent="0.3">
      <c r="A1084" s="88" t="s">
        <v>592</v>
      </c>
      <c r="B1084" s="88">
        <v>163</v>
      </c>
      <c r="C1084" s="88">
        <v>34</v>
      </c>
      <c r="D1084" s="88" t="s">
        <v>551</v>
      </c>
      <c r="E1084" s="88" t="s">
        <v>1432</v>
      </c>
      <c r="F1084" s="88" t="s">
        <v>1433</v>
      </c>
      <c r="G1084" s="88" t="s">
        <v>752</v>
      </c>
      <c r="H1084" s="88" t="s">
        <v>596</v>
      </c>
    </row>
    <row r="1085" spans="1:8" x14ac:dyDescent="0.3">
      <c r="A1085" s="88" t="s">
        <v>592</v>
      </c>
      <c r="B1085" s="88">
        <v>163</v>
      </c>
      <c r="C1085" s="88">
        <v>35</v>
      </c>
      <c r="D1085" s="88" t="s">
        <v>551</v>
      </c>
      <c r="E1085" s="88" t="s">
        <v>966</v>
      </c>
      <c r="F1085" s="88" t="s">
        <v>771</v>
      </c>
      <c r="G1085" s="88" t="s">
        <v>755</v>
      </c>
      <c r="H1085" s="88" t="s">
        <v>596</v>
      </c>
    </row>
    <row r="1086" spans="1:8" x14ac:dyDescent="0.3">
      <c r="A1086" s="88" t="s">
        <v>592</v>
      </c>
      <c r="B1086" s="88">
        <v>163</v>
      </c>
      <c r="C1086" s="88">
        <v>36</v>
      </c>
      <c r="D1086" s="88" t="s">
        <v>551</v>
      </c>
      <c r="E1086" s="88" t="s">
        <v>879</v>
      </c>
      <c r="F1086" s="88" t="s">
        <v>970</v>
      </c>
      <c r="G1086" s="88" t="s">
        <v>758</v>
      </c>
      <c r="H1086" s="88" t="s">
        <v>596</v>
      </c>
    </row>
    <row r="1087" spans="1:8" ht="28.8" x14ac:dyDescent="0.3">
      <c r="A1087" s="88" t="s">
        <v>592</v>
      </c>
      <c r="B1087" s="88">
        <v>163</v>
      </c>
      <c r="C1087" s="88">
        <v>39</v>
      </c>
      <c r="D1087" s="88" t="s">
        <v>551</v>
      </c>
      <c r="E1087" s="88" t="s">
        <v>1434</v>
      </c>
      <c r="F1087" s="88" t="s">
        <v>1435</v>
      </c>
      <c r="G1087" s="88" t="s">
        <v>719</v>
      </c>
      <c r="H1087" s="88" t="s">
        <v>596</v>
      </c>
    </row>
    <row r="1088" spans="1:8" ht="28.8" x14ac:dyDescent="0.3">
      <c r="A1088" s="88" t="s">
        <v>592</v>
      </c>
      <c r="B1088" s="88">
        <v>163</v>
      </c>
      <c r="C1088" s="88">
        <v>40</v>
      </c>
      <c r="D1088" s="88" t="s">
        <v>551</v>
      </c>
      <c r="E1088" s="88" t="s">
        <v>1436</v>
      </c>
      <c r="F1088" s="88" t="s">
        <v>1437</v>
      </c>
      <c r="G1088" s="88" t="s">
        <v>724</v>
      </c>
      <c r="H1088" s="88" t="s">
        <v>596</v>
      </c>
    </row>
    <row r="1089" spans="1:8" x14ac:dyDescent="0.3">
      <c r="A1089" s="88" t="s">
        <v>592</v>
      </c>
      <c r="B1089" s="88">
        <v>164</v>
      </c>
      <c r="C1089" s="88">
        <v>18</v>
      </c>
      <c r="D1089" s="88" t="s">
        <v>553</v>
      </c>
      <c r="E1089" s="88" t="s">
        <v>1438</v>
      </c>
      <c r="F1089" s="88" t="s">
        <v>627</v>
      </c>
      <c r="G1089" s="88" t="s">
        <v>896</v>
      </c>
      <c r="H1089" s="88" t="s">
        <v>596</v>
      </c>
    </row>
    <row r="1090" spans="1:8" x14ac:dyDescent="0.3">
      <c r="A1090" s="88" t="s">
        <v>592</v>
      </c>
      <c r="B1090" s="88">
        <v>164</v>
      </c>
      <c r="C1090" s="88">
        <v>33</v>
      </c>
      <c r="D1090" s="88" t="s">
        <v>553</v>
      </c>
      <c r="E1090" s="88" t="s">
        <v>1439</v>
      </c>
      <c r="F1090" s="88" t="s">
        <v>797</v>
      </c>
      <c r="G1090" s="88" t="s">
        <v>749</v>
      </c>
      <c r="H1090" s="88" t="s">
        <v>596</v>
      </c>
    </row>
    <row r="1091" spans="1:8" x14ac:dyDescent="0.3">
      <c r="A1091" s="88" t="s">
        <v>592</v>
      </c>
      <c r="B1091" s="88">
        <v>164</v>
      </c>
      <c r="C1091" s="88">
        <v>34</v>
      </c>
      <c r="D1091" s="88" t="s">
        <v>553</v>
      </c>
      <c r="E1091" s="88" t="s">
        <v>1440</v>
      </c>
      <c r="F1091" s="88" t="s">
        <v>1075</v>
      </c>
      <c r="G1091" s="88" t="s">
        <v>752</v>
      </c>
      <c r="H1091" s="88" t="s">
        <v>596</v>
      </c>
    </row>
    <row r="1092" spans="1:8" x14ac:dyDescent="0.3">
      <c r="A1092" s="88" t="s">
        <v>592</v>
      </c>
      <c r="B1092" s="88">
        <v>164</v>
      </c>
      <c r="C1092" s="88">
        <v>35</v>
      </c>
      <c r="D1092" s="88" t="s">
        <v>553</v>
      </c>
      <c r="E1092" s="88" t="s">
        <v>805</v>
      </c>
      <c r="F1092" s="88" t="s">
        <v>1236</v>
      </c>
      <c r="G1092" s="88" t="s">
        <v>755</v>
      </c>
      <c r="H1092" s="88" t="s">
        <v>596</v>
      </c>
    </row>
    <row r="1093" spans="1:8" x14ac:dyDescent="0.3">
      <c r="A1093" s="88" t="s">
        <v>592</v>
      </c>
      <c r="B1093" s="88">
        <v>164</v>
      </c>
      <c r="C1093" s="88">
        <v>36</v>
      </c>
      <c r="D1093" s="88" t="s">
        <v>553</v>
      </c>
      <c r="E1093" s="88" t="s">
        <v>1309</v>
      </c>
      <c r="F1093" s="88" t="s">
        <v>1399</v>
      </c>
      <c r="G1093" s="88" t="s">
        <v>758</v>
      </c>
      <c r="H1093" s="88" t="s">
        <v>596</v>
      </c>
    </row>
    <row r="1094" spans="1:8" ht="28.8" x14ac:dyDescent="0.3">
      <c r="A1094" s="88" t="s">
        <v>592</v>
      </c>
      <c r="B1094" s="88">
        <v>164</v>
      </c>
      <c r="C1094" s="88">
        <v>39</v>
      </c>
      <c r="D1094" s="88" t="s">
        <v>553</v>
      </c>
      <c r="E1094" s="88" t="s">
        <v>1441</v>
      </c>
      <c r="F1094" s="88" t="s">
        <v>1442</v>
      </c>
      <c r="G1094" s="88" t="s">
        <v>719</v>
      </c>
      <c r="H1094" s="88" t="s">
        <v>596</v>
      </c>
    </row>
    <row r="1095" spans="1:8" ht="28.8" x14ac:dyDescent="0.3">
      <c r="A1095" s="88" t="s">
        <v>592</v>
      </c>
      <c r="B1095" s="88">
        <v>164</v>
      </c>
      <c r="C1095" s="88">
        <v>40</v>
      </c>
      <c r="D1095" s="88" t="s">
        <v>553</v>
      </c>
      <c r="E1095" s="88" t="s">
        <v>1443</v>
      </c>
      <c r="F1095" s="88" t="s">
        <v>1444</v>
      </c>
      <c r="G1095" s="88" t="s">
        <v>724</v>
      </c>
      <c r="H1095" s="88" t="s">
        <v>596</v>
      </c>
    </row>
    <row r="1096" spans="1:8" x14ac:dyDescent="0.3">
      <c r="A1096" s="88" t="s">
        <v>592</v>
      </c>
      <c r="B1096" s="88">
        <v>165</v>
      </c>
      <c r="C1096" s="88">
        <v>18</v>
      </c>
      <c r="D1096" s="88" t="s">
        <v>555</v>
      </c>
      <c r="E1096" s="88" t="s">
        <v>1047</v>
      </c>
      <c r="F1096" s="88" t="s">
        <v>628</v>
      </c>
      <c r="G1096" s="88" t="s">
        <v>896</v>
      </c>
      <c r="H1096" s="88" t="s">
        <v>596</v>
      </c>
    </row>
    <row r="1097" spans="1:8" x14ac:dyDescent="0.3">
      <c r="A1097" s="88" t="s">
        <v>592</v>
      </c>
      <c r="B1097" s="88">
        <v>165</v>
      </c>
      <c r="C1097" s="88">
        <v>33</v>
      </c>
      <c r="D1097" s="88" t="s">
        <v>555</v>
      </c>
      <c r="E1097" s="88" t="s">
        <v>843</v>
      </c>
      <c r="F1097" s="88" t="s">
        <v>1017</v>
      </c>
      <c r="G1097" s="88" t="s">
        <v>749</v>
      </c>
      <c r="H1097" s="88" t="s">
        <v>596</v>
      </c>
    </row>
    <row r="1098" spans="1:8" x14ac:dyDescent="0.3">
      <c r="A1098" s="88" t="s">
        <v>592</v>
      </c>
      <c r="B1098" s="88">
        <v>165</v>
      </c>
      <c r="C1098" s="88">
        <v>34</v>
      </c>
      <c r="D1098" s="88" t="s">
        <v>555</v>
      </c>
      <c r="E1098" s="88" t="s">
        <v>1445</v>
      </c>
      <c r="F1098" s="88" t="s">
        <v>1074</v>
      </c>
      <c r="G1098" s="88" t="s">
        <v>752</v>
      </c>
      <c r="H1098" s="88" t="s">
        <v>596</v>
      </c>
    </row>
    <row r="1099" spans="1:8" x14ac:dyDescent="0.3">
      <c r="A1099" s="88" t="s">
        <v>592</v>
      </c>
      <c r="B1099" s="88">
        <v>165</v>
      </c>
      <c r="C1099" s="88">
        <v>35</v>
      </c>
      <c r="D1099" s="88" t="s">
        <v>555</v>
      </c>
      <c r="E1099" s="88" t="s">
        <v>891</v>
      </c>
      <c r="F1099" s="88" t="s">
        <v>979</v>
      </c>
      <c r="G1099" s="88" t="s">
        <v>755</v>
      </c>
      <c r="H1099" s="88" t="s">
        <v>596</v>
      </c>
    </row>
    <row r="1100" spans="1:8" x14ac:dyDescent="0.3">
      <c r="A1100" s="88" t="s">
        <v>592</v>
      </c>
      <c r="B1100" s="88">
        <v>165</v>
      </c>
      <c r="C1100" s="88">
        <v>36</v>
      </c>
      <c r="D1100" s="88" t="s">
        <v>555</v>
      </c>
      <c r="E1100" s="88" t="s">
        <v>860</v>
      </c>
      <c r="F1100" s="88" t="s">
        <v>1401</v>
      </c>
      <c r="G1100" s="88" t="s">
        <v>758</v>
      </c>
      <c r="H1100" s="88" t="s">
        <v>596</v>
      </c>
    </row>
    <row r="1101" spans="1:8" ht="28.8" x14ac:dyDescent="0.3">
      <c r="A1101" s="88" t="s">
        <v>592</v>
      </c>
      <c r="B1101" s="88">
        <v>165</v>
      </c>
      <c r="C1101" s="88">
        <v>39</v>
      </c>
      <c r="D1101" s="88" t="s">
        <v>555</v>
      </c>
      <c r="E1101" s="88" t="s">
        <v>895</v>
      </c>
      <c r="F1101" s="88" t="s">
        <v>1249</v>
      </c>
      <c r="G1101" s="88" t="s">
        <v>719</v>
      </c>
      <c r="H1101" s="88" t="s">
        <v>596</v>
      </c>
    </row>
    <row r="1102" spans="1:8" ht="28.8" x14ac:dyDescent="0.3">
      <c r="A1102" s="88" t="s">
        <v>592</v>
      </c>
      <c r="B1102" s="88">
        <v>165</v>
      </c>
      <c r="C1102" s="88">
        <v>40</v>
      </c>
      <c r="D1102" s="88" t="s">
        <v>555</v>
      </c>
      <c r="E1102" s="88" t="s">
        <v>1446</v>
      </c>
      <c r="F1102" s="88" t="s">
        <v>1447</v>
      </c>
      <c r="G1102" s="88" t="s">
        <v>724</v>
      </c>
      <c r="H1102" s="88" t="s">
        <v>596</v>
      </c>
    </row>
    <row r="1103" spans="1:8" x14ac:dyDescent="0.3">
      <c r="A1103" s="88" t="s">
        <v>592</v>
      </c>
      <c r="B1103" s="88">
        <v>166</v>
      </c>
      <c r="C1103" s="88">
        <v>18</v>
      </c>
      <c r="D1103" s="88" t="s">
        <v>253</v>
      </c>
      <c r="E1103" s="88" t="s">
        <v>894</v>
      </c>
      <c r="F1103" s="88" t="s">
        <v>1047</v>
      </c>
      <c r="G1103" s="88" t="s">
        <v>896</v>
      </c>
      <c r="H1103" s="88" t="s">
        <v>596</v>
      </c>
    </row>
    <row r="1104" spans="1:8" x14ac:dyDescent="0.3">
      <c r="A1104" s="88" t="s">
        <v>592</v>
      </c>
      <c r="B1104" s="88">
        <v>166</v>
      </c>
      <c r="C1104" s="88">
        <v>33</v>
      </c>
      <c r="D1104" s="88" t="s">
        <v>253</v>
      </c>
      <c r="E1104" s="88" t="s">
        <v>784</v>
      </c>
      <c r="F1104" s="88" t="s">
        <v>985</v>
      </c>
      <c r="G1104" s="88" t="s">
        <v>749</v>
      </c>
      <c r="H1104" s="88" t="s">
        <v>596</v>
      </c>
    </row>
    <row r="1105" spans="1:8" x14ac:dyDescent="0.3">
      <c r="A1105" s="88" t="s">
        <v>592</v>
      </c>
      <c r="B1105" s="88">
        <v>166</v>
      </c>
      <c r="C1105" s="88">
        <v>34</v>
      </c>
      <c r="D1105" s="88" t="s">
        <v>253</v>
      </c>
      <c r="E1105" s="88" t="s">
        <v>1448</v>
      </c>
      <c r="F1105" s="88" t="s">
        <v>1099</v>
      </c>
      <c r="G1105" s="88" t="s">
        <v>752</v>
      </c>
      <c r="H1105" s="88" t="s">
        <v>596</v>
      </c>
    </row>
    <row r="1106" spans="1:8" x14ac:dyDescent="0.3">
      <c r="A1106" s="88" t="s">
        <v>592</v>
      </c>
      <c r="B1106" s="88">
        <v>166</v>
      </c>
      <c r="C1106" s="88">
        <v>36</v>
      </c>
      <c r="D1106" s="88" t="s">
        <v>253</v>
      </c>
      <c r="E1106" s="88" t="s">
        <v>1449</v>
      </c>
      <c r="F1106" s="88" t="s">
        <v>1089</v>
      </c>
      <c r="G1106" s="88" t="s">
        <v>758</v>
      </c>
      <c r="H1106" s="88" t="s">
        <v>596</v>
      </c>
    </row>
    <row r="1107" spans="1:8" ht="28.8" x14ac:dyDescent="0.3">
      <c r="A1107" s="88" t="s">
        <v>592</v>
      </c>
      <c r="B1107" s="88">
        <v>166</v>
      </c>
      <c r="C1107" s="88">
        <v>39</v>
      </c>
      <c r="D1107" s="88" t="s">
        <v>253</v>
      </c>
      <c r="E1107" s="88" t="s">
        <v>1450</v>
      </c>
      <c r="F1107" s="88" t="s">
        <v>1451</v>
      </c>
      <c r="G1107" s="88" t="s">
        <v>719</v>
      </c>
      <c r="H1107" s="88" t="s">
        <v>596</v>
      </c>
    </row>
    <row r="1108" spans="1:8" ht="28.8" x14ac:dyDescent="0.3">
      <c r="A1108" s="88" t="s">
        <v>592</v>
      </c>
      <c r="B1108" s="88">
        <v>166</v>
      </c>
      <c r="C1108" s="88">
        <v>40</v>
      </c>
      <c r="D1108" s="88" t="s">
        <v>253</v>
      </c>
      <c r="E1108" s="88" t="s">
        <v>1452</v>
      </c>
      <c r="F1108" s="88" t="s">
        <v>1429</v>
      </c>
      <c r="G1108" s="88" t="s">
        <v>724</v>
      </c>
      <c r="H1108" s="88" t="s">
        <v>596</v>
      </c>
    </row>
    <row r="1109" spans="1:8" x14ac:dyDescent="0.3">
      <c r="A1109" s="88" t="s">
        <v>592</v>
      </c>
      <c r="B1109" s="88">
        <v>167</v>
      </c>
      <c r="C1109" s="88">
        <v>18</v>
      </c>
      <c r="D1109" s="88" t="s">
        <v>558</v>
      </c>
      <c r="E1109" s="88" t="s">
        <v>1431</v>
      </c>
      <c r="F1109" s="88" t="s">
        <v>1160</v>
      </c>
      <c r="G1109" s="88" t="s">
        <v>896</v>
      </c>
      <c r="H1109" s="88" t="s">
        <v>596</v>
      </c>
    </row>
    <row r="1110" spans="1:8" x14ac:dyDescent="0.3">
      <c r="A1110" s="88" t="s">
        <v>592</v>
      </c>
      <c r="B1110" s="88">
        <v>167</v>
      </c>
      <c r="C1110" s="88">
        <v>33</v>
      </c>
      <c r="D1110" s="88" t="s">
        <v>558</v>
      </c>
      <c r="E1110" s="88" t="s">
        <v>849</v>
      </c>
      <c r="F1110" s="88" t="s">
        <v>1214</v>
      </c>
      <c r="G1110" s="88" t="s">
        <v>749</v>
      </c>
      <c r="H1110" s="88" t="s">
        <v>596</v>
      </c>
    </row>
    <row r="1111" spans="1:8" x14ac:dyDescent="0.3">
      <c r="A1111" s="88" t="s">
        <v>592</v>
      </c>
      <c r="B1111" s="88">
        <v>167</v>
      </c>
      <c r="C1111" s="88">
        <v>34</v>
      </c>
      <c r="D1111" s="88" t="s">
        <v>558</v>
      </c>
      <c r="E1111" s="88" t="s">
        <v>1453</v>
      </c>
      <c r="F1111" s="88" t="s">
        <v>814</v>
      </c>
      <c r="G1111" s="88" t="s">
        <v>752</v>
      </c>
      <c r="H1111" s="88" t="s">
        <v>596</v>
      </c>
    </row>
    <row r="1112" spans="1:8" x14ac:dyDescent="0.3">
      <c r="A1112" s="88" t="s">
        <v>592</v>
      </c>
      <c r="B1112" s="88">
        <v>167</v>
      </c>
      <c r="C1112" s="88">
        <v>35</v>
      </c>
      <c r="D1112" s="88" t="s">
        <v>558</v>
      </c>
      <c r="E1112" s="88" t="s">
        <v>1454</v>
      </c>
      <c r="F1112" s="88" t="s">
        <v>651</v>
      </c>
      <c r="G1112" s="88" t="s">
        <v>755</v>
      </c>
      <c r="H1112" s="88" t="s">
        <v>596</v>
      </c>
    </row>
    <row r="1113" spans="1:8" x14ac:dyDescent="0.3">
      <c r="A1113" s="88" t="s">
        <v>592</v>
      </c>
      <c r="B1113" s="88">
        <v>167</v>
      </c>
      <c r="C1113" s="88">
        <v>36</v>
      </c>
      <c r="D1113" s="88" t="s">
        <v>558</v>
      </c>
      <c r="E1113" s="88" t="s">
        <v>1375</v>
      </c>
      <c r="F1113" s="88" t="s">
        <v>1071</v>
      </c>
      <c r="G1113" s="88" t="s">
        <v>758</v>
      </c>
      <c r="H1113" s="88" t="s">
        <v>596</v>
      </c>
    </row>
    <row r="1114" spans="1:8" ht="28.8" x14ac:dyDescent="0.3">
      <c r="A1114" s="88" t="s">
        <v>592</v>
      </c>
      <c r="B1114" s="88">
        <v>167</v>
      </c>
      <c r="C1114" s="88">
        <v>39</v>
      </c>
      <c r="D1114" s="88" t="s">
        <v>558</v>
      </c>
      <c r="E1114" s="88" t="s">
        <v>1045</v>
      </c>
      <c r="F1114" s="88" t="s">
        <v>1046</v>
      </c>
      <c r="G1114" s="88" t="s">
        <v>719</v>
      </c>
      <c r="H1114" s="88" t="s">
        <v>596</v>
      </c>
    </row>
    <row r="1115" spans="1:8" ht="28.8" x14ac:dyDescent="0.3">
      <c r="A1115" s="88" t="s">
        <v>592</v>
      </c>
      <c r="B1115" s="88">
        <v>167</v>
      </c>
      <c r="C1115" s="88">
        <v>40</v>
      </c>
      <c r="D1115" s="88" t="s">
        <v>558</v>
      </c>
      <c r="E1115" s="88" t="s">
        <v>1455</v>
      </c>
      <c r="F1115" s="88" t="s">
        <v>1436</v>
      </c>
      <c r="G1115" s="88" t="s">
        <v>724</v>
      </c>
      <c r="H1115" s="88" t="s">
        <v>596</v>
      </c>
    </row>
    <row r="1116" spans="1:8" x14ac:dyDescent="0.3">
      <c r="A1116" s="88" t="s">
        <v>592</v>
      </c>
      <c r="B1116" s="88">
        <v>168</v>
      </c>
      <c r="C1116" s="88">
        <v>18</v>
      </c>
      <c r="D1116" s="88" t="s">
        <v>255</v>
      </c>
      <c r="E1116" s="88" t="s">
        <v>627</v>
      </c>
      <c r="F1116" s="88" t="s">
        <v>1438</v>
      </c>
      <c r="G1116" s="88" t="s">
        <v>896</v>
      </c>
      <c r="H1116" s="88" t="s">
        <v>596</v>
      </c>
    </row>
    <row r="1117" spans="1:8" x14ac:dyDescent="0.3">
      <c r="A1117" s="88" t="s">
        <v>592</v>
      </c>
      <c r="B1117" s="88">
        <v>168</v>
      </c>
      <c r="C1117" s="88">
        <v>33</v>
      </c>
      <c r="D1117" s="88" t="s">
        <v>255</v>
      </c>
      <c r="E1117" s="88" t="s">
        <v>1165</v>
      </c>
      <c r="F1117" s="88" t="s">
        <v>1204</v>
      </c>
      <c r="G1117" s="88" t="s">
        <v>749</v>
      </c>
      <c r="H1117" s="88" t="s">
        <v>596</v>
      </c>
    </row>
    <row r="1118" spans="1:8" x14ac:dyDescent="0.3">
      <c r="A1118" s="88" t="s">
        <v>592</v>
      </c>
      <c r="B1118" s="88">
        <v>168</v>
      </c>
      <c r="C1118" s="88">
        <v>34</v>
      </c>
      <c r="D1118" s="88" t="s">
        <v>255</v>
      </c>
      <c r="E1118" s="88" t="s">
        <v>1404</v>
      </c>
      <c r="F1118" s="88" t="s">
        <v>1391</v>
      </c>
      <c r="G1118" s="88" t="s">
        <v>752</v>
      </c>
      <c r="H1118" s="88" t="s">
        <v>596</v>
      </c>
    </row>
    <row r="1119" spans="1:8" x14ac:dyDescent="0.3">
      <c r="A1119" s="88" t="s">
        <v>592</v>
      </c>
      <c r="B1119" s="88">
        <v>168</v>
      </c>
      <c r="C1119" s="88">
        <v>35</v>
      </c>
      <c r="D1119" s="88" t="s">
        <v>255</v>
      </c>
      <c r="E1119" s="88" t="s">
        <v>1067</v>
      </c>
      <c r="F1119" s="88" t="s">
        <v>927</v>
      </c>
      <c r="G1119" s="88" t="s">
        <v>755</v>
      </c>
      <c r="H1119" s="88" t="s">
        <v>596</v>
      </c>
    </row>
    <row r="1120" spans="1:8" x14ac:dyDescent="0.3">
      <c r="A1120" s="88" t="s">
        <v>592</v>
      </c>
      <c r="B1120" s="88">
        <v>168</v>
      </c>
      <c r="C1120" s="88">
        <v>36</v>
      </c>
      <c r="D1120" s="88" t="s">
        <v>255</v>
      </c>
      <c r="E1120" s="88" t="s">
        <v>825</v>
      </c>
      <c r="F1120" s="88" t="s">
        <v>1318</v>
      </c>
      <c r="G1120" s="88" t="s">
        <v>758</v>
      </c>
      <c r="H1120" s="88" t="s">
        <v>596</v>
      </c>
    </row>
    <row r="1121" spans="1:8" ht="28.8" x14ac:dyDescent="0.3">
      <c r="A1121" s="88" t="s">
        <v>592</v>
      </c>
      <c r="B1121" s="88">
        <v>168</v>
      </c>
      <c r="C1121" s="88">
        <v>39</v>
      </c>
      <c r="D1121" s="88" t="s">
        <v>255</v>
      </c>
      <c r="E1121" s="88" t="s">
        <v>1456</v>
      </c>
      <c r="F1121" s="88" t="s">
        <v>1457</v>
      </c>
      <c r="G1121" s="88" t="s">
        <v>719</v>
      </c>
      <c r="H1121" s="88" t="s">
        <v>596</v>
      </c>
    </row>
    <row r="1122" spans="1:8" ht="28.8" x14ac:dyDescent="0.3">
      <c r="A1122" s="88" t="s">
        <v>592</v>
      </c>
      <c r="B1122" s="88">
        <v>168</v>
      </c>
      <c r="C1122" s="88">
        <v>40</v>
      </c>
      <c r="D1122" s="88" t="s">
        <v>255</v>
      </c>
      <c r="E1122" s="88" t="s">
        <v>1444</v>
      </c>
      <c r="F1122" s="88" t="s">
        <v>1443</v>
      </c>
      <c r="G1122" s="88" t="s">
        <v>724</v>
      </c>
      <c r="H1122" s="88" t="s">
        <v>596</v>
      </c>
    </row>
    <row r="1123" spans="1:8" x14ac:dyDescent="0.3">
      <c r="A1123" s="88" t="s">
        <v>592</v>
      </c>
      <c r="B1123" s="88">
        <v>169</v>
      </c>
      <c r="C1123" s="88">
        <v>18</v>
      </c>
      <c r="D1123" s="88" t="s">
        <v>561</v>
      </c>
      <c r="E1123" s="88" t="s">
        <v>628</v>
      </c>
      <c r="F1123" s="88" t="s">
        <v>1047</v>
      </c>
      <c r="G1123" s="88" t="s">
        <v>896</v>
      </c>
      <c r="H1123" s="88" t="s">
        <v>596</v>
      </c>
    </row>
    <row r="1124" spans="1:8" x14ac:dyDescent="0.3">
      <c r="A1124" s="88" t="s">
        <v>592</v>
      </c>
      <c r="B1124" s="88">
        <v>169</v>
      </c>
      <c r="C1124" s="88">
        <v>33</v>
      </c>
      <c r="D1124" s="88" t="s">
        <v>561</v>
      </c>
      <c r="E1124" s="88" t="s">
        <v>1067</v>
      </c>
      <c r="F1124" s="88" t="s">
        <v>1230</v>
      </c>
      <c r="G1124" s="88" t="s">
        <v>749</v>
      </c>
      <c r="H1124" s="88" t="s">
        <v>596</v>
      </c>
    </row>
    <row r="1125" spans="1:8" x14ac:dyDescent="0.3">
      <c r="A1125" s="88" t="s">
        <v>592</v>
      </c>
      <c r="B1125" s="88">
        <v>169</v>
      </c>
      <c r="C1125" s="88">
        <v>34</v>
      </c>
      <c r="D1125" s="88" t="s">
        <v>561</v>
      </c>
      <c r="E1125" s="88" t="s">
        <v>1458</v>
      </c>
      <c r="F1125" s="88" t="s">
        <v>1173</v>
      </c>
      <c r="G1125" s="88" t="s">
        <v>752</v>
      </c>
      <c r="H1125" s="88" t="s">
        <v>596</v>
      </c>
    </row>
    <row r="1126" spans="1:8" x14ac:dyDescent="0.3">
      <c r="A1126" s="88" t="s">
        <v>592</v>
      </c>
      <c r="B1126" s="88">
        <v>169</v>
      </c>
      <c r="C1126" s="88">
        <v>35</v>
      </c>
      <c r="D1126" s="88" t="s">
        <v>561</v>
      </c>
      <c r="E1126" s="88" t="s">
        <v>1179</v>
      </c>
      <c r="F1126" s="88" t="s">
        <v>866</v>
      </c>
      <c r="G1126" s="88" t="s">
        <v>755</v>
      </c>
      <c r="H1126" s="88" t="s">
        <v>596</v>
      </c>
    </row>
    <row r="1127" spans="1:8" x14ac:dyDescent="0.3">
      <c r="A1127" s="88" t="s">
        <v>592</v>
      </c>
      <c r="B1127" s="88">
        <v>169</v>
      </c>
      <c r="C1127" s="88">
        <v>36</v>
      </c>
      <c r="D1127" s="88" t="s">
        <v>561</v>
      </c>
      <c r="E1127" s="88" t="s">
        <v>1324</v>
      </c>
      <c r="F1127" s="88" t="s">
        <v>1221</v>
      </c>
      <c r="G1127" s="88" t="s">
        <v>758</v>
      </c>
      <c r="H1127" s="88" t="s">
        <v>596</v>
      </c>
    </row>
    <row r="1128" spans="1:8" ht="28.8" x14ac:dyDescent="0.3">
      <c r="A1128" s="88" t="s">
        <v>592</v>
      </c>
      <c r="B1128" s="88">
        <v>169</v>
      </c>
      <c r="C1128" s="88">
        <v>39</v>
      </c>
      <c r="D1128" s="88" t="s">
        <v>561</v>
      </c>
      <c r="E1128" s="88" t="s">
        <v>1459</v>
      </c>
      <c r="F1128" s="88" t="s">
        <v>1460</v>
      </c>
      <c r="G1128" s="88" t="s">
        <v>719</v>
      </c>
      <c r="H1128" s="88" t="s">
        <v>596</v>
      </c>
    </row>
    <row r="1129" spans="1:8" ht="28.8" x14ac:dyDescent="0.3">
      <c r="A1129" s="88" t="s">
        <v>592</v>
      </c>
      <c r="B1129" s="88">
        <v>169</v>
      </c>
      <c r="C1129" s="88">
        <v>40</v>
      </c>
      <c r="D1129" s="88" t="s">
        <v>561</v>
      </c>
      <c r="E1129" s="88" t="s">
        <v>1461</v>
      </c>
      <c r="F1129" s="88" t="s">
        <v>1446</v>
      </c>
      <c r="G1129" s="88" t="s">
        <v>724</v>
      </c>
      <c r="H1129" s="88" t="s">
        <v>596</v>
      </c>
    </row>
    <row r="1130" spans="1:8" x14ac:dyDescent="0.3">
      <c r="A1130" s="88" t="s">
        <v>592</v>
      </c>
      <c r="B1130" s="88">
        <v>170</v>
      </c>
      <c r="C1130" s="88">
        <v>33</v>
      </c>
      <c r="D1130" s="88" t="s">
        <v>257</v>
      </c>
      <c r="E1130" s="88" t="s">
        <v>983</v>
      </c>
      <c r="F1130" s="88" t="s">
        <v>1130</v>
      </c>
      <c r="G1130" s="88" t="s">
        <v>749</v>
      </c>
      <c r="H1130" s="88" t="s">
        <v>596</v>
      </c>
    </row>
    <row r="1131" spans="1:8" x14ac:dyDescent="0.3">
      <c r="A1131" s="88" t="s">
        <v>592</v>
      </c>
      <c r="B1131" s="88">
        <v>170</v>
      </c>
      <c r="C1131" s="88">
        <v>34</v>
      </c>
      <c r="D1131" s="88" t="s">
        <v>257</v>
      </c>
      <c r="E1131" s="88" t="s">
        <v>952</v>
      </c>
      <c r="F1131" s="88" t="s">
        <v>1404</v>
      </c>
      <c r="G1131" s="88" t="s">
        <v>752</v>
      </c>
      <c r="H1131" s="88" t="s">
        <v>596</v>
      </c>
    </row>
    <row r="1132" spans="1:8" x14ac:dyDescent="0.3">
      <c r="A1132" s="88" t="s">
        <v>592</v>
      </c>
      <c r="B1132" s="88">
        <v>170</v>
      </c>
      <c r="C1132" s="88">
        <v>35</v>
      </c>
      <c r="D1132" s="88" t="s">
        <v>257</v>
      </c>
      <c r="E1132" s="88" t="s">
        <v>1071</v>
      </c>
      <c r="F1132" s="88" t="s">
        <v>771</v>
      </c>
      <c r="G1132" s="88" t="s">
        <v>755</v>
      </c>
      <c r="H1132" s="88" t="s">
        <v>596</v>
      </c>
    </row>
    <row r="1133" spans="1:8" x14ac:dyDescent="0.3">
      <c r="A1133" s="88" t="s">
        <v>592</v>
      </c>
      <c r="B1133" s="88">
        <v>170</v>
      </c>
      <c r="C1133" s="88">
        <v>36</v>
      </c>
      <c r="D1133" s="88" t="s">
        <v>257</v>
      </c>
      <c r="E1133" s="88" t="s">
        <v>903</v>
      </c>
      <c r="F1133" s="88" t="s">
        <v>890</v>
      </c>
      <c r="G1133" s="88" t="s">
        <v>758</v>
      </c>
      <c r="H1133" s="88" t="s">
        <v>596</v>
      </c>
    </row>
    <row r="1134" spans="1:8" ht="28.8" x14ac:dyDescent="0.3">
      <c r="A1134" s="88" t="s">
        <v>592</v>
      </c>
      <c r="B1134" s="88">
        <v>170</v>
      </c>
      <c r="C1134" s="88">
        <v>39</v>
      </c>
      <c r="D1134" s="88" t="s">
        <v>257</v>
      </c>
      <c r="E1134" s="88" t="s">
        <v>1008</v>
      </c>
      <c r="F1134" s="88" t="s">
        <v>1270</v>
      </c>
      <c r="G1134" s="88" t="s">
        <v>719</v>
      </c>
      <c r="H1134" s="88" t="s">
        <v>596</v>
      </c>
    </row>
    <row r="1135" spans="1:8" ht="28.8" x14ac:dyDescent="0.3">
      <c r="A1135" s="88" t="s">
        <v>592</v>
      </c>
      <c r="B1135" s="88">
        <v>170</v>
      </c>
      <c r="C1135" s="88">
        <v>40</v>
      </c>
      <c r="D1135" s="88" t="s">
        <v>257</v>
      </c>
      <c r="E1135" s="88" t="s">
        <v>1462</v>
      </c>
      <c r="F1135" s="88" t="s">
        <v>1463</v>
      </c>
      <c r="G1135" s="88" t="s">
        <v>724</v>
      </c>
      <c r="H1135" s="88" t="s">
        <v>596</v>
      </c>
    </row>
    <row r="1136" spans="1:8" x14ac:dyDescent="0.3">
      <c r="A1136" s="88" t="s">
        <v>592</v>
      </c>
      <c r="B1136" s="88">
        <v>171</v>
      </c>
      <c r="C1136" s="88">
        <v>33</v>
      </c>
      <c r="D1136" s="88" t="s">
        <v>258</v>
      </c>
      <c r="E1136" s="88" t="s">
        <v>748</v>
      </c>
      <c r="F1136" s="88" t="s">
        <v>844</v>
      </c>
      <c r="G1136" s="88" t="s">
        <v>749</v>
      </c>
      <c r="H1136" s="88" t="s">
        <v>596</v>
      </c>
    </row>
    <row r="1137" spans="1:8" x14ac:dyDescent="0.3">
      <c r="A1137" s="88" t="s">
        <v>592</v>
      </c>
      <c r="B1137" s="88">
        <v>171</v>
      </c>
      <c r="C1137" s="88">
        <v>34</v>
      </c>
      <c r="D1137" s="88" t="s">
        <v>258</v>
      </c>
      <c r="E1137" s="88" t="s">
        <v>751</v>
      </c>
      <c r="F1137" s="88" t="s">
        <v>1407</v>
      </c>
      <c r="G1137" s="88" t="s">
        <v>752</v>
      </c>
      <c r="H1137" s="88" t="s">
        <v>596</v>
      </c>
    </row>
    <row r="1138" spans="1:8" x14ac:dyDescent="0.3">
      <c r="A1138" s="88" t="s">
        <v>592</v>
      </c>
      <c r="B1138" s="88">
        <v>171</v>
      </c>
      <c r="C1138" s="88">
        <v>35</v>
      </c>
      <c r="D1138" s="88" t="s">
        <v>258</v>
      </c>
      <c r="E1138" s="88" t="s">
        <v>754</v>
      </c>
      <c r="F1138" s="88" t="s">
        <v>944</v>
      </c>
      <c r="G1138" s="88" t="s">
        <v>755</v>
      </c>
      <c r="H1138" s="88" t="s">
        <v>596</v>
      </c>
    </row>
    <row r="1139" spans="1:8" x14ac:dyDescent="0.3">
      <c r="A1139" s="88" t="s">
        <v>592</v>
      </c>
      <c r="B1139" s="88">
        <v>171</v>
      </c>
      <c r="C1139" s="88">
        <v>36</v>
      </c>
      <c r="D1139" s="88" t="s">
        <v>258</v>
      </c>
      <c r="E1139" s="88" t="s">
        <v>757</v>
      </c>
      <c r="F1139" s="88" t="s">
        <v>1408</v>
      </c>
      <c r="G1139" s="88" t="s">
        <v>758</v>
      </c>
      <c r="H1139" s="88" t="s">
        <v>596</v>
      </c>
    </row>
    <row r="1140" spans="1:8" ht="28.8" x14ac:dyDescent="0.3">
      <c r="A1140" s="88" t="s">
        <v>592</v>
      </c>
      <c r="B1140" s="88">
        <v>171</v>
      </c>
      <c r="C1140" s="88">
        <v>39</v>
      </c>
      <c r="D1140" s="88" t="s">
        <v>258</v>
      </c>
      <c r="E1140" s="88" t="s">
        <v>1325</v>
      </c>
      <c r="F1140" s="88" t="s">
        <v>1464</v>
      </c>
      <c r="G1140" s="88" t="s">
        <v>719</v>
      </c>
      <c r="H1140" s="88" t="s">
        <v>596</v>
      </c>
    </row>
    <row r="1141" spans="1:8" ht="28.8" x14ac:dyDescent="0.3">
      <c r="A1141" s="88" t="s">
        <v>592</v>
      </c>
      <c r="B1141" s="88">
        <v>171</v>
      </c>
      <c r="C1141" s="88">
        <v>40</v>
      </c>
      <c r="D1141" s="88" t="s">
        <v>258</v>
      </c>
      <c r="E1141" s="88" t="s">
        <v>1465</v>
      </c>
      <c r="F1141" s="88" t="s">
        <v>1466</v>
      </c>
      <c r="G1141" s="88" t="s">
        <v>724</v>
      </c>
      <c r="H1141" s="88" t="s">
        <v>596</v>
      </c>
    </row>
    <row r="1142" spans="1:8" x14ac:dyDescent="0.3">
      <c r="A1142" s="88" t="s">
        <v>592</v>
      </c>
      <c r="B1142" s="88">
        <v>172</v>
      </c>
      <c r="C1142" s="88">
        <v>33</v>
      </c>
      <c r="D1142" s="88" t="s">
        <v>259</v>
      </c>
      <c r="E1142" s="88" t="s">
        <v>866</v>
      </c>
      <c r="F1142" s="88" t="s">
        <v>916</v>
      </c>
      <c r="G1142" s="88" t="s">
        <v>749</v>
      </c>
      <c r="H1142" s="88" t="s">
        <v>596</v>
      </c>
    </row>
    <row r="1143" spans="1:8" x14ac:dyDescent="0.3">
      <c r="A1143" s="88" t="s">
        <v>592</v>
      </c>
      <c r="B1143" s="88">
        <v>172</v>
      </c>
      <c r="C1143" s="88">
        <v>34</v>
      </c>
      <c r="D1143" s="88" t="s">
        <v>259</v>
      </c>
      <c r="E1143" s="88" t="s">
        <v>835</v>
      </c>
      <c r="F1143" s="88" t="s">
        <v>1412</v>
      </c>
      <c r="G1143" s="88" t="s">
        <v>752</v>
      </c>
      <c r="H1143" s="88" t="s">
        <v>596</v>
      </c>
    </row>
    <row r="1144" spans="1:8" x14ac:dyDescent="0.3">
      <c r="A1144" s="88" t="s">
        <v>592</v>
      </c>
      <c r="B1144" s="88">
        <v>172</v>
      </c>
      <c r="C1144" s="88">
        <v>35</v>
      </c>
      <c r="D1144" s="88" t="s">
        <v>259</v>
      </c>
      <c r="E1144" s="88" t="s">
        <v>854</v>
      </c>
      <c r="F1144" s="88" t="s">
        <v>1413</v>
      </c>
      <c r="G1144" s="88" t="s">
        <v>755</v>
      </c>
      <c r="H1144" s="88" t="s">
        <v>596</v>
      </c>
    </row>
    <row r="1145" spans="1:8" x14ac:dyDescent="0.3">
      <c r="A1145" s="88" t="s">
        <v>592</v>
      </c>
      <c r="B1145" s="88">
        <v>172</v>
      </c>
      <c r="C1145" s="88">
        <v>36</v>
      </c>
      <c r="D1145" s="88" t="s">
        <v>259</v>
      </c>
      <c r="E1145" s="88" t="s">
        <v>920</v>
      </c>
      <c r="F1145" s="88" t="s">
        <v>1414</v>
      </c>
      <c r="G1145" s="88" t="s">
        <v>758</v>
      </c>
      <c r="H1145" s="88" t="s">
        <v>596</v>
      </c>
    </row>
    <row r="1146" spans="1:8" ht="28.8" x14ac:dyDescent="0.3">
      <c r="A1146" s="88" t="s">
        <v>592</v>
      </c>
      <c r="B1146" s="88">
        <v>172</v>
      </c>
      <c r="C1146" s="88">
        <v>39</v>
      </c>
      <c r="D1146" s="88" t="s">
        <v>259</v>
      </c>
      <c r="E1146" s="88" t="s">
        <v>1260</v>
      </c>
      <c r="F1146" s="88" t="s">
        <v>1467</v>
      </c>
      <c r="G1146" s="88" t="s">
        <v>719</v>
      </c>
      <c r="H1146" s="88" t="s">
        <v>596</v>
      </c>
    </row>
    <row r="1147" spans="1:8" ht="28.8" x14ac:dyDescent="0.3">
      <c r="A1147" s="88" t="s">
        <v>592</v>
      </c>
      <c r="B1147" s="88">
        <v>172</v>
      </c>
      <c r="C1147" s="88">
        <v>40</v>
      </c>
      <c r="D1147" s="88" t="s">
        <v>259</v>
      </c>
      <c r="E1147" s="88" t="s">
        <v>1468</v>
      </c>
      <c r="F1147" s="88" t="s">
        <v>1469</v>
      </c>
      <c r="G1147" s="88" t="s">
        <v>724</v>
      </c>
      <c r="H1147" s="88" t="s">
        <v>596</v>
      </c>
    </row>
    <row r="1148" spans="1:8" x14ac:dyDescent="0.3">
      <c r="A1148" s="88" t="s">
        <v>592</v>
      </c>
      <c r="B1148" s="88">
        <v>173</v>
      </c>
      <c r="C1148" s="88">
        <v>33</v>
      </c>
      <c r="D1148" s="88" t="s">
        <v>566</v>
      </c>
      <c r="E1148" s="88" t="s">
        <v>934</v>
      </c>
      <c r="F1148" s="88" t="s">
        <v>923</v>
      </c>
      <c r="G1148" s="88" t="s">
        <v>749</v>
      </c>
      <c r="H1148" s="88" t="s">
        <v>596</v>
      </c>
    </row>
    <row r="1149" spans="1:8" x14ac:dyDescent="0.3">
      <c r="A1149" s="88" t="s">
        <v>592</v>
      </c>
      <c r="B1149" s="88">
        <v>173</v>
      </c>
      <c r="C1149" s="88">
        <v>34</v>
      </c>
      <c r="D1149" s="88" t="s">
        <v>566</v>
      </c>
      <c r="E1149" s="88" t="s">
        <v>879</v>
      </c>
      <c r="F1149" s="88" t="s">
        <v>1415</v>
      </c>
      <c r="G1149" s="88" t="s">
        <v>752</v>
      </c>
      <c r="H1149" s="88" t="s">
        <v>596</v>
      </c>
    </row>
    <row r="1150" spans="1:8" x14ac:dyDescent="0.3">
      <c r="A1150" s="88" t="s">
        <v>592</v>
      </c>
      <c r="B1150" s="88">
        <v>173</v>
      </c>
      <c r="C1150" s="88">
        <v>35</v>
      </c>
      <c r="D1150" s="88" t="s">
        <v>566</v>
      </c>
      <c r="E1150" s="88" t="s">
        <v>747</v>
      </c>
      <c r="F1150" s="88" t="s">
        <v>831</v>
      </c>
      <c r="G1150" s="88" t="s">
        <v>755</v>
      </c>
      <c r="H1150" s="88" t="s">
        <v>596</v>
      </c>
    </row>
    <row r="1151" spans="1:8" x14ac:dyDescent="0.3">
      <c r="A1151" s="88" t="s">
        <v>592</v>
      </c>
      <c r="B1151" s="88">
        <v>173</v>
      </c>
      <c r="C1151" s="88">
        <v>36</v>
      </c>
      <c r="D1151" s="88" t="s">
        <v>566</v>
      </c>
      <c r="E1151" s="88" t="s">
        <v>937</v>
      </c>
      <c r="F1151" s="88" t="s">
        <v>656</v>
      </c>
      <c r="G1151" s="88" t="s">
        <v>758</v>
      </c>
      <c r="H1151" s="88" t="s">
        <v>596</v>
      </c>
    </row>
    <row r="1152" spans="1:8" ht="28.8" x14ac:dyDescent="0.3">
      <c r="A1152" s="88" t="s">
        <v>592</v>
      </c>
      <c r="B1152" s="88">
        <v>173</v>
      </c>
      <c r="C1152" s="88">
        <v>39</v>
      </c>
      <c r="D1152" s="88" t="s">
        <v>566</v>
      </c>
      <c r="E1152" s="88" t="s">
        <v>1470</v>
      </c>
      <c r="F1152" s="88" t="s">
        <v>1471</v>
      </c>
      <c r="G1152" s="88" t="s">
        <v>719</v>
      </c>
      <c r="H1152" s="88" t="s">
        <v>596</v>
      </c>
    </row>
    <row r="1153" spans="1:8" ht="28.8" x14ac:dyDescent="0.3">
      <c r="A1153" s="88" t="s">
        <v>592</v>
      </c>
      <c r="B1153" s="88">
        <v>173</v>
      </c>
      <c r="C1153" s="88">
        <v>40</v>
      </c>
      <c r="D1153" s="88" t="s">
        <v>566</v>
      </c>
      <c r="E1153" s="88" t="s">
        <v>1472</v>
      </c>
      <c r="F1153" s="88" t="s">
        <v>1473</v>
      </c>
      <c r="G1153" s="88" t="s">
        <v>724</v>
      </c>
      <c r="H1153" s="88" t="s">
        <v>596</v>
      </c>
    </row>
    <row r="1154" spans="1:8" x14ac:dyDescent="0.3">
      <c r="A1154" s="88" t="s">
        <v>592</v>
      </c>
      <c r="B1154" s="88">
        <v>174</v>
      </c>
      <c r="C1154" s="88">
        <v>33</v>
      </c>
      <c r="D1154" s="88" t="s">
        <v>568</v>
      </c>
      <c r="E1154" s="88" t="s">
        <v>763</v>
      </c>
      <c r="F1154" s="88" t="s">
        <v>651</v>
      </c>
      <c r="G1154" s="88" t="s">
        <v>749</v>
      </c>
      <c r="H1154" s="88" t="s">
        <v>596</v>
      </c>
    </row>
    <row r="1155" spans="1:8" x14ac:dyDescent="0.3">
      <c r="A1155" s="88" t="s">
        <v>592</v>
      </c>
      <c r="B1155" s="88">
        <v>174</v>
      </c>
      <c r="C1155" s="88">
        <v>34</v>
      </c>
      <c r="D1155" s="88" t="s">
        <v>568</v>
      </c>
      <c r="E1155" s="88" t="s">
        <v>959</v>
      </c>
      <c r="F1155" s="88" t="s">
        <v>653</v>
      </c>
      <c r="G1155" s="88" t="s">
        <v>752</v>
      </c>
      <c r="H1155" s="88" t="s">
        <v>596</v>
      </c>
    </row>
    <row r="1156" spans="1:8" x14ac:dyDescent="0.3">
      <c r="A1156" s="88" t="s">
        <v>592</v>
      </c>
      <c r="B1156" s="88">
        <v>174</v>
      </c>
      <c r="C1156" s="88">
        <v>35</v>
      </c>
      <c r="D1156" s="88" t="s">
        <v>568</v>
      </c>
      <c r="E1156" s="88" t="s">
        <v>961</v>
      </c>
      <c r="F1156" s="88" t="s">
        <v>655</v>
      </c>
      <c r="G1156" s="88" t="s">
        <v>755</v>
      </c>
      <c r="H1156" s="88" t="s">
        <v>596</v>
      </c>
    </row>
    <row r="1157" spans="1:8" x14ac:dyDescent="0.3">
      <c r="A1157" s="88" t="s">
        <v>592</v>
      </c>
      <c r="B1157" s="88">
        <v>174</v>
      </c>
      <c r="C1157" s="88">
        <v>36</v>
      </c>
      <c r="D1157" s="88" t="s">
        <v>568</v>
      </c>
      <c r="E1157" s="88" t="s">
        <v>804</v>
      </c>
      <c r="F1157" s="88" t="s">
        <v>657</v>
      </c>
      <c r="G1157" s="88" t="s">
        <v>758</v>
      </c>
      <c r="H1157" s="88" t="s">
        <v>596</v>
      </c>
    </row>
    <row r="1158" spans="1:8" ht="28.8" x14ac:dyDescent="0.3">
      <c r="A1158" s="88" t="s">
        <v>592</v>
      </c>
      <c r="B1158" s="88">
        <v>174</v>
      </c>
      <c r="C1158" s="88">
        <v>39</v>
      </c>
      <c r="D1158" s="88" t="s">
        <v>568</v>
      </c>
      <c r="E1158" s="88" t="s">
        <v>1296</v>
      </c>
      <c r="F1158" s="88" t="s">
        <v>1474</v>
      </c>
      <c r="G1158" s="88" t="s">
        <v>719</v>
      </c>
      <c r="H1158" s="88" t="s">
        <v>596</v>
      </c>
    </row>
    <row r="1159" spans="1:8" ht="28.8" x14ac:dyDescent="0.3">
      <c r="A1159" s="88" t="s">
        <v>592</v>
      </c>
      <c r="B1159" s="88">
        <v>174</v>
      </c>
      <c r="C1159" s="88">
        <v>40</v>
      </c>
      <c r="D1159" s="88" t="s">
        <v>568</v>
      </c>
      <c r="E1159" s="88" t="s">
        <v>1475</v>
      </c>
      <c r="F1159" s="88" t="s">
        <v>1476</v>
      </c>
      <c r="G1159" s="88" t="s">
        <v>724</v>
      </c>
      <c r="H1159" s="88" t="s">
        <v>596</v>
      </c>
    </row>
    <row r="1160" spans="1:8" x14ac:dyDescent="0.3">
      <c r="A1160" s="88" t="s">
        <v>592</v>
      </c>
      <c r="B1160" s="88">
        <v>175</v>
      </c>
      <c r="C1160" s="88">
        <v>33</v>
      </c>
      <c r="D1160" s="88" t="s">
        <v>570</v>
      </c>
      <c r="E1160" s="88" t="s">
        <v>1005</v>
      </c>
      <c r="F1160" s="88" t="s">
        <v>703</v>
      </c>
      <c r="G1160" s="88" t="s">
        <v>749</v>
      </c>
      <c r="H1160" s="88" t="s">
        <v>596</v>
      </c>
    </row>
    <row r="1161" spans="1:8" x14ac:dyDescent="0.3">
      <c r="A1161" s="88" t="s">
        <v>592</v>
      </c>
      <c r="B1161" s="88">
        <v>175</v>
      </c>
      <c r="C1161" s="88">
        <v>34</v>
      </c>
      <c r="D1161" s="88" t="s">
        <v>570</v>
      </c>
      <c r="E1161" s="88" t="s">
        <v>791</v>
      </c>
      <c r="F1161" s="88" t="s">
        <v>704</v>
      </c>
      <c r="G1161" s="88" t="s">
        <v>752</v>
      </c>
      <c r="H1161" s="88" t="s">
        <v>596</v>
      </c>
    </row>
    <row r="1162" spans="1:8" x14ac:dyDescent="0.3">
      <c r="A1162" s="88" t="s">
        <v>592</v>
      </c>
      <c r="B1162" s="88">
        <v>175</v>
      </c>
      <c r="C1162" s="88">
        <v>35</v>
      </c>
      <c r="D1162" s="88" t="s">
        <v>570</v>
      </c>
      <c r="E1162" s="88" t="s">
        <v>972</v>
      </c>
      <c r="F1162" s="88" t="s">
        <v>705</v>
      </c>
      <c r="G1162" s="88" t="s">
        <v>755</v>
      </c>
      <c r="H1162" s="88" t="s">
        <v>596</v>
      </c>
    </row>
    <row r="1163" spans="1:8" x14ac:dyDescent="0.3">
      <c r="A1163" s="88" t="s">
        <v>592</v>
      </c>
      <c r="B1163" s="88">
        <v>175</v>
      </c>
      <c r="C1163" s="88">
        <v>36</v>
      </c>
      <c r="D1163" s="88" t="s">
        <v>570</v>
      </c>
      <c r="E1163" s="88" t="s">
        <v>1007</v>
      </c>
      <c r="F1163" s="88" t="s">
        <v>706</v>
      </c>
      <c r="G1163" s="88" t="s">
        <v>758</v>
      </c>
      <c r="H1163" s="88" t="s">
        <v>596</v>
      </c>
    </row>
    <row r="1164" spans="1:8" ht="28.8" x14ac:dyDescent="0.3">
      <c r="A1164" s="88" t="s">
        <v>592</v>
      </c>
      <c r="B1164" s="88">
        <v>175</v>
      </c>
      <c r="C1164" s="88">
        <v>39</v>
      </c>
      <c r="D1164" s="88" t="s">
        <v>570</v>
      </c>
      <c r="E1164" s="88" t="s">
        <v>1027</v>
      </c>
      <c r="F1164" s="88" t="s">
        <v>1477</v>
      </c>
      <c r="G1164" s="88" t="s">
        <v>719</v>
      </c>
      <c r="H1164" s="88" t="s">
        <v>596</v>
      </c>
    </row>
    <row r="1165" spans="1:8" ht="28.8" x14ac:dyDescent="0.3">
      <c r="A1165" s="88" t="s">
        <v>592</v>
      </c>
      <c r="B1165" s="88">
        <v>175</v>
      </c>
      <c r="C1165" s="88">
        <v>40</v>
      </c>
      <c r="D1165" s="88" t="s">
        <v>570</v>
      </c>
      <c r="E1165" s="88" t="s">
        <v>1478</v>
      </c>
      <c r="F1165" s="88" t="s">
        <v>1479</v>
      </c>
      <c r="G1165" s="88" t="s">
        <v>724</v>
      </c>
      <c r="H1165" s="88" t="s">
        <v>596</v>
      </c>
    </row>
    <row r="1166" spans="1:8" x14ac:dyDescent="0.3">
      <c r="A1166" s="88" t="s">
        <v>592</v>
      </c>
      <c r="B1166" s="88">
        <v>176</v>
      </c>
      <c r="C1166" s="88">
        <v>33</v>
      </c>
      <c r="D1166" s="88" t="s">
        <v>263</v>
      </c>
      <c r="E1166" s="88" t="s">
        <v>1022</v>
      </c>
      <c r="F1166" s="88" t="s">
        <v>652</v>
      </c>
      <c r="G1166" s="88" t="s">
        <v>749</v>
      </c>
      <c r="H1166" s="88" t="s">
        <v>596</v>
      </c>
    </row>
    <row r="1167" spans="1:8" x14ac:dyDescent="0.3">
      <c r="A1167" s="88" t="s">
        <v>592</v>
      </c>
      <c r="B1167" s="88">
        <v>176</v>
      </c>
      <c r="C1167" s="88">
        <v>34</v>
      </c>
      <c r="D1167" s="88" t="s">
        <v>263</v>
      </c>
      <c r="E1167" s="88" t="s">
        <v>1007</v>
      </c>
      <c r="F1167" s="88" t="s">
        <v>654</v>
      </c>
      <c r="G1167" s="88" t="s">
        <v>752</v>
      </c>
      <c r="H1167" s="88" t="s">
        <v>596</v>
      </c>
    </row>
    <row r="1168" spans="1:8" x14ac:dyDescent="0.3">
      <c r="A1168" s="88" t="s">
        <v>592</v>
      </c>
      <c r="B1168" s="88">
        <v>176</v>
      </c>
      <c r="C1168" s="88">
        <v>35</v>
      </c>
      <c r="D1168" s="88" t="s">
        <v>263</v>
      </c>
      <c r="E1168" s="88" t="s">
        <v>1024</v>
      </c>
      <c r="F1168" s="88" t="s">
        <v>656</v>
      </c>
      <c r="G1168" s="88" t="s">
        <v>755</v>
      </c>
      <c r="H1168" s="88" t="s">
        <v>596</v>
      </c>
    </row>
    <row r="1169" spans="1:8" x14ac:dyDescent="0.3">
      <c r="A1169" s="88" t="s">
        <v>592</v>
      </c>
      <c r="B1169" s="88">
        <v>176</v>
      </c>
      <c r="C1169" s="88">
        <v>36</v>
      </c>
      <c r="D1169" s="88" t="s">
        <v>263</v>
      </c>
      <c r="E1169" s="88" t="s">
        <v>1026</v>
      </c>
      <c r="F1169" s="88" t="s">
        <v>658</v>
      </c>
      <c r="G1169" s="88" t="s">
        <v>758</v>
      </c>
      <c r="H1169" s="88" t="s">
        <v>596</v>
      </c>
    </row>
    <row r="1170" spans="1:8" ht="28.8" x14ac:dyDescent="0.3">
      <c r="A1170" s="88" t="s">
        <v>592</v>
      </c>
      <c r="B1170" s="88">
        <v>176</v>
      </c>
      <c r="C1170" s="88">
        <v>39</v>
      </c>
      <c r="D1170" s="88" t="s">
        <v>263</v>
      </c>
      <c r="E1170" s="88" t="s">
        <v>850</v>
      </c>
      <c r="F1170" s="88" t="s">
        <v>1480</v>
      </c>
      <c r="G1170" s="88" t="s">
        <v>719</v>
      </c>
      <c r="H1170" s="88" t="s">
        <v>596</v>
      </c>
    </row>
    <row r="1171" spans="1:8" x14ac:dyDescent="0.3">
      <c r="A1171" s="88" t="s">
        <v>592</v>
      </c>
      <c r="B1171" s="88">
        <v>177</v>
      </c>
      <c r="C1171" s="88">
        <v>33</v>
      </c>
      <c r="D1171" s="88" t="s">
        <v>264</v>
      </c>
      <c r="E1171" s="88" t="s">
        <v>1053</v>
      </c>
      <c r="F1171" s="88" t="s">
        <v>1002</v>
      </c>
      <c r="G1171" s="88" t="s">
        <v>749</v>
      </c>
      <c r="H1171" s="88" t="s">
        <v>596</v>
      </c>
    </row>
    <row r="1172" spans="1:8" x14ac:dyDescent="0.3">
      <c r="A1172" s="88" t="s">
        <v>592</v>
      </c>
      <c r="B1172" s="88">
        <v>177</v>
      </c>
      <c r="C1172" s="88">
        <v>34</v>
      </c>
      <c r="D1172" s="88" t="s">
        <v>264</v>
      </c>
      <c r="E1172" s="88" t="s">
        <v>1066</v>
      </c>
      <c r="F1172" s="88" t="s">
        <v>1425</v>
      </c>
      <c r="G1172" s="88" t="s">
        <v>752</v>
      </c>
      <c r="H1172" s="88" t="s">
        <v>596</v>
      </c>
    </row>
    <row r="1173" spans="1:8" x14ac:dyDescent="0.3">
      <c r="A1173" s="88" t="s">
        <v>592</v>
      </c>
      <c r="B1173" s="88">
        <v>177</v>
      </c>
      <c r="C1173" s="88">
        <v>35</v>
      </c>
      <c r="D1173" s="88" t="s">
        <v>264</v>
      </c>
      <c r="E1173" s="88" t="s">
        <v>1068</v>
      </c>
      <c r="F1173" s="88" t="s">
        <v>1110</v>
      </c>
      <c r="G1173" s="88" t="s">
        <v>755</v>
      </c>
      <c r="H1173" s="88" t="s">
        <v>596</v>
      </c>
    </row>
    <row r="1174" spans="1:8" x14ac:dyDescent="0.3">
      <c r="A1174" s="88" t="s">
        <v>592</v>
      </c>
      <c r="B1174" s="88">
        <v>177</v>
      </c>
      <c r="C1174" s="88">
        <v>36</v>
      </c>
      <c r="D1174" s="88" t="s">
        <v>264</v>
      </c>
      <c r="E1174" s="88" t="s">
        <v>814</v>
      </c>
      <c r="F1174" s="88" t="s">
        <v>1426</v>
      </c>
      <c r="G1174" s="88" t="s">
        <v>758</v>
      </c>
      <c r="H1174" s="88" t="s">
        <v>596</v>
      </c>
    </row>
    <row r="1175" spans="1:8" ht="28.8" x14ac:dyDescent="0.3">
      <c r="A1175" s="88" t="s">
        <v>592</v>
      </c>
      <c r="B1175" s="88">
        <v>177</v>
      </c>
      <c r="C1175" s="88">
        <v>39</v>
      </c>
      <c r="D1175" s="88" t="s">
        <v>264</v>
      </c>
      <c r="E1175" s="88" t="s">
        <v>1334</v>
      </c>
      <c r="F1175" s="88" t="s">
        <v>1335</v>
      </c>
      <c r="G1175" s="88" t="s">
        <v>719</v>
      </c>
      <c r="H1175" s="88" t="s">
        <v>596</v>
      </c>
    </row>
    <row r="1176" spans="1:8" x14ac:dyDescent="0.3">
      <c r="A1176" s="88" t="s">
        <v>592</v>
      </c>
      <c r="B1176" s="88">
        <v>178</v>
      </c>
      <c r="C1176" s="88">
        <v>33</v>
      </c>
      <c r="D1176" s="88" t="s">
        <v>265</v>
      </c>
      <c r="E1176" s="88" t="s">
        <v>1085</v>
      </c>
      <c r="F1176" s="88" t="s">
        <v>1005</v>
      </c>
      <c r="G1176" s="88" t="s">
        <v>749</v>
      </c>
      <c r="H1176" s="88" t="s">
        <v>596</v>
      </c>
    </row>
    <row r="1177" spans="1:8" x14ac:dyDescent="0.3">
      <c r="A1177" s="88" t="s">
        <v>592</v>
      </c>
      <c r="B1177" s="88">
        <v>178</v>
      </c>
      <c r="C1177" s="88">
        <v>34</v>
      </c>
      <c r="D1177" s="88" t="s">
        <v>265</v>
      </c>
      <c r="E1177" s="88" t="s">
        <v>1087</v>
      </c>
      <c r="F1177" s="88" t="s">
        <v>1432</v>
      </c>
      <c r="G1177" s="88" t="s">
        <v>752</v>
      </c>
      <c r="H1177" s="88" t="s">
        <v>596</v>
      </c>
    </row>
    <row r="1178" spans="1:8" x14ac:dyDescent="0.3">
      <c r="A1178" s="88" t="s">
        <v>592</v>
      </c>
      <c r="B1178" s="88">
        <v>178</v>
      </c>
      <c r="C1178" s="88">
        <v>35</v>
      </c>
      <c r="D1178" s="88" t="s">
        <v>265</v>
      </c>
      <c r="E1178" s="88" t="s">
        <v>1081</v>
      </c>
      <c r="F1178" s="88" t="s">
        <v>966</v>
      </c>
      <c r="G1178" s="88" t="s">
        <v>755</v>
      </c>
      <c r="H1178" s="88" t="s">
        <v>596</v>
      </c>
    </row>
    <row r="1179" spans="1:8" x14ac:dyDescent="0.3">
      <c r="A1179" s="88" t="s">
        <v>592</v>
      </c>
      <c r="B1179" s="88">
        <v>178</v>
      </c>
      <c r="C1179" s="88">
        <v>36</v>
      </c>
      <c r="D1179" s="88" t="s">
        <v>265</v>
      </c>
      <c r="E1179" s="88" t="s">
        <v>864</v>
      </c>
      <c r="F1179" s="88" t="s">
        <v>879</v>
      </c>
      <c r="G1179" s="88" t="s">
        <v>758</v>
      </c>
      <c r="H1179" s="88" t="s">
        <v>596</v>
      </c>
    </row>
    <row r="1180" spans="1:8" ht="28.8" x14ac:dyDescent="0.3">
      <c r="A1180" s="88" t="s">
        <v>592</v>
      </c>
      <c r="B1180" s="88">
        <v>178</v>
      </c>
      <c r="C1180" s="88">
        <v>39</v>
      </c>
      <c r="D1180" s="88" t="s">
        <v>265</v>
      </c>
      <c r="E1180" s="88" t="s">
        <v>1481</v>
      </c>
      <c r="F1180" s="88" t="s">
        <v>1482</v>
      </c>
      <c r="G1180" s="88" t="s">
        <v>719</v>
      </c>
      <c r="H1180" s="88" t="s">
        <v>596</v>
      </c>
    </row>
    <row r="1181" spans="1:8" ht="28.8" x14ac:dyDescent="0.3">
      <c r="A1181" s="88" t="s">
        <v>592</v>
      </c>
      <c r="B1181" s="88">
        <v>178</v>
      </c>
      <c r="C1181" s="88">
        <v>40</v>
      </c>
      <c r="D1181" s="88" t="s">
        <v>265</v>
      </c>
      <c r="E1181" s="88" t="s">
        <v>1483</v>
      </c>
      <c r="F1181" s="88" t="s">
        <v>1484</v>
      </c>
      <c r="G1181" s="88" t="s">
        <v>724</v>
      </c>
      <c r="H1181" s="88" t="s">
        <v>596</v>
      </c>
    </row>
    <row r="1182" spans="1:8" x14ac:dyDescent="0.3">
      <c r="A1182" s="88" t="s">
        <v>592</v>
      </c>
      <c r="B1182" s="88">
        <v>179</v>
      </c>
      <c r="C1182" s="88">
        <v>33</v>
      </c>
      <c r="D1182" s="88" t="s">
        <v>266</v>
      </c>
      <c r="E1182" s="88" t="s">
        <v>705</v>
      </c>
      <c r="F1182" s="88" t="s">
        <v>1439</v>
      </c>
      <c r="G1182" s="88" t="s">
        <v>749</v>
      </c>
      <c r="H1182" s="88" t="s">
        <v>596</v>
      </c>
    </row>
    <row r="1183" spans="1:8" x14ac:dyDescent="0.3">
      <c r="A1183" s="88" t="s">
        <v>592</v>
      </c>
      <c r="B1183" s="88">
        <v>179</v>
      </c>
      <c r="C1183" s="88">
        <v>34</v>
      </c>
      <c r="D1183" s="88" t="s">
        <v>266</v>
      </c>
      <c r="E1183" s="88" t="s">
        <v>994</v>
      </c>
      <c r="F1183" s="88" t="s">
        <v>1440</v>
      </c>
      <c r="G1183" s="88" t="s">
        <v>752</v>
      </c>
      <c r="H1183" s="88" t="s">
        <v>596</v>
      </c>
    </row>
    <row r="1184" spans="1:8" x14ac:dyDescent="0.3">
      <c r="A1184" s="88" t="s">
        <v>592</v>
      </c>
      <c r="B1184" s="88">
        <v>179</v>
      </c>
      <c r="C1184" s="88">
        <v>35</v>
      </c>
      <c r="D1184" s="88" t="s">
        <v>266</v>
      </c>
      <c r="E1184" s="88" t="s">
        <v>872</v>
      </c>
      <c r="F1184" s="88" t="s">
        <v>805</v>
      </c>
      <c r="G1184" s="88" t="s">
        <v>755</v>
      </c>
      <c r="H1184" s="88" t="s">
        <v>596</v>
      </c>
    </row>
    <row r="1185" spans="1:8" x14ac:dyDescent="0.3">
      <c r="A1185" s="88" t="s">
        <v>592</v>
      </c>
      <c r="B1185" s="88">
        <v>179</v>
      </c>
      <c r="C1185" s="88">
        <v>36</v>
      </c>
      <c r="D1185" s="88" t="s">
        <v>266</v>
      </c>
      <c r="E1185" s="88" t="s">
        <v>1128</v>
      </c>
      <c r="F1185" s="88" t="s">
        <v>1309</v>
      </c>
      <c r="G1185" s="88" t="s">
        <v>758</v>
      </c>
      <c r="H1185" s="88" t="s">
        <v>596</v>
      </c>
    </row>
    <row r="1186" spans="1:8" ht="28.8" x14ac:dyDescent="0.3">
      <c r="A1186" s="88" t="s">
        <v>592</v>
      </c>
      <c r="B1186" s="88">
        <v>179</v>
      </c>
      <c r="C1186" s="88">
        <v>39</v>
      </c>
      <c r="D1186" s="88" t="s">
        <v>266</v>
      </c>
      <c r="E1186" s="88" t="s">
        <v>734</v>
      </c>
      <c r="F1186" s="88"/>
      <c r="G1186" s="88" t="s">
        <v>719</v>
      </c>
      <c r="H1186" s="88" t="s">
        <v>596</v>
      </c>
    </row>
    <row r="1187" spans="1:8" ht="28.8" x14ac:dyDescent="0.3">
      <c r="A1187" s="88" t="s">
        <v>592</v>
      </c>
      <c r="B1187" s="88">
        <v>179</v>
      </c>
      <c r="C1187" s="88">
        <v>40</v>
      </c>
      <c r="D1187" s="88" t="s">
        <v>266</v>
      </c>
      <c r="E1187" s="88" t="s">
        <v>1485</v>
      </c>
      <c r="F1187" s="88" t="s">
        <v>1486</v>
      </c>
      <c r="G1187" s="88" t="s">
        <v>724</v>
      </c>
      <c r="H1187" s="88" t="s">
        <v>596</v>
      </c>
    </row>
    <row r="1188" spans="1:8" x14ac:dyDescent="0.3">
      <c r="A1188" s="88" t="s">
        <v>592</v>
      </c>
      <c r="B1188" s="88">
        <v>180</v>
      </c>
      <c r="C1188" s="88">
        <v>33</v>
      </c>
      <c r="D1188" s="88" t="s">
        <v>267</v>
      </c>
      <c r="E1188" s="88" t="s">
        <v>1235</v>
      </c>
      <c r="F1188" s="88" t="s">
        <v>843</v>
      </c>
      <c r="G1188" s="88" t="s">
        <v>749</v>
      </c>
      <c r="H1188" s="88" t="s">
        <v>596</v>
      </c>
    </row>
    <row r="1189" spans="1:8" x14ac:dyDescent="0.3">
      <c r="A1189" s="88" t="s">
        <v>592</v>
      </c>
      <c r="B1189" s="88">
        <v>180</v>
      </c>
      <c r="C1189" s="88">
        <v>34</v>
      </c>
      <c r="D1189" s="88" t="s">
        <v>267</v>
      </c>
      <c r="E1189" s="88" t="s">
        <v>1237</v>
      </c>
      <c r="F1189" s="88" t="s">
        <v>1445</v>
      </c>
      <c r="G1189" s="88" t="s">
        <v>752</v>
      </c>
      <c r="H1189" s="88" t="s">
        <v>596</v>
      </c>
    </row>
    <row r="1190" spans="1:8" x14ac:dyDescent="0.3">
      <c r="A1190" s="88" t="s">
        <v>592</v>
      </c>
      <c r="B1190" s="88">
        <v>180</v>
      </c>
      <c r="C1190" s="88">
        <v>35</v>
      </c>
      <c r="D1190" s="88" t="s">
        <v>267</v>
      </c>
      <c r="E1190" s="88" t="s">
        <v>1130</v>
      </c>
      <c r="F1190" s="88" t="s">
        <v>891</v>
      </c>
      <c r="G1190" s="88" t="s">
        <v>755</v>
      </c>
      <c r="H1190" s="88" t="s">
        <v>596</v>
      </c>
    </row>
    <row r="1191" spans="1:8" x14ac:dyDescent="0.3">
      <c r="A1191" s="88" t="s">
        <v>592</v>
      </c>
      <c r="B1191" s="88">
        <v>180</v>
      </c>
      <c r="C1191" s="88">
        <v>36</v>
      </c>
      <c r="D1191" s="88" t="s">
        <v>267</v>
      </c>
      <c r="E1191" s="88" t="s">
        <v>1130</v>
      </c>
      <c r="F1191" s="88" t="s">
        <v>860</v>
      </c>
      <c r="G1191" s="88" t="s">
        <v>758</v>
      </c>
      <c r="H1191" s="88" t="s">
        <v>596</v>
      </c>
    </row>
    <row r="1192" spans="1:8" ht="28.8" x14ac:dyDescent="0.3">
      <c r="A1192" s="88" t="s">
        <v>592</v>
      </c>
      <c r="B1192" s="88">
        <v>180</v>
      </c>
      <c r="C1192" s="88">
        <v>39</v>
      </c>
      <c r="D1192" s="88" t="s">
        <v>267</v>
      </c>
      <c r="E1192" s="88" t="s">
        <v>1387</v>
      </c>
      <c r="F1192" s="88" t="s">
        <v>1487</v>
      </c>
      <c r="G1192" s="88" t="s">
        <v>719</v>
      </c>
      <c r="H1192" s="88" t="s">
        <v>596</v>
      </c>
    </row>
    <row r="1193" spans="1:8" x14ac:dyDescent="0.3">
      <c r="A1193" s="88" t="s">
        <v>592</v>
      </c>
      <c r="B1193" s="88">
        <v>181</v>
      </c>
      <c r="C1193" s="88">
        <v>33</v>
      </c>
      <c r="D1193" s="88" t="s">
        <v>268</v>
      </c>
      <c r="E1193" s="88" t="s">
        <v>864</v>
      </c>
      <c r="F1193" s="88" t="s">
        <v>784</v>
      </c>
      <c r="G1193" s="88" t="s">
        <v>749</v>
      </c>
      <c r="H1193" s="88" t="s">
        <v>596</v>
      </c>
    </row>
    <row r="1194" spans="1:8" x14ac:dyDescent="0.3">
      <c r="A1194" s="88" t="s">
        <v>592</v>
      </c>
      <c r="B1194" s="88">
        <v>181</v>
      </c>
      <c r="C1194" s="88">
        <v>34</v>
      </c>
      <c r="D1194" s="88" t="s">
        <v>268</v>
      </c>
      <c r="E1194" s="88" t="s">
        <v>1080</v>
      </c>
      <c r="F1194" s="88" t="s">
        <v>1448</v>
      </c>
      <c r="G1194" s="88" t="s">
        <v>752</v>
      </c>
      <c r="H1194" s="88" t="s">
        <v>596</v>
      </c>
    </row>
    <row r="1195" spans="1:8" x14ac:dyDescent="0.3">
      <c r="A1195" s="88" t="s">
        <v>592</v>
      </c>
      <c r="B1195" s="88">
        <v>181</v>
      </c>
      <c r="C1195" s="88">
        <v>35</v>
      </c>
      <c r="D1195" s="88" t="s">
        <v>268</v>
      </c>
      <c r="E1195" s="88" t="s">
        <v>753</v>
      </c>
      <c r="F1195" s="88" t="s">
        <v>855</v>
      </c>
      <c r="G1195" s="88" t="s">
        <v>755</v>
      </c>
      <c r="H1195" s="88" t="s">
        <v>596</v>
      </c>
    </row>
    <row r="1196" spans="1:8" x14ac:dyDescent="0.3">
      <c r="A1196" s="88" t="s">
        <v>592</v>
      </c>
      <c r="B1196" s="88">
        <v>181</v>
      </c>
      <c r="C1196" s="88">
        <v>36</v>
      </c>
      <c r="D1196" s="88" t="s">
        <v>268</v>
      </c>
      <c r="E1196" s="88" t="s">
        <v>1241</v>
      </c>
      <c r="F1196" s="88" t="s">
        <v>1449</v>
      </c>
      <c r="G1196" s="88" t="s">
        <v>758</v>
      </c>
      <c r="H1196" s="88" t="s">
        <v>596</v>
      </c>
    </row>
    <row r="1197" spans="1:8" ht="28.8" x14ac:dyDescent="0.3">
      <c r="A1197" s="88" t="s">
        <v>592</v>
      </c>
      <c r="B1197" s="88">
        <v>181</v>
      </c>
      <c r="C1197" s="88">
        <v>39</v>
      </c>
      <c r="D1197" s="88" t="s">
        <v>268</v>
      </c>
      <c r="E1197" s="88" t="s">
        <v>1488</v>
      </c>
      <c r="F1197" s="88" t="s">
        <v>1489</v>
      </c>
      <c r="G1197" s="88" t="s">
        <v>719</v>
      </c>
      <c r="H1197" s="88" t="s">
        <v>596</v>
      </c>
    </row>
    <row r="1198" spans="1:8" ht="28.8" x14ac:dyDescent="0.3">
      <c r="A1198" s="88" t="s">
        <v>592</v>
      </c>
      <c r="B1198" s="88">
        <v>181</v>
      </c>
      <c r="C1198" s="88">
        <v>40</v>
      </c>
      <c r="D1198" s="88" t="s">
        <v>268</v>
      </c>
      <c r="E1198" s="88" t="s">
        <v>1490</v>
      </c>
      <c r="F1198" s="88" t="s">
        <v>1491</v>
      </c>
      <c r="G1198" s="88" t="s">
        <v>724</v>
      </c>
      <c r="H1198" s="88" t="s">
        <v>596</v>
      </c>
    </row>
    <row r="1199" spans="1:8" x14ac:dyDescent="0.3">
      <c r="A1199" s="88" t="s">
        <v>592</v>
      </c>
      <c r="B1199" s="88">
        <v>182</v>
      </c>
      <c r="C1199" s="88">
        <v>33</v>
      </c>
      <c r="D1199" s="88" t="s">
        <v>269</v>
      </c>
      <c r="E1199" s="88" t="s">
        <v>1318</v>
      </c>
      <c r="F1199" s="88" t="s">
        <v>849</v>
      </c>
      <c r="G1199" s="88" t="s">
        <v>749</v>
      </c>
      <c r="H1199" s="88" t="s">
        <v>596</v>
      </c>
    </row>
    <row r="1200" spans="1:8" x14ac:dyDescent="0.3">
      <c r="A1200" s="88" t="s">
        <v>592</v>
      </c>
      <c r="B1200" s="88">
        <v>182</v>
      </c>
      <c r="C1200" s="88">
        <v>34</v>
      </c>
      <c r="D1200" s="88" t="s">
        <v>269</v>
      </c>
      <c r="E1200" s="88" t="s">
        <v>1320</v>
      </c>
      <c r="F1200" s="88" t="s">
        <v>1453</v>
      </c>
      <c r="G1200" s="88" t="s">
        <v>752</v>
      </c>
      <c r="H1200" s="88" t="s">
        <v>596</v>
      </c>
    </row>
    <row r="1201" spans="1:8" x14ac:dyDescent="0.3">
      <c r="A1201" s="88" t="s">
        <v>592</v>
      </c>
      <c r="B1201" s="88">
        <v>182</v>
      </c>
      <c r="C1201" s="88">
        <v>35</v>
      </c>
      <c r="D1201" s="88" t="s">
        <v>269</v>
      </c>
      <c r="E1201" s="88" t="s">
        <v>966</v>
      </c>
      <c r="F1201" s="88" t="s">
        <v>1454</v>
      </c>
      <c r="G1201" s="88" t="s">
        <v>755</v>
      </c>
      <c r="H1201" s="88" t="s">
        <v>596</v>
      </c>
    </row>
    <row r="1202" spans="1:8" x14ac:dyDescent="0.3">
      <c r="A1202" s="88" t="s">
        <v>592</v>
      </c>
      <c r="B1202" s="88">
        <v>182</v>
      </c>
      <c r="C1202" s="88">
        <v>36</v>
      </c>
      <c r="D1202" s="88" t="s">
        <v>269</v>
      </c>
      <c r="E1202" s="88" t="s">
        <v>1163</v>
      </c>
      <c r="F1202" s="88" t="s">
        <v>1375</v>
      </c>
      <c r="G1202" s="88" t="s">
        <v>758</v>
      </c>
      <c r="H1202" s="88" t="s">
        <v>596</v>
      </c>
    </row>
    <row r="1203" spans="1:8" ht="28.8" x14ac:dyDescent="0.3">
      <c r="A1203" s="88" t="s">
        <v>592</v>
      </c>
      <c r="B1203" s="88">
        <v>182</v>
      </c>
      <c r="C1203" s="88">
        <v>39</v>
      </c>
      <c r="D1203" s="88" t="s">
        <v>269</v>
      </c>
      <c r="E1203" s="88" t="s">
        <v>1055</v>
      </c>
      <c r="F1203" s="88" t="s">
        <v>1492</v>
      </c>
      <c r="G1203" s="88" t="s">
        <v>719</v>
      </c>
      <c r="H1203" s="88" t="s">
        <v>596</v>
      </c>
    </row>
    <row r="1204" spans="1:8" ht="28.8" x14ac:dyDescent="0.3">
      <c r="A1204" s="88" t="s">
        <v>592</v>
      </c>
      <c r="B1204" s="88">
        <v>182</v>
      </c>
      <c r="C1204" s="88">
        <v>40</v>
      </c>
      <c r="D1204" s="88" t="s">
        <v>269</v>
      </c>
      <c r="E1204" s="88" t="s">
        <v>1493</v>
      </c>
      <c r="F1204" s="88" t="s">
        <v>1494</v>
      </c>
      <c r="G1204" s="88" t="s">
        <v>724</v>
      </c>
      <c r="H1204" s="88" t="s">
        <v>596</v>
      </c>
    </row>
    <row r="1205" spans="1:8" x14ac:dyDescent="0.3">
      <c r="A1205" s="88" t="s">
        <v>592</v>
      </c>
      <c r="B1205" s="88">
        <v>183</v>
      </c>
      <c r="C1205" s="88">
        <v>33</v>
      </c>
      <c r="D1205" s="88" t="s">
        <v>270</v>
      </c>
      <c r="E1205" s="88" t="s">
        <v>829</v>
      </c>
      <c r="F1205" s="88" t="s">
        <v>1165</v>
      </c>
      <c r="G1205" s="88" t="s">
        <v>749</v>
      </c>
      <c r="H1205" s="88" t="s">
        <v>596</v>
      </c>
    </row>
    <row r="1206" spans="1:8" x14ac:dyDescent="0.3">
      <c r="A1206" s="88" t="s">
        <v>592</v>
      </c>
      <c r="B1206" s="88">
        <v>183</v>
      </c>
      <c r="C1206" s="88">
        <v>34</v>
      </c>
      <c r="D1206" s="88" t="s">
        <v>270</v>
      </c>
      <c r="E1206" s="88" t="s">
        <v>1109</v>
      </c>
      <c r="F1206" s="88" t="s">
        <v>1404</v>
      </c>
      <c r="G1206" s="88" t="s">
        <v>752</v>
      </c>
      <c r="H1206" s="88" t="s">
        <v>596</v>
      </c>
    </row>
    <row r="1207" spans="1:8" x14ac:dyDescent="0.3">
      <c r="A1207" s="88" t="s">
        <v>592</v>
      </c>
      <c r="B1207" s="88">
        <v>183</v>
      </c>
      <c r="C1207" s="88">
        <v>35</v>
      </c>
      <c r="D1207" s="88" t="s">
        <v>270</v>
      </c>
      <c r="E1207" s="88" t="s">
        <v>822</v>
      </c>
      <c r="F1207" s="88" t="s">
        <v>1067</v>
      </c>
      <c r="G1207" s="88" t="s">
        <v>755</v>
      </c>
      <c r="H1207" s="88" t="s">
        <v>596</v>
      </c>
    </row>
    <row r="1208" spans="1:8" x14ac:dyDescent="0.3">
      <c r="A1208" s="88" t="s">
        <v>592</v>
      </c>
      <c r="B1208" s="88">
        <v>183</v>
      </c>
      <c r="C1208" s="88">
        <v>36</v>
      </c>
      <c r="D1208" s="88" t="s">
        <v>270</v>
      </c>
      <c r="E1208" s="88" t="s">
        <v>1115</v>
      </c>
      <c r="F1208" s="88" t="s">
        <v>825</v>
      </c>
      <c r="G1208" s="88" t="s">
        <v>758</v>
      </c>
      <c r="H1208" s="88" t="s">
        <v>596</v>
      </c>
    </row>
    <row r="1209" spans="1:8" ht="28.8" x14ac:dyDescent="0.3">
      <c r="A1209" s="88" t="s">
        <v>592</v>
      </c>
      <c r="B1209" s="88">
        <v>183</v>
      </c>
      <c r="C1209" s="88">
        <v>39</v>
      </c>
      <c r="D1209" s="88" t="s">
        <v>270</v>
      </c>
      <c r="E1209" s="88" t="s">
        <v>1495</v>
      </c>
      <c r="F1209" s="88" t="s">
        <v>1496</v>
      </c>
      <c r="G1209" s="88" t="s">
        <v>719</v>
      </c>
      <c r="H1209" s="88" t="s">
        <v>596</v>
      </c>
    </row>
    <row r="1210" spans="1:8" ht="28.8" x14ac:dyDescent="0.3">
      <c r="A1210" s="88" t="s">
        <v>592</v>
      </c>
      <c r="B1210" s="88">
        <v>183</v>
      </c>
      <c r="C1210" s="88">
        <v>40</v>
      </c>
      <c r="D1210" s="88" t="s">
        <v>270</v>
      </c>
      <c r="E1210" s="88" t="s">
        <v>1497</v>
      </c>
      <c r="F1210" s="88" t="s">
        <v>1498</v>
      </c>
      <c r="G1210" s="88" t="s">
        <v>724</v>
      </c>
      <c r="H1210" s="88" t="s">
        <v>596</v>
      </c>
    </row>
    <row r="1211" spans="1:8" x14ac:dyDescent="0.3">
      <c r="A1211" s="88" t="s">
        <v>592</v>
      </c>
      <c r="B1211" s="88">
        <v>184</v>
      </c>
      <c r="C1211" s="88">
        <v>18</v>
      </c>
      <c r="D1211" s="88" t="s">
        <v>580</v>
      </c>
      <c r="E1211" s="88" t="s">
        <v>949</v>
      </c>
      <c r="F1211" s="88" t="s">
        <v>1047</v>
      </c>
      <c r="G1211" s="88" t="s">
        <v>896</v>
      </c>
      <c r="H1211" s="88" t="s">
        <v>596</v>
      </c>
    </row>
    <row r="1212" spans="1:8" x14ac:dyDescent="0.3">
      <c r="A1212" s="88" t="s">
        <v>592</v>
      </c>
      <c r="B1212" s="88">
        <v>184</v>
      </c>
      <c r="C1212" s="88">
        <v>33</v>
      </c>
      <c r="D1212" s="88" t="s">
        <v>580</v>
      </c>
      <c r="E1212" s="88" t="s">
        <v>923</v>
      </c>
      <c r="F1212" s="88" t="s">
        <v>983</v>
      </c>
      <c r="G1212" s="88" t="s">
        <v>749</v>
      </c>
      <c r="H1212" s="88" t="s">
        <v>596</v>
      </c>
    </row>
    <row r="1213" spans="1:8" x14ac:dyDescent="0.3">
      <c r="A1213" s="88" t="s">
        <v>592</v>
      </c>
      <c r="B1213" s="88">
        <v>184</v>
      </c>
      <c r="C1213" s="88">
        <v>34</v>
      </c>
      <c r="D1213" s="88" t="s">
        <v>580</v>
      </c>
      <c r="E1213" s="88" t="s">
        <v>751</v>
      </c>
      <c r="F1213" s="88" t="s">
        <v>952</v>
      </c>
      <c r="G1213" s="88" t="s">
        <v>752</v>
      </c>
      <c r="H1213" s="88" t="s">
        <v>596</v>
      </c>
    </row>
    <row r="1214" spans="1:8" x14ac:dyDescent="0.3">
      <c r="A1214" s="88" t="s">
        <v>592</v>
      </c>
      <c r="B1214" s="88">
        <v>184</v>
      </c>
      <c r="C1214" s="88">
        <v>35</v>
      </c>
      <c r="D1214" s="88" t="s">
        <v>580</v>
      </c>
      <c r="E1214" s="88" t="s">
        <v>771</v>
      </c>
      <c r="F1214" s="88" t="s">
        <v>1071</v>
      </c>
      <c r="G1214" s="88" t="s">
        <v>755</v>
      </c>
      <c r="H1214" s="88" t="s">
        <v>596</v>
      </c>
    </row>
    <row r="1215" spans="1:8" x14ac:dyDescent="0.3">
      <c r="A1215" s="88" t="s">
        <v>592</v>
      </c>
      <c r="B1215" s="88">
        <v>184</v>
      </c>
      <c r="C1215" s="88">
        <v>36</v>
      </c>
      <c r="D1215" s="88" t="s">
        <v>580</v>
      </c>
      <c r="E1215" s="88" t="s">
        <v>1000</v>
      </c>
      <c r="F1215" s="88" t="s">
        <v>903</v>
      </c>
      <c r="G1215" s="88" t="s">
        <v>758</v>
      </c>
      <c r="H1215" s="88" t="s">
        <v>596</v>
      </c>
    </row>
    <row r="1216" spans="1:8" ht="28.8" x14ac:dyDescent="0.3">
      <c r="A1216" s="88" t="s">
        <v>592</v>
      </c>
      <c r="B1216" s="88">
        <v>184</v>
      </c>
      <c r="C1216" s="88">
        <v>39</v>
      </c>
      <c r="D1216" s="88" t="s">
        <v>580</v>
      </c>
      <c r="E1216" s="88" t="s">
        <v>995</v>
      </c>
      <c r="F1216" s="88" t="s">
        <v>1499</v>
      </c>
      <c r="G1216" s="88" t="s">
        <v>719</v>
      </c>
      <c r="H1216" s="88" t="s">
        <v>596</v>
      </c>
    </row>
    <row r="1217" spans="1:8" x14ac:dyDescent="0.3">
      <c r="A1217" s="88" t="s">
        <v>592</v>
      </c>
      <c r="B1217" s="88">
        <v>185</v>
      </c>
      <c r="C1217" s="88">
        <v>18</v>
      </c>
      <c r="D1217" s="88" t="s">
        <v>582</v>
      </c>
      <c r="E1217" s="88" t="s">
        <v>1047</v>
      </c>
      <c r="F1217" s="88" t="s">
        <v>949</v>
      </c>
      <c r="G1217" s="88" t="s">
        <v>896</v>
      </c>
      <c r="H1217" s="88" t="s">
        <v>596</v>
      </c>
    </row>
    <row r="1218" spans="1:8" x14ac:dyDescent="0.3">
      <c r="A1218" s="88" t="s">
        <v>592</v>
      </c>
      <c r="B1218" s="88">
        <v>185</v>
      </c>
      <c r="C1218" s="88">
        <v>33</v>
      </c>
      <c r="D1218" s="88" t="s">
        <v>582</v>
      </c>
      <c r="E1218" s="88" t="s">
        <v>706</v>
      </c>
      <c r="F1218" s="88" t="s">
        <v>1067</v>
      </c>
      <c r="G1218" s="88" t="s">
        <v>749</v>
      </c>
      <c r="H1218" s="88" t="s">
        <v>596</v>
      </c>
    </row>
    <row r="1219" spans="1:8" x14ac:dyDescent="0.3">
      <c r="A1219" s="88" t="s">
        <v>592</v>
      </c>
      <c r="B1219" s="88">
        <v>185</v>
      </c>
      <c r="C1219" s="88">
        <v>34</v>
      </c>
      <c r="D1219" s="88" t="s">
        <v>582</v>
      </c>
      <c r="E1219" s="88" t="s">
        <v>1433</v>
      </c>
      <c r="F1219" s="88" t="s">
        <v>1458</v>
      </c>
      <c r="G1219" s="88" t="s">
        <v>752</v>
      </c>
      <c r="H1219" s="88" t="s">
        <v>596</v>
      </c>
    </row>
    <row r="1220" spans="1:8" x14ac:dyDescent="0.3">
      <c r="A1220" s="88" t="s">
        <v>592</v>
      </c>
      <c r="B1220" s="88">
        <v>185</v>
      </c>
      <c r="C1220" s="88">
        <v>35</v>
      </c>
      <c r="D1220" s="88" t="s">
        <v>582</v>
      </c>
      <c r="E1220" s="88" t="s">
        <v>771</v>
      </c>
      <c r="F1220" s="88" t="s">
        <v>1179</v>
      </c>
      <c r="G1220" s="88" t="s">
        <v>755</v>
      </c>
      <c r="H1220" s="88" t="s">
        <v>596</v>
      </c>
    </row>
    <row r="1221" spans="1:8" x14ac:dyDescent="0.3">
      <c r="A1221" s="88" t="s">
        <v>592</v>
      </c>
      <c r="B1221" s="88">
        <v>185</v>
      </c>
      <c r="C1221" s="88">
        <v>36</v>
      </c>
      <c r="D1221" s="88" t="s">
        <v>582</v>
      </c>
      <c r="E1221" s="88" t="s">
        <v>970</v>
      </c>
      <c r="F1221" s="88" t="s">
        <v>1324</v>
      </c>
      <c r="G1221" s="88" t="s">
        <v>758</v>
      </c>
      <c r="H1221" s="88" t="s">
        <v>596</v>
      </c>
    </row>
    <row r="1222" spans="1:8" ht="28.8" x14ac:dyDescent="0.3">
      <c r="A1222" s="88" t="s">
        <v>592</v>
      </c>
      <c r="B1222" s="88">
        <v>185</v>
      </c>
      <c r="C1222" s="88">
        <v>39</v>
      </c>
      <c r="D1222" s="88" t="s">
        <v>582</v>
      </c>
      <c r="E1222" s="88" t="s">
        <v>1500</v>
      </c>
      <c r="F1222" s="88" t="s">
        <v>1501</v>
      </c>
      <c r="G1222" s="88" t="s">
        <v>719</v>
      </c>
      <c r="H1222" s="88" t="s">
        <v>596</v>
      </c>
    </row>
    <row r="1223" spans="1:8" x14ac:dyDescent="0.3">
      <c r="A1223" s="88" t="s">
        <v>592</v>
      </c>
      <c r="B1223" s="88">
        <v>2</v>
      </c>
      <c r="C1223" s="88">
        <v>46</v>
      </c>
      <c r="D1223" s="88" t="s">
        <v>89</v>
      </c>
      <c r="E1223" s="88"/>
      <c r="F1223" s="88" t="s">
        <v>343</v>
      </c>
      <c r="G1223" s="88" t="s">
        <v>1502</v>
      </c>
      <c r="H1223" s="88" t="s">
        <v>596</v>
      </c>
    </row>
    <row r="1224" spans="1:8" x14ac:dyDescent="0.3">
      <c r="A1224" s="88" t="s">
        <v>592</v>
      </c>
      <c r="B1224" s="88">
        <v>3</v>
      </c>
      <c r="C1224" s="88">
        <v>46</v>
      </c>
      <c r="D1224" s="88" t="s">
        <v>90</v>
      </c>
      <c r="E1224" s="88"/>
      <c r="F1224" s="88" t="s">
        <v>344</v>
      </c>
      <c r="G1224" s="88" t="s">
        <v>1502</v>
      </c>
      <c r="H1224" s="88" t="s">
        <v>596</v>
      </c>
    </row>
    <row r="1225" spans="1:8" x14ac:dyDescent="0.3">
      <c r="A1225" s="88" t="s">
        <v>592</v>
      </c>
      <c r="B1225" s="88">
        <v>4</v>
      </c>
      <c r="C1225" s="88">
        <v>46</v>
      </c>
      <c r="D1225" s="88" t="s">
        <v>345</v>
      </c>
      <c r="E1225" s="88"/>
      <c r="F1225" s="88" t="s">
        <v>346</v>
      </c>
      <c r="G1225" s="88" t="s">
        <v>1502</v>
      </c>
      <c r="H1225" s="88" t="s">
        <v>596</v>
      </c>
    </row>
    <row r="1226" spans="1:8" x14ac:dyDescent="0.3">
      <c r="A1226" s="88" t="s">
        <v>592</v>
      </c>
      <c r="B1226" s="88">
        <v>5</v>
      </c>
      <c r="C1226" s="88">
        <v>46</v>
      </c>
      <c r="D1226" s="88" t="s">
        <v>92</v>
      </c>
      <c r="E1226" s="88"/>
      <c r="F1226" s="88" t="s">
        <v>347</v>
      </c>
      <c r="G1226" s="88" t="s">
        <v>1502</v>
      </c>
      <c r="H1226" s="88" t="s">
        <v>596</v>
      </c>
    </row>
    <row r="1227" spans="1:8" x14ac:dyDescent="0.3">
      <c r="A1227" s="88" t="s">
        <v>592</v>
      </c>
      <c r="B1227" s="88">
        <v>6</v>
      </c>
      <c r="C1227" s="88">
        <v>46</v>
      </c>
      <c r="D1227" s="88" t="s">
        <v>93</v>
      </c>
      <c r="E1227" s="88"/>
      <c r="F1227" s="88" t="s">
        <v>348</v>
      </c>
      <c r="G1227" s="88" t="s">
        <v>1502</v>
      </c>
      <c r="H1227" s="88" t="s">
        <v>596</v>
      </c>
    </row>
    <row r="1228" spans="1:8" x14ac:dyDescent="0.3">
      <c r="A1228" s="88" t="s">
        <v>592</v>
      </c>
      <c r="B1228" s="88">
        <v>7</v>
      </c>
      <c r="C1228" s="88">
        <v>46</v>
      </c>
      <c r="D1228" s="88" t="s">
        <v>349</v>
      </c>
      <c r="E1228" s="88"/>
      <c r="F1228" s="88" t="s">
        <v>350</v>
      </c>
      <c r="G1228" s="88" t="s">
        <v>1502</v>
      </c>
      <c r="H1228" s="88" t="s">
        <v>596</v>
      </c>
    </row>
    <row r="1229" spans="1:8" x14ac:dyDescent="0.3">
      <c r="A1229" s="88" t="s">
        <v>592</v>
      </c>
      <c r="B1229" s="88">
        <v>8</v>
      </c>
      <c r="C1229" s="88">
        <v>46</v>
      </c>
      <c r="D1229" s="88" t="s">
        <v>95</v>
      </c>
      <c r="E1229" s="88"/>
      <c r="F1229" s="88" t="s">
        <v>351</v>
      </c>
      <c r="G1229" s="88" t="s">
        <v>1502</v>
      </c>
      <c r="H1229" s="88" t="s">
        <v>596</v>
      </c>
    </row>
    <row r="1230" spans="1:8" x14ac:dyDescent="0.3">
      <c r="A1230" s="88" t="s">
        <v>592</v>
      </c>
      <c r="B1230" s="88">
        <v>9</v>
      </c>
      <c r="C1230" s="88">
        <v>46</v>
      </c>
      <c r="D1230" s="88" t="s">
        <v>96</v>
      </c>
      <c r="E1230" s="88"/>
      <c r="F1230" s="88" t="s">
        <v>352</v>
      </c>
      <c r="G1230" s="88" t="s">
        <v>1502</v>
      </c>
      <c r="H1230" s="88" t="s">
        <v>596</v>
      </c>
    </row>
    <row r="1231" spans="1:8" x14ac:dyDescent="0.3">
      <c r="A1231" s="88" t="s">
        <v>592</v>
      </c>
      <c r="B1231" s="88">
        <v>10</v>
      </c>
      <c r="C1231" s="88">
        <v>46</v>
      </c>
      <c r="D1231" s="88" t="s">
        <v>97</v>
      </c>
      <c r="E1231" s="88"/>
      <c r="F1231" s="88" t="s">
        <v>353</v>
      </c>
      <c r="G1231" s="88" t="s">
        <v>1502</v>
      </c>
      <c r="H1231" s="88" t="s">
        <v>596</v>
      </c>
    </row>
    <row r="1232" spans="1:8" x14ac:dyDescent="0.3">
      <c r="A1232" s="88" t="s">
        <v>592</v>
      </c>
      <c r="B1232" s="88">
        <v>11</v>
      </c>
      <c r="C1232" s="88">
        <v>46</v>
      </c>
      <c r="D1232" s="88" t="s">
        <v>98</v>
      </c>
      <c r="E1232" s="88"/>
      <c r="F1232" s="88" t="s">
        <v>354</v>
      </c>
      <c r="G1232" s="88" t="s">
        <v>1502</v>
      </c>
      <c r="H1232" s="88" t="s">
        <v>596</v>
      </c>
    </row>
    <row r="1233" spans="1:8" x14ac:dyDescent="0.3">
      <c r="A1233" s="88" t="s">
        <v>592</v>
      </c>
      <c r="B1233" s="88">
        <v>12</v>
      </c>
      <c r="C1233" s="88">
        <v>46</v>
      </c>
      <c r="D1233" s="88" t="s">
        <v>355</v>
      </c>
      <c r="E1233" s="88"/>
      <c r="F1233" s="88" t="s">
        <v>356</v>
      </c>
      <c r="G1233" s="88" t="s">
        <v>1502</v>
      </c>
      <c r="H1233" s="88" t="s">
        <v>596</v>
      </c>
    </row>
    <row r="1234" spans="1:8" x14ac:dyDescent="0.3">
      <c r="A1234" s="88" t="s">
        <v>592</v>
      </c>
      <c r="B1234" s="88">
        <v>13</v>
      </c>
      <c r="C1234" s="88">
        <v>46</v>
      </c>
      <c r="D1234" s="88" t="s">
        <v>100</v>
      </c>
      <c r="E1234" s="88"/>
      <c r="F1234" s="88" t="s">
        <v>357</v>
      </c>
      <c r="G1234" s="88" t="s">
        <v>1502</v>
      </c>
      <c r="H1234" s="88" t="s">
        <v>596</v>
      </c>
    </row>
    <row r="1235" spans="1:8" x14ac:dyDescent="0.3">
      <c r="A1235" s="88" t="s">
        <v>592</v>
      </c>
      <c r="B1235" s="88">
        <v>14</v>
      </c>
      <c r="C1235" s="88">
        <v>46</v>
      </c>
      <c r="D1235" s="88" t="s">
        <v>101</v>
      </c>
      <c r="E1235" s="88"/>
      <c r="F1235" s="88" t="s">
        <v>358</v>
      </c>
      <c r="G1235" s="88" t="s">
        <v>1502</v>
      </c>
      <c r="H1235" s="88" t="s">
        <v>596</v>
      </c>
    </row>
    <row r="1236" spans="1:8" x14ac:dyDescent="0.3">
      <c r="A1236" s="88" t="s">
        <v>592</v>
      </c>
      <c r="B1236" s="88">
        <v>15</v>
      </c>
      <c r="C1236" s="88">
        <v>46</v>
      </c>
      <c r="D1236" s="88" t="s">
        <v>102</v>
      </c>
      <c r="E1236" s="88"/>
      <c r="F1236" s="88" t="s">
        <v>359</v>
      </c>
      <c r="G1236" s="88" t="s">
        <v>1502</v>
      </c>
      <c r="H1236" s="88" t="s">
        <v>596</v>
      </c>
    </row>
    <row r="1237" spans="1:8" x14ac:dyDescent="0.3">
      <c r="A1237" s="88" t="s">
        <v>592</v>
      </c>
      <c r="B1237" s="88">
        <v>16</v>
      </c>
      <c r="C1237" s="88">
        <v>46</v>
      </c>
      <c r="D1237" s="88" t="s">
        <v>360</v>
      </c>
      <c r="E1237" s="88"/>
      <c r="F1237" s="88" t="s">
        <v>361</v>
      </c>
      <c r="G1237" s="88" t="s">
        <v>1502</v>
      </c>
      <c r="H1237" s="88" t="s">
        <v>596</v>
      </c>
    </row>
    <row r="1238" spans="1:8" x14ac:dyDescent="0.3">
      <c r="A1238" s="88" t="s">
        <v>592</v>
      </c>
      <c r="B1238" s="88">
        <v>17</v>
      </c>
      <c r="C1238" s="88">
        <v>46</v>
      </c>
      <c r="D1238" s="88" t="s">
        <v>104</v>
      </c>
      <c r="E1238" s="88"/>
      <c r="F1238" s="88" t="s">
        <v>362</v>
      </c>
      <c r="G1238" s="88" t="s">
        <v>1502</v>
      </c>
      <c r="H1238" s="88" t="s">
        <v>596</v>
      </c>
    </row>
    <row r="1239" spans="1:8" x14ac:dyDescent="0.3">
      <c r="A1239" s="88" t="s">
        <v>592</v>
      </c>
      <c r="B1239" s="88">
        <v>18</v>
      </c>
      <c r="C1239" s="88">
        <v>46</v>
      </c>
      <c r="D1239" s="88" t="s">
        <v>105</v>
      </c>
      <c r="E1239" s="88"/>
      <c r="F1239" s="88" t="s">
        <v>363</v>
      </c>
      <c r="G1239" s="88" t="s">
        <v>1502</v>
      </c>
      <c r="H1239" s="88" t="s">
        <v>596</v>
      </c>
    </row>
    <row r="1240" spans="1:8" x14ac:dyDescent="0.3">
      <c r="A1240" s="88" t="s">
        <v>592</v>
      </c>
      <c r="B1240" s="88">
        <v>19</v>
      </c>
      <c r="C1240" s="88">
        <v>46</v>
      </c>
      <c r="D1240" s="88" t="s">
        <v>106</v>
      </c>
      <c r="E1240" s="88"/>
      <c r="F1240" s="88" t="s">
        <v>364</v>
      </c>
      <c r="G1240" s="88" t="s">
        <v>1502</v>
      </c>
      <c r="H1240" s="88" t="s">
        <v>596</v>
      </c>
    </row>
    <row r="1241" spans="1:8" x14ac:dyDescent="0.3">
      <c r="A1241" s="88" t="s">
        <v>592</v>
      </c>
      <c r="B1241" s="88">
        <v>20</v>
      </c>
      <c r="C1241" s="88">
        <v>46</v>
      </c>
      <c r="D1241" s="88" t="s">
        <v>365</v>
      </c>
      <c r="E1241" s="88"/>
      <c r="F1241" s="88" t="s">
        <v>366</v>
      </c>
      <c r="G1241" s="88" t="s">
        <v>1502</v>
      </c>
      <c r="H1241" s="88" t="s">
        <v>596</v>
      </c>
    </row>
    <row r="1242" spans="1:8" x14ac:dyDescent="0.3">
      <c r="A1242" s="88" t="s">
        <v>592</v>
      </c>
      <c r="B1242" s="88">
        <v>21</v>
      </c>
      <c r="C1242" s="88">
        <v>46</v>
      </c>
      <c r="D1242" s="88" t="s">
        <v>108</v>
      </c>
      <c r="E1242" s="88"/>
      <c r="F1242" s="88" t="s">
        <v>367</v>
      </c>
      <c r="G1242" s="88" t="s">
        <v>1502</v>
      </c>
      <c r="H1242" s="88" t="s">
        <v>596</v>
      </c>
    </row>
    <row r="1243" spans="1:8" x14ac:dyDescent="0.3">
      <c r="A1243" s="88" t="s">
        <v>592</v>
      </c>
      <c r="B1243" s="88">
        <v>22</v>
      </c>
      <c r="C1243" s="88">
        <v>46</v>
      </c>
      <c r="D1243" s="88" t="s">
        <v>109</v>
      </c>
      <c r="E1243" s="88"/>
      <c r="F1243" s="88" t="s">
        <v>368</v>
      </c>
      <c r="G1243" s="88" t="s">
        <v>1502</v>
      </c>
      <c r="H1243" s="88" t="s">
        <v>596</v>
      </c>
    </row>
    <row r="1244" spans="1:8" x14ac:dyDescent="0.3">
      <c r="A1244" s="88" t="s">
        <v>592</v>
      </c>
      <c r="B1244" s="88">
        <v>23</v>
      </c>
      <c r="C1244" s="88">
        <v>46</v>
      </c>
      <c r="D1244" s="88" t="s">
        <v>369</v>
      </c>
      <c r="E1244" s="88"/>
      <c r="F1244" s="88" t="s">
        <v>370</v>
      </c>
      <c r="G1244" s="88" t="s">
        <v>1502</v>
      </c>
      <c r="H1244" s="88" t="s">
        <v>596</v>
      </c>
    </row>
    <row r="1245" spans="1:8" x14ac:dyDescent="0.3">
      <c r="A1245" s="88" t="s">
        <v>592</v>
      </c>
      <c r="B1245" s="88">
        <v>24</v>
      </c>
      <c r="C1245" s="88">
        <v>46</v>
      </c>
      <c r="D1245" s="88" t="s">
        <v>111</v>
      </c>
      <c r="E1245" s="88"/>
      <c r="F1245" s="88" t="s">
        <v>371</v>
      </c>
      <c r="G1245" s="88" t="s">
        <v>1502</v>
      </c>
      <c r="H1245" s="88" t="s">
        <v>596</v>
      </c>
    </row>
    <row r="1246" spans="1:8" x14ac:dyDescent="0.3">
      <c r="A1246" s="88" t="s">
        <v>592</v>
      </c>
      <c r="B1246" s="88">
        <v>25</v>
      </c>
      <c r="C1246" s="88">
        <v>46</v>
      </c>
      <c r="D1246" s="88" t="s">
        <v>112</v>
      </c>
      <c r="E1246" s="88"/>
      <c r="F1246" s="88" t="s">
        <v>372</v>
      </c>
      <c r="G1246" s="88" t="s">
        <v>1502</v>
      </c>
      <c r="H1246" s="88" t="s">
        <v>596</v>
      </c>
    </row>
    <row r="1247" spans="1:8" x14ac:dyDescent="0.3">
      <c r="A1247" s="88" t="s">
        <v>592</v>
      </c>
      <c r="B1247" s="88">
        <v>26</v>
      </c>
      <c r="C1247" s="88">
        <v>46</v>
      </c>
      <c r="D1247" s="88" t="s">
        <v>113</v>
      </c>
      <c r="E1247" s="88"/>
      <c r="F1247" s="88" t="s">
        <v>373</v>
      </c>
      <c r="G1247" s="88" t="s">
        <v>1502</v>
      </c>
      <c r="H1247" s="88" t="s">
        <v>596</v>
      </c>
    </row>
    <row r="1248" spans="1:8" x14ac:dyDescent="0.3">
      <c r="A1248" s="88" t="s">
        <v>592</v>
      </c>
      <c r="B1248" s="88">
        <v>27</v>
      </c>
      <c r="C1248" s="88">
        <v>46</v>
      </c>
      <c r="D1248" s="88" t="s">
        <v>114</v>
      </c>
      <c r="E1248" s="88"/>
      <c r="F1248" s="88" t="s">
        <v>374</v>
      </c>
      <c r="G1248" s="88" t="s">
        <v>1502</v>
      </c>
      <c r="H1248" s="88" t="s">
        <v>596</v>
      </c>
    </row>
    <row r="1249" spans="1:8" x14ac:dyDescent="0.3">
      <c r="A1249" s="88" t="s">
        <v>592</v>
      </c>
      <c r="B1249" s="88">
        <v>28</v>
      </c>
      <c r="C1249" s="88">
        <v>46</v>
      </c>
      <c r="D1249" s="88" t="s">
        <v>375</v>
      </c>
      <c r="E1249" s="88"/>
      <c r="F1249" s="88" t="s">
        <v>376</v>
      </c>
      <c r="G1249" s="88" t="s">
        <v>1502</v>
      </c>
      <c r="H1249" s="88" t="s">
        <v>596</v>
      </c>
    </row>
    <row r="1250" spans="1:8" x14ac:dyDescent="0.3">
      <c r="A1250" s="88" t="s">
        <v>592</v>
      </c>
      <c r="B1250" s="88">
        <v>29</v>
      </c>
      <c r="C1250" s="88">
        <v>46</v>
      </c>
      <c r="D1250" s="88" t="s">
        <v>116</v>
      </c>
      <c r="E1250" s="88"/>
      <c r="F1250" s="88" t="s">
        <v>377</v>
      </c>
      <c r="G1250" s="88" t="s">
        <v>1502</v>
      </c>
      <c r="H1250" s="88" t="s">
        <v>596</v>
      </c>
    </row>
    <row r="1251" spans="1:8" x14ac:dyDescent="0.3">
      <c r="A1251" s="88" t="s">
        <v>592</v>
      </c>
      <c r="B1251" s="88">
        <v>30</v>
      </c>
      <c r="C1251" s="88">
        <v>46</v>
      </c>
      <c r="D1251" s="88" t="s">
        <v>117</v>
      </c>
      <c r="E1251" s="88"/>
      <c r="F1251" s="88" t="s">
        <v>378</v>
      </c>
      <c r="G1251" s="88" t="s">
        <v>1502</v>
      </c>
      <c r="H1251" s="88" t="s">
        <v>596</v>
      </c>
    </row>
    <row r="1252" spans="1:8" x14ac:dyDescent="0.3">
      <c r="A1252" s="88" t="s">
        <v>592</v>
      </c>
      <c r="B1252" s="88">
        <v>31</v>
      </c>
      <c r="C1252" s="88">
        <v>46</v>
      </c>
      <c r="D1252" s="88" t="s">
        <v>118</v>
      </c>
      <c r="E1252" s="88"/>
      <c r="F1252" s="88" t="s">
        <v>379</v>
      </c>
      <c r="G1252" s="88" t="s">
        <v>1502</v>
      </c>
      <c r="H1252" s="88" t="s">
        <v>596</v>
      </c>
    </row>
    <row r="1253" spans="1:8" x14ac:dyDescent="0.3">
      <c r="A1253" s="88" t="s">
        <v>592</v>
      </c>
      <c r="B1253" s="88">
        <v>32</v>
      </c>
      <c r="C1253" s="88">
        <v>46</v>
      </c>
      <c r="D1253" s="88" t="s">
        <v>119</v>
      </c>
      <c r="E1253" s="88"/>
      <c r="F1253" s="88" t="s">
        <v>380</v>
      </c>
      <c r="G1253" s="88" t="s">
        <v>1502</v>
      </c>
      <c r="H1253" s="88" t="s">
        <v>596</v>
      </c>
    </row>
    <row r="1254" spans="1:8" x14ac:dyDescent="0.3">
      <c r="A1254" s="88" t="s">
        <v>592</v>
      </c>
      <c r="B1254" s="88">
        <v>33</v>
      </c>
      <c r="C1254" s="88">
        <v>46</v>
      </c>
      <c r="D1254" s="88" t="s">
        <v>120</v>
      </c>
      <c r="E1254" s="88"/>
      <c r="F1254" s="88" t="s">
        <v>381</v>
      </c>
      <c r="G1254" s="88" t="s">
        <v>1502</v>
      </c>
      <c r="H1254" s="88" t="s">
        <v>596</v>
      </c>
    </row>
    <row r="1255" spans="1:8" x14ac:dyDescent="0.3">
      <c r="A1255" s="88" t="s">
        <v>592</v>
      </c>
      <c r="B1255" s="88">
        <v>34</v>
      </c>
      <c r="C1255" s="88">
        <v>46</v>
      </c>
      <c r="D1255" s="88" t="s">
        <v>121</v>
      </c>
      <c r="E1255" s="88"/>
      <c r="F1255" s="88" t="s">
        <v>382</v>
      </c>
      <c r="G1255" s="88" t="s">
        <v>1502</v>
      </c>
      <c r="H1255" s="88" t="s">
        <v>596</v>
      </c>
    </row>
    <row r="1256" spans="1:8" x14ac:dyDescent="0.3">
      <c r="A1256" s="88" t="s">
        <v>592</v>
      </c>
      <c r="B1256" s="88">
        <v>35</v>
      </c>
      <c r="C1256" s="88">
        <v>46</v>
      </c>
      <c r="D1256" s="88" t="s">
        <v>383</v>
      </c>
      <c r="E1256" s="88"/>
      <c r="F1256" s="88" t="s">
        <v>384</v>
      </c>
      <c r="G1256" s="88" t="s">
        <v>1502</v>
      </c>
      <c r="H1256" s="88" t="s">
        <v>596</v>
      </c>
    </row>
    <row r="1257" spans="1:8" x14ac:dyDescent="0.3">
      <c r="A1257" s="88" t="s">
        <v>592</v>
      </c>
      <c r="B1257" s="88">
        <v>36</v>
      </c>
      <c r="C1257" s="88">
        <v>46</v>
      </c>
      <c r="D1257" s="88" t="s">
        <v>123</v>
      </c>
      <c r="E1257" s="88"/>
      <c r="F1257" s="88" t="s">
        <v>385</v>
      </c>
      <c r="G1257" s="88" t="s">
        <v>1502</v>
      </c>
      <c r="H1257" s="88" t="s">
        <v>596</v>
      </c>
    </row>
    <row r="1258" spans="1:8" x14ac:dyDescent="0.3">
      <c r="A1258" s="88" t="s">
        <v>592</v>
      </c>
      <c r="B1258" s="88">
        <v>37</v>
      </c>
      <c r="C1258" s="88">
        <v>46</v>
      </c>
      <c r="D1258" s="88" t="s">
        <v>124</v>
      </c>
      <c r="E1258" s="88"/>
      <c r="F1258" s="88" t="s">
        <v>386</v>
      </c>
      <c r="G1258" s="88" t="s">
        <v>1502</v>
      </c>
      <c r="H1258" s="88" t="s">
        <v>596</v>
      </c>
    </row>
    <row r="1259" spans="1:8" x14ac:dyDescent="0.3">
      <c r="A1259" s="88" t="s">
        <v>592</v>
      </c>
      <c r="B1259" s="88">
        <v>38</v>
      </c>
      <c r="C1259" s="88">
        <v>46</v>
      </c>
      <c r="D1259" s="88" t="s">
        <v>387</v>
      </c>
      <c r="E1259" s="88"/>
      <c r="F1259" s="88" t="s">
        <v>388</v>
      </c>
      <c r="G1259" s="88" t="s">
        <v>1502</v>
      </c>
      <c r="H1259" s="88" t="s">
        <v>596</v>
      </c>
    </row>
    <row r="1260" spans="1:8" x14ac:dyDescent="0.3">
      <c r="A1260" s="88" t="s">
        <v>592</v>
      </c>
      <c r="B1260" s="88">
        <v>39</v>
      </c>
      <c r="C1260" s="88">
        <v>46</v>
      </c>
      <c r="D1260" s="88" t="s">
        <v>389</v>
      </c>
      <c r="E1260" s="88"/>
      <c r="F1260" s="88" t="s">
        <v>390</v>
      </c>
      <c r="G1260" s="88" t="s">
        <v>1502</v>
      </c>
      <c r="H1260" s="88" t="s">
        <v>596</v>
      </c>
    </row>
    <row r="1261" spans="1:8" x14ac:dyDescent="0.3">
      <c r="A1261" s="88" t="s">
        <v>592</v>
      </c>
      <c r="B1261" s="88">
        <v>40</v>
      </c>
      <c r="C1261" s="88">
        <v>46</v>
      </c>
      <c r="D1261" s="88" t="s">
        <v>391</v>
      </c>
      <c r="E1261" s="88"/>
      <c r="F1261" s="88" t="s">
        <v>392</v>
      </c>
      <c r="G1261" s="88" t="s">
        <v>1502</v>
      </c>
      <c r="H1261" s="88" t="s">
        <v>596</v>
      </c>
    </row>
    <row r="1262" spans="1:8" x14ac:dyDescent="0.3">
      <c r="A1262" s="88" t="s">
        <v>592</v>
      </c>
      <c r="B1262" s="88">
        <v>41</v>
      </c>
      <c r="C1262" s="88">
        <v>46</v>
      </c>
      <c r="D1262" s="88" t="s">
        <v>128</v>
      </c>
      <c r="E1262" s="88"/>
      <c r="F1262" s="88" t="s">
        <v>393</v>
      </c>
      <c r="G1262" s="88" t="s">
        <v>1502</v>
      </c>
      <c r="H1262" s="88" t="s">
        <v>596</v>
      </c>
    </row>
    <row r="1263" spans="1:8" x14ac:dyDescent="0.3">
      <c r="A1263" s="88" t="s">
        <v>592</v>
      </c>
      <c r="B1263" s="88">
        <v>42</v>
      </c>
      <c r="C1263" s="88">
        <v>46</v>
      </c>
      <c r="D1263" s="88" t="s">
        <v>129</v>
      </c>
      <c r="E1263" s="88"/>
      <c r="F1263" s="88" t="s">
        <v>394</v>
      </c>
      <c r="G1263" s="88" t="s">
        <v>1502</v>
      </c>
      <c r="H1263" s="88" t="s">
        <v>596</v>
      </c>
    </row>
    <row r="1264" spans="1:8" x14ac:dyDescent="0.3">
      <c r="A1264" s="88" t="s">
        <v>592</v>
      </c>
      <c r="B1264" s="88">
        <v>43</v>
      </c>
      <c r="C1264" s="88">
        <v>46</v>
      </c>
      <c r="D1264" s="88" t="s">
        <v>130</v>
      </c>
      <c r="E1264" s="88"/>
      <c r="F1264" s="88" t="s">
        <v>395</v>
      </c>
      <c r="G1264" s="88" t="s">
        <v>1502</v>
      </c>
      <c r="H1264" s="88" t="s">
        <v>596</v>
      </c>
    </row>
    <row r="1265" spans="1:8" x14ac:dyDescent="0.3">
      <c r="A1265" s="88" t="s">
        <v>592</v>
      </c>
      <c r="B1265" s="88">
        <v>44</v>
      </c>
      <c r="C1265" s="88">
        <v>46</v>
      </c>
      <c r="D1265" s="88" t="s">
        <v>131</v>
      </c>
      <c r="E1265" s="88"/>
      <c r="F1265" s="88" t="s">
        <v>396</v>
      </c>
      <c r="G1265" s="88" t="s">
        <v>1502</v>
      </c>
      <c r="H1265" s="88" t="s">
        <v>596</v>
      </c>
    </row>
    <row r="1266" spans="1:8" x14ac:dyDescent="0.3">
      <c r="A1266" s="88" t="s">
        <v>592</v>
      </c>
      <c r="B1266" s="88">
        <v>45</v>
      </c>
      <c r="C1266" s="88">
        <v>46</v>
      </c>
      <c r="D1266" s="88" t="s">
        <v>132</v>
      </c>
      <c r="E1266" s="88"/>
      <c r="F1266" s="88" t="s">
        <v>397</v>
      </c>
      <c r="G1266" s="88" t="s">
        <v>1502</v>
      </c>
      <c r="H1266" s="88" t="s">
        <v>596</v>
      </c>
    </row>
    <row r="1267" spans="1:8" x14ac:dyDescent="0.3">
      <c r="A1267" s="88" t="s">
        <v>592</v>
      </c>
      <c r="B1267" s="88">
        <v>46</v>
      </c>
      <c r="C1267" s="88">
        <v>46</v>
      </c>
      <c r="D1267" s="88" t="s">
        <v>133</v>
      </c>
      <c r="E1267" s="88"/>
      <c r="F1267" s="88" t="s">
        <v>398</v>
      </c>
      <c r="G1267" s="88" t="s">
        <v>1502</v>
      </c>
      <c r="H1267" s="88" t="s">
        <v>596</v>
      </c>
    </row>
    <row r="1268" spans="1:8" x14ac:dyDescent="0.3">
      <c r="A1268" s="88" t="s">
        <v>592</v>
      </c>
      <c r="B1268" s="88">
        <v>47</v>
      </c>
      <c r="C1268" s="88">
        <v>46</v>
      </c>
      <c r="D1268" s="88" t="s">
        <v>134</v>
      </c>
      <c r="E1268" s="88"/>
      <c r="F1268" s="88" t="s">
        <v>399</v>
      </c>
      <c r="G1268" s="88" t="s">
        <v>1502</v>
      </c>
      <c r="H1268" s="88" t="s">
        <v>596</v>
      </c>
    </row>
    <row r="1269" spans="1:8" x14ac:dyDescent="0.3">
      <c r="A1269" s="88" t="s">
        <v>592</v>
      </c>
      <c r="B1269" s="88">
        <v>48</v>
      </c>
      <c r="C1269" s="88">
        <v>46</v>
      </c>
      <c r="D1269" s="88" t="s">
        <v>400</v>
      </c>
      <c r="E1269" s="88"/>
      <c r="F1269" s="88" t="s">
        <v>401</v>
      </c>
      <c r="G1269" s="88" t="s">
        <v>1502</v>
      </c>
      <c r="H1269" s="88" t="s">
        <v>596</v>
      </c>
    </row>
    <row r="1270" spans="1:8" x14ac:dyDescent="0.3">
      <c r="A1270" s="88" t="s">
        <v>592</v>
      </c>
      <c r="B1270" s="88">
        <v>49</v>
      </c>
      <c r="C1270" s="88">
        <v>46</v>
      </c>
      <c r="D1270" s="88" t="s">
        <v>136</v>
      </c>
      <c r="E1270" s="88"/>
      <c r="F1270" s="88" t="s">
        <v>402</v>
      </c>
      <c r="G1270" s="88" t="s">
        <v>1502</v>
      </c>
      <c r="H1270" s="88" t="s">
        <v>596</v>
      </c>
    </row>
    <row r="1271" spans="1:8" x14ac:dyDescent="0.3">
      <c r="A1271" s="88" t="s">
        <v>592</v>
      </c>
      <c r="B1271" s="88">
        <v>50</v>
      </c>
      <c r="C1271" s="88">
        <v>46</v>
      </c>
      <c r="D1271" s="88" t="s">
        <v>403</v>
      </c>
      <c r="E1271" s="88"/>
      <c r="F1271" s="88" t="s">
        <v>404</v>
      </c>
      <c r="G1271" s="88" t="s">
        <v>1502</v>
      </c>
      <c r="H1271" s="88" t="s">
        <v>596</v>
      </c>
    </row>
    <row r="1272" spans="1:8" x14ac:dyDescent="0.3">
      <c r="A1272" s="88" t="s">
        <v>592</v>
      </c>
      <c r="B1272" s="88">
        <v>51</v>
      </c>
      <c r="C1272" s="88">
        <v>46</v>
      </c>
      <c r="D1272" s="88" t="s">
        <v>405</v>
      </c>
      <c r="E1272" s="88"/>
      <c r="F1272" s="88" t="s">
        <v>406</v>
      </c>
      <c r="G1272" s="88" t="s">
        <v>1502</v>
      </c>
      <c r="H1272" s="88" t="s">
        <v>596</v>
      </c>
    </row>
    <row r="1273" spans="1:8" x14ac:dyDescent="0.3">
      <c r="A1273" s="88" t="s">
        <v>592</v>
      </c>
      <c r="B1273" s="88">
        <v>52</v>
      </c>
      <c r="C1273" s="88">
        <v>46</v>
      </c>
      <c r="D1273" s="88" t="s">
        <v>139</v>
      </c>
      <c r="E1273" s="88"/>
      <c r="F1273" s="88" t="s">
        <v>407</v>
      </c>
      <c r="G1273" s="88" t="s">
        <v>1502</v>
      </c>
      <c r="H1273" s="88" t="s">
        <v>596</v>
      </c>
    </row>
    <row r="1274" spans="1:8" x14ac:dyDescent="0.3">
      <c r="A1274" s="88" t="s">
        <v>592</v>
      </c>
      <c r="B1274" s="88">
        <v>53</v>
      </c>
      <c r="C1274" s="88">
        <v>46</v>
      </c>
      <c r="D1274" s="88" t="s">
        <v>408</v>
      </c>
      <c r="E1274" s="88"/>
      <c r="F1274" s="88" t="s">
        <v>409</v>
      </c>
      <c r="G1274" s="88" t="s">
        <v>1502</v>
      </c>
      <c r="H1274" s="88" t="s">
        <v>596</v>
      </c>
    </row>
    <row r="1275" spans="1:8" x14ac:dyDescent="0.3">
      <c r="A1275" s="88" t="s">
        <v>592</v>
      </c>
      <c r="B1275" s="88">
        <v>54</v>
      </c>
      <c r="C1275" s="88">
        <v>46</v>
      </c>
      <c r="D1275" s="88" t="s">
        <v>141</v>
      </c>
      <c r="E1275" s="88"/>
      <c r="F1275" s="88" t="s">
        <v>410</v>
      </c>
      <c r="G1275" s="88" t="s">
        <v>1502</v>
      </c>
      <c r="H1275" s="88" t="s">
        <v>596</v>
      </c>
    </row>
    <row r="1276" spans="1:8" x14ac:dyDescent="0.3">
      <c r="A1276" s="88" t="s">
        <v>592</v>
      </c>
      <c r="B1276" s="88">
        <v>55</v>
      </c>
      <c r="C1276" s="88">
        <v>46</v>
      </c>
      <c r="D1276" s="88" t="s">
        <v>142</v>
      </c>
      <c r="E1276" s="88"/>
      <c r="F1276" s="88" t="s">
        <v>411</v>
      </c>
      <c r="G1276" s="88" t="s">
        <v>1502</v>
      </c>
      <c r="H1276" s="88" t="s">
        <v>596</v>
      </c>
    </row>
    <row r="1277" spans="1:8" x14ac:dyDescent="0.3">
      <c r="A1277" s="88" t="s">
        <v>592</v>
      </c>
      <c r="B1277" s="88">
        <v>56</v>
      </c>
      <c r="C1277" s="88">
        <v>46</v>
      </c>
      <c r="D1277" s="88" t="s">
        <v>412</v>
      </c>
      <c r="E1277" s="88"/>
      <c r="F1277" s="88" t="s">
        <v>413</v>
      </c>
      <c r="G1277" s="88" t="s">
        <v>1502</v>
      </c>
      <c r="H1277" s="88" t="s">
        <v>596</v>
      </c>
    </row>
    <row r="1278" spans="1:8" x14ac:dyDescent="0.3">
      <c r="A1278" s="88" t="s">
        <v>592</v>
      </c>
      <c r="B1278" s="88">
        <v>57</v>
      </c>
      <c r="C1278" s="88">
        <v>46</v>
      </c>
      <c r="D1278" s="88" t="s">
        <v>414</v>
      </c>
      <c r="E1278" s="88"/>
      <c r="F1278" s="88" t="s">
        <v>415</v>
      </c>
      <c r="G1278" s="88" t="s">
        <v>1502</v>
      </c>
      <c r="H1278" s="88" t="s">
        <v>596</v>
      </c>
    </row>
    <row r="1279" spans="1:8" x14ac:dyDescent="0.3">
      <c r="A1279" s="88" t="s">
        <v>592</v>
      </c>
      <c r="B1279" s="88">
        <v>58</v>
      </c>
      <c r="C1279" s="88">
        <v>46</v>
      </c>
      <c r="D1279" s="88" t="s">
        <v>145</v>
      </c>
      <c r="E1279" s="88"/>
      <c r="F1279" s="88" t="s">
        <v>416</v>
      </c>
      <c r="G1279" s="88" t="s">
        <v>1502</v>
      </c>
      <c r="H1279" s="88" t="s">
        <v>596</v>
      </c>
    </row>
    <row r="1280" spans="1:8" x14ac:dyDescent="0.3">
      <c r="A1280" s="88" t="s">
        <v>592</v>
      </c>
      <c r="B1280" s="88">
        <v>59</v>
      </c>
      <c r="C1280" s="88">
        <v>46</v>
      </c>
      <c r="D1280" s="88" t="s">
        <v>146</v>
      </c>
      <c r="E1280" s="88"/>
      <c r="F1280" s="88" t="s">
        <v>417</v>
      </c>
      <c r="G1280" s="88" t="s">
        <v>1502</v>
      </c>
      <c r="H1280" s="88" t="s">
        <v>596</v>
      </c>
    </row>
    <row r="1281" spans="1:8" x14ac:dyDescent="0.3">
      <c r="A1281" s="88" t="s">
        <v>592</v>
      </c>
      <c r="B1281" s="88">
        <v>60</v>
      </c>
      <c r="C1281" s="88">
        <v>46</v>
      </c>
      <c r="D1281" s="88" t="s">
        <v>147</v>
      </c>
      <c r="E1281" s="88"/>
      <c r="F1281" s="88" t="s">
        <v>418</v>
      </c>
      <c r="G1281" s="88" t="s">
        <v>1502</v>
      </c>
      <c r="H1281" s="88" t="s">
        <v>596</v>
      </c>
    </row>
    <row r="1282" spans="1:8" x14ac:dyDescent="0.3">
      <c r="A1282" s="88" t="s">
        <v>592</v>
      </c>
      <c r="B1282" s="88">
        <v>61</v>
      </c>
      <c r="C1282" s="88">
        <v>46</v>
      </c>
      <c r="D1282" s="88" t="s">
        <v>148</v>
      </c>
      <c r="E1282" s="88"/>
      <c r="F1282" s="88" t="s">
        <v>419</v>
      </c>
      <c r="G1282" s="88" t="s">
        <v>1502</v>
      </c>
      <c r="H1282" s="88" t="s">
        <v>596</v>
      </c>
    </row>
    <row r="1283" spans="1:8" x14ac:dyDescent="0.3">
      <c r="A1283" s="88" t="s">
        <v>592</v>
      </c>
      <c r="B1283" s="88">
        <v>62</v>
      </c>
      <c r="C1283" s="88">
        <v>46</v>
      </c>
      <c r="D1283" s="88" t="s">
        <v>149</v>
      </c>
      <c r="E1283" s="88"/>
      <c r="F1283" s="88" t="s">
        <v>420</v>
      </c>
      <c r="G1283" s="88" t="s">
        <v>1502</v>
      </c>
      <c r="H1283" s="88" t="s">
        <v>596</v>
      </c>
    </row>
    <row r="1284" spans="1:8" x14ac:dyDescent="0.3">
      <c r="A1284" s="88" t="s">
        <v>592</v>
      </c>
      <c r="B1284" s="88">
        <v>63</v>
      </c>
      <c r="C1284" s="88">
        <v>46</v>
      </c>
      <c r="D1284" s="88" t="s">
        <v>150</v>
      </c>
      <c r="E1284" s="88"/>
      <c r="F1284" s="88" t="s">
        <v>421</v>
      </c>
      <c r="G1284" s="88" t="s">
        <v>1502</v>
      </c>
      <c r="H1284" s="88" t="s">
        <v>596</v>
      </c>
    </row>
    <row r="1285" spans="1:8" x14ac:dyDescent="0.3">
      <c r="A1285" s="88" t="s">
        <v>592</v>
      </c>
      <c r="B1285" s="88">
        <v>64</v>
      </c>
      <c r="C1285" s="88">
        <v>46</v>
      </c>
      <c r="D1285" s="88" t="s">
        <v>422</v>
      </c>
      <c r="E1285" s="88"/>
      <c r="F1285" s="88" t="s">
        <v>423</v>
      </c>
      <c r="G1285" s="88" t="s">
        <v>1502</v>
      </c>
      <c r="H1285" s="88" t="s">
        <v>596</v>
      </c>
    </row>
    <row r="1286" spans="1:8" x14ac:dyDescent="0.3">
      <c r="A1286" s="88" t="s">
        <v>592</v>
      </c>
      <c r="B1286" s="88">
        <v>65</v>
      </c>
      <c r="C1286" s="88">
        <v>46</v>
      </c>
      <c r="D1286" s="88" t="s">
        <v>152</v>
      </c>
      <c r="E1286" s="88"/>
      <c r="F1286" s="88" t="s">
        <v>424</v>
      </c>
      <c r="G1286" s="88" t="s">
        <v>1502</v>
      </c>
      <c r="H1286" s="88" t="s">
        <v>596</v>
      </c>
    </row>
    <row r="1287" spans="1:8" x14ac:dyDescent="0.3">
      <c r="A1287" s="88" t="s">
        <v>592</v>
      </c>
      <c r="B1287" s="88">
        <v>66</v>
      </c>
      <c r="C1287" s="88">
        <v>46</v>
      </c>
      <c r="D1287" s="88" t="s">
        <v>153</v>
      </c>
      <c r="E1287" s="88"/>
      <c r="F1287" s="88" t="s">
        <v>425</v>
      </c>
      <c r="G1287" s="88" t="s">
        <v>1502</v>
      </c>
      <c r="H1287" s="88" t="s">
        <v>596</v>
      </c>
    </row>
    <row r="1288" spans="1:8" x14ac:dyDescent="0.3">
      <c r="A1288" s="88" t="s">
        <v>592</v>
      </c>
      <c r="B1288" s="88">
        <v>67</v>
      </c>
      <c r="C1288" s="88">
        <v>46</v>
      </c>
      <c r="D1288" s="88" t="s">
        <v>426</v>
      </c>
      <c r="E1288" s="88"/>
      <c r="F1288" s="88" t="s">
        <v>427</v>
      </c>
      <c r="G1288" s="88" t="s">
        <v>1502</v>
      </c>
      <c r="H1288" s="88" t="s">
        <v>596</v>
      </c>
    </row>
    <row r="1289" spans="1:8" x14ac:dyDescent="0.3">
      <c r="A1289" s="88" t="s">
        <v>592</v>
      </c>
      <c r="B1289" s="88">
        <v>68</v>
      </c>
      <c r="C1289" s="88">
        <v>46</v>
      </c>
      <c r="D1289" s="88" t="s">
        <v>428</v>
      </c>
      <c r="E1289" s="88"/>
      <c r="F1289" s="88" t="s">
        <v>429</v>
      </c>
      <c r="G1289" s="88" t="s">
        <v>1502</v>
      </c>
      <c r="H1289" s="88" t="s">
        <v>596</v>
      </c>
    </row>
    <row r="1290" spans="1:8" x14ac:dyDescent="0.3">
      <c r="A1290" s="88" t="s">
        <v>592</v>
      </c>
      <c r="B1290" s="88">
        <v>69</v>
      </c>
      <c r="C1290" s="88">
        <v>46</v>
      </c>
      <c r="D1290" s="88" t="s">
        <v>156</v>
      </c>
      <c r="E1290" s="88"/>
      <c r="F1290" s="88" t="s">
        <v>430</v>
      </c>
      <c r="G1290" s="88" t="s">
        <v>1502</v>
      </c>
      <c r="H1290" s="88" t="s">
        <v>596</v>
      </c>
    </row>
    <row r="1291" spans="1:8" x14ac:dyDescent="0.3">
      <c r="A1291" s="88" t="s">
        <v>592</v>
      </c>
      <c r="B1291" s="88">
        <v>70</v>
      </c>
      <c r="C1291" s="88">
        <v>46</v>
      </c>
      <c r="D1291" s="88" t="s">
        <v>157</v>
      </c>
      <c r="E1291" s="88"/>
      <c r="F1291" s="88" t="s">
        <v>431</v>
      </c>
      <c r="G1291" s="88" t="s">
        <v>1502</v>
      </c>
      <c r="H1291" s="88" t="s">
        <v>596</v>
      </c>
    </row>
    <row r="1292" spans="1:8" x14ac:dyDescent="0.3">
      <c r="A1292" s="88" t="s">
        <v>592</v>
      </c>
      <c r="B1292" s="88">
        <v>71</v>
      </c>
      <c r="C1292" s="88">
        <v>46</v>
      </c>
      <c r="D1292" s="88" t="s">
        <v>432</v>
      </c>
      <c r="E1292" s="88"/>
      <c r="F1292" s="88" t="s">
        <v>433</v>
      </c>
      <c r="G1292" s="88" t="s">
        <v>1502</v>
      </c>
      <c r="H1292" s="88" t="s">
        <v>596</v>
      </c>
    </row>
    <row r="1293" spans="1:8" x14ac:dyDescent="0.3">
      <c r="A1293" s="88" t="s">
        <v>592</v>
      </c>
      <c r="B1293" s="88">
        <v>72</v>
      </c>
      <c r="C1293" s="88">
        <v>46</v>
      </c>
      <c r="D1293" s="88" t="s">
        <v>159</v>
      </c>
      <c r="E1293" s="88"/>
      <c r="F1293" s="88" t="s">
        <v>434</v>
      </c>
      <c r="G1293" s="88" t="s">
        <v>1502</v>
      </c>
      <c r="H1293" s="88" t="s">
        <v>596</v>
      </c>
    </row>
    <row r="1294" spans="1:8" x14ac:dyDescent="0.3">
      <c r="A1294" s="88" t="s">
        <v>592</v>
      </c>
      <c r="B1294" s="88">
        <v>73</v>
      </c>
      <c r="C1294" s="88">
        <v>46</v>
      </c>
      <c r="D1294" s="88" t="s">
        <v>160</v>
      </c>
      <c r="E1294" s="88"/>
      <c r="F1294" s="88" t="s">
        <v>435</v>
      </c>
      <c r="G1294" s="88" t="s">
        <v>1502</v>
      </c>
      <c r="H1294" s="88" t="s">
        <v>596</v>
      </c>
    </row>
    <row r="1295" spans="1:8" x14ac:dyDescent="0.3">
      <c r="A1295" s="88" t="s">
        <v>592</v>
      </c>
      <c r="B1295" s="88">
        <v>74</v>
      </c>
      <c r="C1295" s="88">
        <v>46</v>
      </c>
      <c r="D1295" s="88" t="s">
        <v>161</v>
      </c>
      <c r="E1295" s="88"/>
      <c r="F1295" s="88" t="s">
        <v>436</v>
      </c>
      <c r="G1295" s="88" t="s">
        <v>1502</v>
      </c>
      <c r="H1295" s="88" t="s">
        <v>596</v>
      </c>
    </row>
    <row r="1296" spans="1:8" x14ac:dyDescent="0.3">
      <c r="A1296" s="88" t="s">
        <v>592</v>
      </c>
      <c r="B1296" s="88">
        <v>75</v>
      </c>
      <c r="C1296" s="88">
        <v>46</v>
      </c>
      <c r="D1296" s="88" t="s">
        <v>162</v>
      </c>
      <c r="E1296" s="88"/>
      <c r="F1296" s="88" t="s">
        <v>437</v>
      </c>
      <c r="G1296" s="88" t="s">
        <v>1502</v>
      </c>
      <c r="H1296" s="88" t="s">
        <v>596</v>
      </c>
    </row>
    <row r="1297" spans="1:8" x14ac:dyDescent="0.3">
      <c r="A1297" s="88" t="s">
        <v>592</v>
      </c>
      <c r="B1297" s="88">
        <v>76</v>
      </c>
      <c r="C1297" s="88">
        <v>46</v>
      </c>
      <c r="D1297" s="88" t="s">
        <v>438</v>
      </c>
      <c r="E1297" s="88"/>
      <c r="F1297" s="88" t="s">
        <v>439</v>
      </c>
      <c r="G1297" s="88" t="s">
        <v>1502</v>
      </c>
      <c r="H1297" s="88" t="s">
        <v>596</v>
      </c>
    </row>
    <row r="1298" spans="1:8" x14ac:dyDescent="0.3">
      <c r="A1298" s="88" t="s">
        <v>592</v>
      </c>
      <c r="B1298" s="88">
        <v>77</v>
      </c>
      <c r="C1298" s="88">
        <v>46</v>
      </c>
      <c r="D1298" s="88" t="s">
        <v>440</v>
      </c>
      <c r="E1298" s="88"/>
      <c r="F1298" s="88" t="s">
        <v>441</v>
      </c>
      <c r="G1298" s="88" t="s">
        <v>1502</v>
      </c>
      <c r="H1298" s="88" t="s">
        <v>596</v>
      </c>
    </row>
    <row r="1299" spans="1:8" x14ac:dyDescent="0.3">
      <c r="A1299" s="88" t="s">
        <v>592</v>
      </c>
      <c r="B1299" s="88">
        <v>78</v>
      </c>
      <c r="C1299" s="88">
        <v>46</v>
      </c>
      <c r="D1299" s="88" t="s">
        <v>165</v>
      </c>
      <c r="E1299" s="88"/>
      <c r="F1299" s="88" t="s">
        <v>442</v>
      </c>
      <c r="G1299" s="88" t="s">
        <v>1502</v>
      </c>
      <c r="H1299" s="88" t="s">
        <v>596</v>
      </c>
    </row>
    <row r="1300" spans="1:8" x14ac:dyDescent="0.3">
      <c r="A1300" s="88" t="s">
        <v>592</v>
      </c>
      <c r="B1300" s="88">
        <v>79</v>
      </c>
      <c r="C1300" s="88">
        <v>46</v>
      </c>
      <c r="D1300" s="88" t="s">
        <v>443</v>
      </c>
      <c r="E1300" s="88"/>
      <c r="F1300" s="88" t="s">
        <v>444</v>
      </c>
      <c r="G1300" s="88" t="s">
        <v>1502</v>
      </c>
      <c r="H1300" s="88" t="s">
        <v>596</v>
      </c>
    </row>
    <row r="1301" spans="1:8" x14ac:dyDescent="0.3">
      <c r="A1301" s="88" t="s">
        <v>592</v>
      </c>
      <c r="B1301" s="88">
        <v>80</v>
      </c>
      <c r="C1301" s="88">
        <v>46</v>
      </c>
      <c r="D1301" s="88" t="s">
        <v>167</v>
      </c>
      <c r="E1301" s="88"/>
      <c r="F1301" s="88" t="s">
        <v>445</v>
      </c>
      <c r="G1301" s="88" t="s">
        <v>1502</v>
      </c>
      <c r="H1301" s="88" t="s">
        <v>596</v>
      </c>
    </row>
    <row r="1302" spans="1:8" x14ac:dyDescent="0.3">
      <c r="A1302" s="88" t="s">
        <v>592</v>
      </c>
      <c r="B1302" s="88">
        <v>81</v>
      </c>
      <c r="C1302" s="88">
        <v>46</v>
      </c>
      <c r="D1302" s="88" t="s">
        <v>168</v>
      </c>
      <c r="E1302" s="88"/>
      <c r="F1302" s="88" t="s">
        <v>446</v>
      </c>
      <c r="G1302" s="88" t="s">
        <v>1502</v>
      </c>
      <c r="H1302" s="88" t="s">
        <v>596</v>
      </c>
    </row>
    <row r="1303" spans="1:8" x14ac:dyDescent="0.3">
      <c r="A1303" s="88" t="s">
        <v>592</v>
      </c>
      <c r="B1303" s="88">
        <v>82</v>
      </c>
      <c r="C1303" s="88">
        <v>46</v>
      </c>
      <c r="D1303" s="88" t="s">
        <v>169</v>
      </c>
      <c r="E1303" s="88"/>
      <c r="F1303" s="88" t="s">
        <v>447</v>
      </c>
      <c r="G1303" s="88" t="s">
        <v>1502</v>
      </c>
      <c r="H1303" s="88" t="s">
        <v>596</v>
      </c>
    </row>
    <row r="1304" spans="1:8" x14ac:dyDescent="0.3">
      <c r="A1304" s="88" t="s">
        <v>592</v>
      </c>
      <c r="B1304" s="88">
        <v>83</v>
      </c>
      <c r="C1304" s="88">
        <v>46</v>
      </c>
      <c r="D1304" s="88" t="s">
        <v>170</v>
      </c>
      <c r="E1304" s="88"/>
      <c r="F1304" s="88" t="s">
        <v>448</v>
      </c>
      <c r="G1304" s="88" t="s">
        <v>1502</v>
      </c>
      <c r="H1304" s="88" t="s">
        <v>596</v>
      </c>
    </row>
    <row r="1305" spans="1:8" x14ac:dyDescent="0.3">
      <c r="A1305" s="88" t="s">
        <v>592</v>
      </c>
      <c r="B1305" s="88">
        <v>84</v>
      </c>
      <c r="C1305" s="88">
        <v>46</v>
      </c>
      <c r="D1305" s="88" t="s">
        <v>171</v>
      </c>
      <c r="E1305" s="88"/>
      <c r="F1305" s="88" t="s">
        <v>449</v>
      </c>
      <c r="G1305" s="88" t="s">
        <v>1502</v>
      </c>
      <c r="H1305" s="88" t="s">
        <v>596</v>
      </c>
    </row>
    <row r="1306" spans="1:8" x14ac:dyDescent="0.3">
      <c r="A1306" s="88" t="s">
        <v>592</v>
      </c>
      <c r="B1306" s="88">
        <v>85</v>
      </c>
      <c r="C1306" s="88">
        <v>46</v>
      </c>
      <c r="D1306" s="88" t="s">
        <v>450</v>
      </c>
      <c r="E1306" s="88"/>
      <c r="F1306" s="88" t="s">
        <v>451</v>
      </c>
      <c r="G1306" s="88" t="s">
        <v>1502</v>
      </c>
      <c r="H1306" s="88" t="s">
        <v>596</v>
      </c>
    </row>
    <row r="1307" spans="1:8" x14ac:dyDescent="0.3">
      <c r="A1307" s="88" t="s">
        <v>592</v>
      </c>
      <c r="B1307" s="88">
        <v>86</v>
      </c>
      <c r="C1307" s="88">
        <v>46</v>
      </c>
      <c r="D1307" s="88" t="s">
        <v>452</v>
      </c>
      <c r="E1307" s="88"/>
      <c r="F1307" s="88" t="s">
        <v>453</v>
      </c>
      <c r="G1307" s="88" t="s">
        <v>1502</v>
      </c>
      <c r="H1307" s="88" t="s">
        <v>596</v>
      </c>
    </row>
    <row r="1308" spans="1:8" x14ac:dyDescent="0.3">
      <c r="A1308" s="88" t="s">
        <v>592</v>
      </c>
      <c r="B1308" s="88">
        <v>87</v>
      </c>
      <c r="C1308" s="88">
        <v>46</v>
      </c>
      <c r="D1308" s="88" t="s">
        <v>174</v>
      </c>
      <c r="E1308" s="88"/>
      <c r="F1308" s="88" t="s">
        <v>454</v>
      </c>
      <c r="G1308" s="88" t="s">
        <v>1502</v>
      </c>
      <c r="H1308" s="88" t="s">
        <v>596</v>
      </c>
    </row>
    <row r="1309" spans="1:8" x14ac:dyDescent="0.3">
      <c r="A1309" s="88" t="s">
        <v>592</v>
      </c>
      <c r="B1309" s="88">
        <v>88</v>
      </c>
      <c r="C1309" s="88">
        <v>46</v>
      </c>
      <c r="D1309" s="88" t="s">
        <v>455</v>
      </c>
      <c r="E1309" s="88"/>
      <c r="F1309" s="88"/>
      <c r="G1309" s="88" t="s">
        <v>1502</v>
      </c>
      <c r="H1309" s="88" t="s">
        <v>596</v>
      </c>
    </row>
    <row r="1310" spans="1:8" x14ac:dyDescent="0.3">
      <c r="A1310" s="88" t="s">
        <v>592</v>
      </c>
      <c r="B1310" s="88">
        <v>89</v>
      </c>
      <c r="C1310" s="88">
        <v>46</v>
      </c>
      <c r="D1310" s="88" t="s">
        <v>176</v>
      </c>
      <c r="E1310" s="88"/>
      <c r="F1310" s="88" t="s">
        <v>456</v>
      </c>
      <c r="G1310" s="88" t="s">
        <v>1502</v>
      </c>
      <c r="H1310" s="88" t="s">
        <v>596</v>
      </c>
    </row>
    <row r="1311" spans="1:8" x14ac:dyDescent="0.3">
      <c r="A1311" s="88" t="s">
        <v>592</v>
      </c>
      <c r="B1311" s="88">
        <v>90</v>
      </c>
      <c r="C1311" s="88">
        <v>46</v>
      </c>
      <c r="D1311" s="88" t="s">
        <v>457</v>
      </c>
      <c r="E1311" s="88"/>
      <c r="F1311" s="88" t="s">
        <v>458</v>
      </c>
      <c r="G1311" s="88" t="s">
        <v>1502</v>
      </c>
      <c r="H1311" s="88" t="s">
        <v>596</v>
      </c>
    </row>
    <row r="1312" spans="1:8" x14ac:dyDescent="0.3">
      <c r="A1312" s="88" t="s">
        <v>592</v>
      </c>
      <c r="B1312" s="88">
        <v>91</v>
      </c>
      <c r="C1312" s="88">
        <v>46</v>
      </c>
      <c r="D1312" s="88" t="s">
        <v>178</v>
      </c>
      <c r="E1312" s="88"/>
      <c r="F1312" s="88" t="s">
        <v>459</v>
      </c>
      <c r="G1312" s="88" t="s">
        <v>1502</v>
      </c>
      <c r="H1312" s="88" t="s">
        <v>596</v>
      </c>
    </row>
    <row r="1313" spans="1:8" x14ac:dyDescent="0.3">
      <c r="A1313" s="88" t="s">
        <v>592</v>
      </c>
      <c r="B1313" s="88">
        <v>92</v>
      </c>
      <c r="C1313" s="88">
        <v>46</v>
      </c>
      <c r="D1313" s="88" t="s">
        <v>179</v>
      </c>
      <c r="E1313" s="88"/>
      <c r="F1313" s="88" t="s">
        <v>460</v>
      </c>
      <c r="G1313" s="88" t="s">
        <v>1502</v>
      </c>
      <c r="H1313" s="88" t="s">
        <v>596</v>
      </c>
    </row>
    <row r="1314" spans="1:8" x14ac:dyDescent="0.3">
      <c r="A1314" s="88" t="s">
        <v>592</v>
      </c>
      <c r="B1314" s="88">
        <v>93</v>
      </c>
      <c r="C1314" s="88">
        <v>46</v>
      </c>
      <c r="D1314" s="88" t="s">
        <v>180</v>
      </c>
      <c r="E1314" s="88"/>
      <c r="F1314" s="88" t="s">
        <v>461</v>
      </c>
      <c r="G1314" s="88" t="s">
        <v>1502</v>
      </c>
      <c r="H1314" s="88" t="s">
        <v>596</v>
      </c>
    </row>
    <row r="1315" spans="1:8" x14ac:dyDescent="0.3">
      <c r="A1315" s="88" t="s">
        <v>592</v>
      </c>
      <c r="B1315" s="88">
        <v>94</v>
      </c>
      <c r="C1315" s="88">
        <v>46</v>
      </c>
      <c r="D1315" s="88" t="s">
        <v>181</v>
      </c>
      <c r="E1315" s="88"/>
      <c r="F1315" s="88" t="s">
        <v>462</v>
      </c>
      <c r="G1315" s="88" t="s">
        <v>1502</v>
      </c>
      <c r="H1315" s="88" t="s">
        <v>596</v>
      </c>
    </row>
    <row r="1316" spans="1:8" x14ac:dyDescent="0.3">
      <c r="A1316" s="88" t="s">
        <v>592</v>
      </c>
      <c r="B1316" s="88">
        <v>95</v>
      </c>
      <c r="C1316" s="88">
        <v>46</v>
      </c>
      <c r="D1316" s="88" t="s">
        <v>182</v>
      </c>
      <c r="E1316" s="88"/>
      <c r="F1316" s="88" t="s">
        <v>463</v>
      </c>
      <c r="G1316" s="88" t="s">
        <v>1502</v>
      </c>
      <c r="H1316" s="88" t="s">
        <v>596</v>
      </c>
    </row>
    <row r="1317" spans="1:8" x14ac:dyDescent="0.3">
      <c r="A1317" s="88" t="s">
        <v>592</v>
      </c>
      <c r="B1317" s="88">
        <v>96</v>
      </c>
      <c r="C1317" s="88">
        <v>46</v>
      </c>
      <c r="D1317" s="88" t="s">
        <v>183</v>
      </c>
      <c r="E1317" s="88"/>
      <c r="F1317" s="88" t="s">
        <v>464</v>
      </c>
      <c r="G1317" s="88" t="s">
        <v>1502</v>
      </c>
      <c r="H1317" s="88" t="s">
        <v>596</v>
      </c>
    </row>
    <row r="1318" spans="1:8" x14ac:dyDescent="0.3">
      <c r="A1318" s="88" t="s">
        <v>592</v>
      </c>
      <c r="B1318" s="88">
        <v>97</v>
      </c>
      <c r="C1318" s="88">
        <v>46</v>
      </c>
      <c r="D1318" s="88" t="s">
        <v>184</v>
      </c>
      <c r="E1318" s="88"/>
      <c r="F1318" s="88" t="s">
        <v>465</v>
      </c>
      <c r="G1318" s="88" t="s">
        <v>1502</v>
      </c>
      <c r="H1318" s="88" t="s">
        <v>596</v>
      </c>
    </row>
    <row r="1319" spans="1:8" x14ac:dyDescent="0.3">
      <c r="A1319" s="88" t="s">
        <v>592</v>
      </c>
      <c r="B1319" s="88">
        <v>98</v>
      </c>
      <c r="C1319" s="88">
        <v>46</v>
      </c>
      <c r="D1319" s="88" t="s">
        <v>185</v>
      </c>
      <c r="E1319" s="88"/>
      <c r="F1319" s="88" t="s">
        <v>466</v>
      </c>
      <c r="G1319" s="88" t="s">
        <v>1502</v>
      </c>
      <c r="H1319" s="88" t="s">
        <v>596</v>
      </c>
    </row>
    <row r="1320" spans="1:8" x14ac:dyDescent="0.3">
      <c r="A1320" s="88" t="s">
        <v>592</v>
      </c>
      <c r="B1320" s="88">
        <v>99</v>
      </c>
      <c r="C1320" s="88">
        <v>46</v>
      </c>
      <c r="D1320" s="88" t="s">
        <v>186</v>
      </c>
      <c r="E1320" s="88"/>
      <c r="F1320" s="88" t="s">
        <v>467</v>
      </c>
      <c r="G1320" s="88" t="s">
        <v>1502</v>
      </c>
      <c r="H1320" s="88" t="s">
        <v>596</v>
      </c>
    </row>
    <row r="1321" spans="1:8" x14ac:dyDescent="0.3">
      <c r="A1321" s="88" t="s">
        <v>592</v>
      </c>
      <c r="B1321" s="88">
        <v>100</v>
      </c>
      <c r="C1321" s="88">
        <v>46</v>
      </c>
      <c r="D1321" s="88" t="s">
        <v>187</v>
      </c>
      <c r="E1321" s="88"/>
      <c r="F1321" s="88" t="s">
        <v>468</v>
      </c>
      <c r="G1321" s="88" t="s">
        <v>1502</v>
      </c>
      <c r="H1321" s="88" t="s">
        <v>596</v>
      </c>
    </row>
    <row r="1322" spans="1:8" x14ac:dyDescent="0.3">
      <c r="A1322" s="88" t="s">
        <v>592</v>
      </c>
      <c r="B1322" s="88">
        <v>101</v>
      </c>
      <c r="C1322" s="88">
        <v>46</v>
      </c>
      <c r="D1322" s="88" t="s">
        <v>469</v>
      </c>
      <c r="E1322" s="88"/>
      <c r="F1322" s="88" t="s">
        <v>470</v>
      </c>
      <c r="G1322" s="88" t="s">
        <v>1502</v>
      </c>
      <c r="H1322" s="88" t="s">
        <v>596</v>
      </c>
    </row>
    <row r="1323" spans="1:8" x14ac:dyDescent="0.3">
      <c r="A1323" s="88" t="s">
        <v>592</v>
      </c>
      <c r="B1323" s="88">
        <v>102</v>
      </c>
      <c r="C1323" s="88">
        <v>46</v>
      </c>
      <c r="D1323" s="88" t="s">
        <v>189</v>
      </c>
      <c r="E1323" s="88"/>
      <c r="F1323" s="88" t="s">
        <v>471</v>
      </c>
      <c r="G1323" s="88" t="s">
        <v>1502</v>
      </c>
      <c r="H1323" s="88" t="s">
        <v>596</v>
      </c>
    </row>
    <row r="1324" spans="1:8" x14ac:dyDescent="0.3">
      <c r="A1324" s="88" t="s">
        <v>592</v>
      </c>
      <c r="B1324" s="88">
        <v>103</v>
      </c>
      <c r="C1324" s="88">
        <v>46</v>
      </c>
      <c r="D1324" s="88" t="s">
        <v>190</v>
      </c>
      <c r="E1324" s="88"/>
      <c r="F1324" s="88" t="s">
        <v>472</v>
      </c>
      <c r="G1324" s="88" t="s">
        <v>1502</v>
      </c>
      <c r="H1324" s="88" t="s">
        <v>596</v>
      </c>
    </row>
    <row r="1325" spans="1:8" x14ac:dyDescent="0.3">
      <c r="A1325" s="88" t="s">
        <v>592</v>
      </c>
      <c r="B1325" s="88">
        <v>104</v>
      </c>
      <c r="C1325" s="88">
        <v>46</v>
      </c>
      <c r="D1325" s="88" t="s">
        <v>191</v>
      </c>
      <c r="E1325" s="88"/>
      <c r="F1325" s="88" t="s">
        <v>473</v>
      </c>
      <c r="G1325" s="88" t="s">
        <v>1502</v>
      </c>
      <c r="H1325" s="88" t="s">
        <v>596</v>
      </c>
    </row>
    <row r="1326" spans="1:8" x14ac:dyDescent="0.3">
      <c r="A1326" s="88" t="s">
        <v>592</v>
      </c>
      <c r="B1326" s="88">
        <v>105</v>
      </c>
      <c r="C1326" s="88">
        <v>46</v>
      </c>
      <c r="D1326" s="88" t="s">
        <v>474</v>
      </c>
      <c r="E1326" s="88"/>
      <c r="F1326" s="88" t="s">
        <v>475</v>
      </c>
      <c r="G1326" s="88" t="s">
        <v>1502</v>
      </c>
      <c r="H1326" s="88" t="s">
        <v>596</v>
      </c>
    </row>
    <row r="1327" spans="1:8" x14ac:dyDescent="0.3">
      <c r="A1327" s="88" t="s">
        <v>592</v>
      </c>
      <c r="B1327" s="88">
        <v>106</v>
      </c>
      <c r="C1327" s="88">
        <v>46</v>
      </c>
      <c r="D1327" s="88" t="s">
        <v>193</v>
      </c>
      <c r="E1327" s="88"/>
      <c r="F1327" s="88" t="s">
        <v>476</v>
      </c>
      <c r="G1327" s="88" t="s">
        <v>1502</v>
      </c>
      <c r="H1327" s="88" t="s">
        <v>596</v>
      </c>
    </row>
    <row r="1328" spans="1:8" x14ac:dyDescent="0.3">
      <c r="A1328" s="88" t="s">
        <v>592</v>
      </c>
      <c r="B1328" s="88">
        <v>107</v>
      </c>
      <c r="C1328" s="88">
        <v>46</v>
      </c>
      <c r="D1328" s="88" t="s">
        <v>194</v>
      </c>
      <c r="E1328" s="88"/>
      <c r="F1328" s="88" t="s">
        <v>477</v>
      </c>
      <c r="G1328" s="88" t="s">
        <v>1502</v>
      </c>
      <c r="H1328" s="88" t="s">
        <v>596</v>
      </c>
    </row>
    <row r="1329" spans="1:8" x14ac:dyDescent="0.3">
      <c r="A1329" s="88" t="s">
        <v>592</v>
      </c>
      <c r="B1329" s="88">
        <v>108</v>
      </c>
      <c r="C1329" s="88">
        <v>46</v>
      </c>
      <c r="D1329" s="88" t="s">
        <v>478</v>
      </c>
      <c r="E1329" s="88"/>
      <c r="F1329" s="88" t="s">
        <v>479</v>
      </c>
      <c r="G1329" s="88" t="s">
        <v>1502</v>
      </c>
      <c r="H1329" s="88" t="s">
        <v>596</v>
      </c>
    </row>
    <row r="1330" spans="1:8" x14ac:dyDescent="0.3">
      <c r="A1330" s="88" t="s">
        <v>592</v>
      </c>
      <c r="B1330" s="88">
        <v>109</v>
      </c>
      <c r="C1330" s="88">
        <v>46</v>
      </c>
      <c r="D1330" s="88" t="s">
        <v>480</v>
      </c>
      <c r="E1330" s="88"/>
      <c r="F1330" s="88" t="s">
        <v>481</v>
      </c>
      <c r="G1330" s="88" t="s">
        <v>1502</v>
      </c>
      <c r="H1330" s="88" t="s">
        <v>596</v>
      </c>
    </row>
    <row r="1331" spans="1:8" x14ac:dyDescent="0.3">
      <c r="A1331" s="88" t="s">
        <v>592</v>
      </c>
      <c r="B1331" s="88">
        <v>110</v>
      </c>
      <c r="C1331" s="88">
        <v>46</v>
      </c>
      <c r="D1331" s="88" t="s">
        <v>197</v>
      </c>
      <c r="E1331" s="88"/>
      <c r="F1331" s="88" t="s">
        <v>482</v>
      </c>
      <c r="G1331" s="88" t="s">
        <v>1502</v>
      </c>
      <c r="H1331" s="88" t="s">
        <v>596</v>
      </c>
    </row>
    <row r="1332" spans="1:8" x14ac:dyDescent="0.3">
      <c r="A1332" s="88" t="s">
        <v>592</v>
      </c>
      <c r="B1332" s="88">
        <v>111</v>
      </c>
      <c r="C1332" s="88">
        <v>46</v>
      </c>
      <c r="D1332" s="88" t="s">
        <v>198</v>
      </c>
      <c r="E1332" s="88"/>
      <c r="F1332" s="88" t="s">
        <v>483</v>
      </c>
      <c r="G1332" s="88" t="s">
        <v>1502</v>
      </c>
      <c r="H1332" s="88" t="s">
        <v>596</v>
      </c>
    </row>
    <row r="1333" spans="1:8" x14ac:dyDescent="0.3">
      <c r="A1333" s="88" t="s">
        <v>592</v>
      </c>
      <c r="B1333" s="88">
        <v>112</v>
      </c>
      <c r="C1333" s="88">
        <v>46</v>
      </c>
      <c r="D1333" s="88" t="s">
        <v>199</v>
      </c>
      <c r="E1333" s="88"/>
      <c r="F1333" s="88" t="s">
        <v>484</v>
      </c>
      <c r="G1333" s="88" t="s">
        <v>1502</v>
      </c>
      <c r="H1333" s="88" t="s">
        <v>596</v>
      </c>
    </row>
    <row r="1334" spans="1:8" x14ac:dyDescent="0.3">
      <c r="A1334" s="88" t="s">
        <v>592</v>
      </c>
      <c r="B1334" s="88">
        <v>113</v>
      </c>
      <c r="C1334" s="88">
        <v>46</v>
      </c>
      <c r="D1334" s="88" t="s">
        <v>485</v>
      </c>
      <c r="E1334" s="88"/>
      <c r="F1334" s="88" t="s">
        <v>486</v>
      </c>
      <c r="G1334" s="88" t="s">
        <v>1502</v>
      </c>
      <c r="H1334" s="88" t="s">
        <v>596</v>
      </c>
    </row>
    <row r="1335" spans="1:8" x14ac:dyDescent="0.3">
      <c r="A1335" s="88" t="s">
        <v>592</v>
      </c>
      <c r="B1335" s="88">
        <v>114</v>
      </c>
      <c r="C1335" s="88">
        <v>46</v>
      </c>
      <c r="D1335" s="88" t="s">
        <v>487</v>
      </c>
      <c r="E1335" s="88"/>
      <c r="F1335" s="88" t="s">
        <v>488</v>
      </c>
      <c r="G1335" s="88" t="s">
        <v>1502</v>
      </c>
      <c r="H1335" s="88" t="s">
        <v>596</v>
      </c>
    </row>
    <row r="1336" spans="1:8" x14ac:dyDescent="0.3">
      <c r="A1336" s="88" t="s">
        <v>592</v>
      </c>
      <c r="B1336" s="88">
        <v>115</v>
      </c>
      <c r="C1336" s="88">
        <v>46</v>
      </c>
      <c r="D1336" s="88" t="s">
        <v>489</v>
      </c>
      <c r="E1336" s="88"/>
      <c r="F1336" s="88" t="s">
        <v>490</v>
      </c>
      <c r="G1336" s="88" t="s">
        <v>1502</v>
      </c>
      <c r="H1336" s="88" t="s">
        <v>596</v>
      </c>
    </row>
    <row r="1337" spans="1:8" x14ac:dyDescent="0.3">
      <c r="A1337" s="88" t="s">
        <v>592</v>
      </c>
      <c r="B1337" s="88">
        <v>116</v>
      </c>
      <c r="C1337" s="88">
        <v>46</v>
      </c>
      <c r="D1337" s="88" t="s">
        <v>491</v>
      </c>
      <c r="E1337" s="88"/>
      <c r="F1337" s="88" t="s">
        <v>492</v>
      </c>
      <c r="G1337" s="88" t="s">
        <v>1502</v>
      </c>
      <c r="H1337" s="88" t="s">
        <v>596</v>
      </c>
    </row>
    <row r="1338" spans="1:8" x14ac:dyDescent="0.3">
      <c r="A1338" s="88" t="s">
        <v>592</v>
      </c>
      <c r="B1338" s="88">
        <v>117</v>
      </c>
      <c r="C1338" s="88">
        <v>46</v>
      </c>
      <c r="D1338" s="88" t="s">
        <v>204</v>
      </c>
      <c r="E1338" s="88"/>
      <c r="F1338" s="88" t="s">
        <v>493</v>
      </c>
      <c r="G1338" s="88" t="s">
        <v>1502</v>
      </c>
      <c r="H1338" s="88" t="s">
        <v>596</v>
      </c>
    </row>
    <row r="1339" spans="1:8" x14ac:dyDescent="0.3">
      <c r="A1339" s="88" t="s">
        <v>592</v>
      </c>
      <c r="B1339" s="88">
        <v>118</v>
      </c>
      <c r="C1339" s="88">
        <v>46</v>
      </c>
      <c r="D1339" s="88" t="s">
        <v>205</v>
      </c>
      <c r="E1339" s="88"/>
      <c r="F1339" s="88" t="s">
        <v>494</v>
      </c>
      <c r="G1339" s="88" t="s">
        <v>1502</v>
      </c>
      <c r="H1339" s="88" t="s">
        <v>596</v>
      </c>
    </row>
    <row r="1340" spans="1:8" x14ac:dyDescent="0.3">
      <c r="A1340" s="88" t="s">
        <v>592</v>
      </c>
      <c r="B1340" s="88">
        <v>119</v>
      </c>
      <c r="C1340" s="88">
        <v>46</v>
      </c>
      <c r="D1340" s="88" t="s">
        <v>495</v>
      </c>
      <c r="E1340" s="88"/>
      <c r="F1340" s="88" t="s">
        <v>496</v>
      </c>
      <c r="G1340" s="88" t="s">
        <v>1502</v>
      </c>
      <c r="H1340" s="88" t="s">
        <v>596</v>
      </c>
    </row>
    <row r="1341" spans="1:8" x14ac:dyDescent="0.3">
      <c r="A1341" s="88" t="s">
        <v>592</v>
      </c>
      <c r="B1341" s="88">
        <v>120</v>
      </c>
      <c r="C1341" s="88">
        <v>46</v>
      </c>
      <c r="D1341" s="88" t="s">
        <v>207</v>
      </c>
      <c r="E1341" s="88"/>
      <c r="F1341" s="88" t="s">
        <v>497</v>
      </c>
      <c r="G1341" s="88" t="s">
        <v>1502</v>
      </c>
      <c r="H1341" s="88" t="s">
        <v>596</v>
      </c>
    </row>
    <row r="1342" spans="1:8" x14ac:dyDescent="0.3">
      <c r="A1342" s="88" t="s">
        <v>592</v>
      </c>
      <c r="B1342" s="88">
        <v>121</v>
      </c>
      <c r="C1342" s="88">
        <v>46</v>
      </c>
      <c r="D1342" s="88" t="s">
        <v>208</v>
      </c>
      <c r="E1342" s="88"/>
      <c r="F1342" s="88" t="s">
        <v>498</v>
      </c>
      <c r="G1342" s="88" t="s">
        <v>1502</v>
      </c>
      <c r="H1342" s="88" t="s">
        <v>596</v>
      </c>
    </row>
    <row r="1343" spans="1:8" x14ac:dyDescent="0.3">
      <c r="A1343" s="88" t="s">
        <v>592</v>
      </c>
      <c r="B1343" s="88">
        <v>122</v>
      </c>
      <c r="C1343" s="88">
        <v>46</v>
      </c>
      <c r="D1343" s="88" t="s">
        <v>209</v>
      </c>
      <c r="E1343" s="88"/>
      <c r="F1343" s="88" t="s">
        <v>499</v>
      </c>
      <c r="G1343" s="88" t="s">
        <v>1502</v>
      </c>
      <c r="H1343" s="88" t="s">
        <v>596</v>
      </c>
    </row>
    <row r="1344" spans="1:8" x14ac:dyDescent="0.3">
      <c r="A1344" s="88" t="s">
        <v>592</v>
      </c>
      <c r="B1344" s="88">
        <v>123</v>
      </c>
      <c r="C1344" s="88">
        <v>46</v>
      </c>
      <c r="D1344" s="88" t="s">
        <v>210</v>
      </c>
      <c r="E1344" s="88"/>
      <c r="F1344" s="88" t="s">
        <v>500</v>
      </c>
      <c r="G1344" s="88" t="s">
        <v>1502</v>
      </c>
      <c r="H1344" s="88" t="s">
        <v>596</v>
      </c>
    </row>
    <row r="1345" spans="1:8" x14ac:dyDescent="0.3">
      <c r="A1345" s="88" t="s">
        <v>592</v>
      </c>
      <c r="B1345" s="88">
        <v>124</v>
      </c>
      <c r="C1345" s="88">
        <v>46</v>
      </c>
      <c r="D1345" s="88" t="s">
        <v>211</v>
      </c>
      <c r="E1345" s="88"/>
      <c r="F1345" s="88" t="s">
        <v>501</v>
      </c>
      <c r="G1345" s="88" t="s">
        <v>1502</v>
      </c>
      <c r="H1345" s="88" t="s">
        <v>596</v>
      </c>
    </row>
    <row r="1346" spans="1:8" x14ac:dyDescent="0.3">
      <c r="A1346" s="88" t="s">
        <v>592</v>
      </c>
      <c r="B1346" s="88">
        <v>125</v>
      </c>
      <c r="C1346" s="88">
        <v>46</v>
      </c>
      <c r="D1346" s="88" t="s">
        <v>212</v>
      </c>
      <c r="E1346" s="88"/>
      <c r="F1346" s="88" t="s">
        <v>502</v>
      </c>
      <c r="G1346" s="88" t="s">
        <v>1502</v>
      </c>
      <c r="H1346" s="88" t="s">
        <v>596</v>
      </c>
    </row>
    <row r="1347" spans="1:8" x14ac:dyDescent="0.3">
      <c r="A1347" s="88" t="s">
        <v>592</v>
      </c>
      <c r="B1347" s="88">
        <v>126</v>
      </c>
      <c r="C1347" s="88">
        <v>46</v>
      </c>
      <c r="D1347" s="88" t="s">
        <v>213</v>
      </c>
      <c r="E1347" s="88"/>
      <c r="F1347" s="88" t="s">
        <v>503</v>
      </c>
      <c r="G1347" s="88" t="s">
        <v>1502</v>
      </c>
      <c r="H1347" s="88" t="s">
        <v>596</v>
      </c>
    </row>
    <row r="1348" spans="1:8" x14ac:dyDescent="0.3">
      <c r="A1348" s="88" t="s">
        <v>592</v>
      </c>
      <c r="B1348" s="88">
        <v>127</v>
      </c>
      <c r="C1348" s="88">
        <v>46</v>
      </c>
      <c r="D1348" s="88" t="s">
        <v>504</v>
      </c>
      <c r="E1348" s="88"/>
      <c r="F1348" s="88" t="s">
        <v>505</v>
      </c>
      <c r="G1348" s="88" t="s">
        <v>1502</v>
      </c>
      <c r="H1348" s="88" t="s">
        <v>596</v>
      </c>
    </row>
    <row r="1349" spans="1:8" x14ac:dyDescent="0.3">
      <c r="A1349" s="88" t="s">
        <v>592</v>
      </c>
      <c r="B1349" s="88">
        <v>128</v>
      </c>
      <c r="C1349" s="88">
        <v>46</v>
      </c>
      <c r="D1349" s="88" t="s">
        <v>215</v>
      </c>
      <c r="E1349" s="88"/>
      <c r="F1349" s="88" t="s">
        <v>506</v>
      </c>
      <c r="G1349" s="88" t="s">
        <v>1502</v>
      </c>
      <c r="H1349" s="88" t="s">
        <v>596</v>
      </c>
    </row>
    <row r="1350" spans="1:8" x14ac:dyDescent="0.3">
      <c r="A1350" s="88" t="s">
        <v>592</v>
      </c>
      <c r="B1350" s="88">
        <v>129</v>
      </c>
      <c r="C1350" s="88">
        <v>46</v>
      </c>
      <c r="D1350" s="88" t="s">
        <v>216</v>
      </c>
      <c r="E1350" s="88"/>
      <c r="F1350" s="88" t="s">
        <v>507</v>
      </c>
      <c r="G1350" s="88" t="s">
        <v>1502</v>
      </c>
      <c r="H1350" s="88" t="s">
        <v>596</v>
      </c>
    </row>
    <row r="1351" spans="1:8" x14ac:dyDescent="0.3">
      <c r="A1351" s="88" t="s">
        <v>592</v>
      </c>
      <c r="B1351" s="88">
        <v>130</v>
      </c>
      <c r="C1351" s="88">
        <v>46</v>
      </c>
      <c r="D1351" s="88" t="s">
        <v>217</v>
      </c>
      <c r="E1351" s="88"/>
      <c r="F1351" s="88" t="s">
        <v>508</v>
      </c>
      <c r="G1351" s="88" t="s">
        <v>1502</v>
      </c>
      <c r="H1351" s="88" t="s">
        <v>596</v>
      </c>
    </row>
    <row r="1352" spans="1:8" x14ac:dyDescent="0.3">
      <c r="A1352" s="88" t="s">
        <v>592</v>
      </c>
      <c r="B1352" s="88">
        <v>131</v>
      </c>
      <c r="C1352" s="88">
        <v>46</v>
      </c>
      <c r="D1352" s="88" t="s">
        <v>509</v>
      </c>
      <c r="E1352" s="88"/>
      <c r="F1352" s="88" t="s">
        <v>510</v>
      </c>
      <c r="G1352" s="88" t="s">
        <v>1502</v>
      </c>
      <c r="H1352" s="88" t="s">
        <v>596</v>
      </c>
    </row>
    <row r="1353" spans="1:8" x14ac:dyDescent="0.3">
      <c r="A1353" s="88" t="s">
        <v>592</v>
      </c>
      <c r="B1353" s="88">
        <v>132</v>
      </c>
      <c r="C1353" s="88">
        <v>46</v>
      </c>
      <c r="D1353" s="88" t="s">
        <v>219</v>
      </c>
      <c r="E1353" s="88"/>
      <c r="F1353" s="88" t="s">
        <v>511</v>
      </c>
      <c r="G1353" s="88" t="s">
        <v>1502</v>
      </c>
      <c r="H1353" s="88" t="s">
        <v>596</v>
      </c>
    </row>
    <row r="1354" spans="1:8" x14ac:dyDescent="0.3">
      <c r="A1354" s="88" t="s">
        <v>592</v>
      </c>
      <c r="B1354" s="88">
        <v>133</v>
      </c>
      <c r="C1354" s="88">
        <v>46</v>
      </c>
      <c r="D1354" s="88" t="s">
        <v>512</v>
      </c>
      <c r="E1354" s="88"/>
      <c r="F1354" s="88" t="s">
        <v>513</v>
      </c>
      <c r="G1354" s="88" t="s">
        <v>1502</v>
      </c>
      <c r="H1354" s="88" t="s">
        <v>596</v>
      </c>
    </row>
    <row r="1355" spans="1:8" x14ac:dyDescent="0.3">
      <c r="A1355" s="88" t="s">
        <v>592</v>
      </c>
      <c r="B1355" s="88">
        <v>134</v>
      </c>
      <c r="C1355" s="88">
        <v>46</v>
      </c>
      <c r="D1355" s="88" t="s">
        <v>221</v>
      </c>
      <c r="E1355" s="88"/>
      <c r="F1355" s="88" t="s">
        <v>514</v>
      </c>
      <c r="G1355" s="88" t="s">
        <v>1502</v>
      </c>
      <c r="H1355" s="88" t="s">
        <v>596</v>
      </c>
    </row>
    <row r="1356" spans="1:8" x14ac:dyDescent="0.3">
      <c r="A1356" s="88" t="s">
        <v>592</v>
      </c>
      <c r="B1356" s="88">
        <v>135</v>
      </c>
      <c r="C1356" s="88">
        <v>46</v>
      </c>
      <c r="D1356" s="88" t="s">
        <v>222</v>
      </c>
      <c r="E1356" s="88"/>
      <c r="F1356" s="88" t="s">
        <v>515</v>
      </c>
      <c r="G1356" s="88" t="s">
        <v>1502</v>
      </c>
      <c r="H1356" s="88" t="s">
        <v>596</v>
      </c>
    </row>
    <row r="1357" spans="1:8" x14ac:dyDescent="0.3">
      <c r="A1357" s="88" t="s">
        <v>592</v>
      </c>
      <c r="B1357" s="88">
        <v>136</v>
      </c>
      <c r="C1357" s="88">
        <v>46</v>
      </c>
      <c r="D1357" s="88" t="s">
        <v>223</v>
      </c>
      <c r="E1357" s="88"/>
      <c r="F1357" s="88" t="s">
        <v>516</v>
      </c>
      <c r="G1357" s="88" t="s">
        <v>1502</v>
      </c>
      <c r="H1357" s="88" t="s">
        <v>596</v>
      </c>
    </row>
    <row r="1358" spans="1:8" x14ac:dyDescent="0.3">
      <c r="A1358" s="88" t="s">
        <v>592</v>
      </c>
      <c r="B1358" s="88">
        <v>137</v>
      </c>
      <c r="C1358" s="88">
        <v>46</v>
      </c>
      <c r="D1358" s="88" t="s">
        <v>224</v>
      </c>
      <c r="E1358" s="88"/>
      <c r="F1358" s="88" t="s">
        <v>517</v>
      </c>
      <c r="G1358" s="88" t="s">
        <v>1502</v>
      </c>
      <c r="H1358" s="88" t="s">
        <v>596</v>
      </c>
    </row>
    <row r="1359" spans="1:8" x14ac:dyDescent="0.3">
      <c r="A1359" s="88" t="s">
        <v>592</v>
      </c>
      <c r="B1359" s="88">
        <v>138</v>
      </c>
      <c r="C1359" s="88">
        <v>46</v>
      </c>
      <c r="D1359" s="88" t="s">
        <v>225</v>
      </c>
      <c r="E1359" s="88"/>
      <c r="F1359" s="88" t="s">
        <v>518</v>
      </c>
      <c r="G1359" s="88" t="s">
        <v>1502</v>
      </c>
      <c r="H1359" s="88" t="s">
        <v>596</v>
      </c>
    </row>
    <row r="1360" spans="1:8" x14ac:dyDescent="0.3">
      <c r="A1360" s="88" t="s">
        <v>592</v>
      </c>
      <c r="B1360" s="88">
        <v>139</v>
      </c>
      <c r="C1360" s="88">
        <v>46</v>
      </c>
      <c r="D1360" s="88" t="s">
        <v>226</v>
      </c>
      <c r="E1360" s="88"/>
      <c r="F1360" s="88" t="s">
        <v>519</v>
      </c>
      <c r="G1360" s="88" t="s">
        <v>1502</v>
      </c>
      <c r="H1360" s="88" t="s">
        <v>596</v>
      </c>
    </row>
    <row r="1361" spans="1:8" x14ac:dyDescent="0.3">
      <c r="A1361" s="88" t="s">
        <v>592</v>
      </c>
      <c r="B1361" s="88">
        <v>140</v>
      </c>
      <c r="C1361" s="88">
        <v>46</v>
      </c>
      <c r="D1361" s="88" t="s">
        <v>227</v>
      </c>
      <c r="E1361" s="88"/>
      <c r="F1361" s="88" t="s">
        <v>520</v>
      </c>
      <c r="G1361" s="88" t="s">
        <v>1502</v>
      </c>
      <c r="H1361" s="88" t="s">
        <v>596</v>
      </c>
    </row>
    <row r="1362" spans="1:8" x14ac:dyDescent="0.3">
      <c r="A1362" s="88" t="s">
        <v>592</v>
      </c>
      <c r="B1362" s="88">
        <v>141</v>
      </c>
      <c r="C1362" s="88">
        <v>46</v>
      </c>
      <c r="D1362" s="88" t="s">
        <v>228</v>
      </c>
      <c r="E1362" s="88"/>
      <c r="F1362" s="88" t="s">
        <v>521</v>
      </c>
      <c r="G1362" s="88" t="s">
        <v>1502</v>
      </c>
      <c r="H1362" s="88" t="s">
        <v>596</v>
      </c>
    </row>
    <row r="1363" spans="1:8" x14ac:dyDescent="0.3">
      <c r="A1363" s="88" t="s">
        <v>592</v>
      </c>
      <c r="B1363" s="88">
        <v>142</v>
      </c>
      <c r="C1363" s="88">
        <v>46</v>
      </c>
      <c r="D1363" s="88" t="s">
        <v>229</v>
      </c>
      <c r="E1363" s="88"/>
      <c r="F1363" s="88" t="s">
        <v>522</v>
      </c>
      <c r="G1363" s="88" t="s">
        <v>1502</v>
      </c>
      <c r="H1363" s="88" t="s">
        <v>596</v>
      </c>
    </row>
    <row r="1364" spans="1:8" x14ac:dyDescent="0.3">
      <c r="A1364" s="88" t="s">
        <v>592</v>
      </c>
      <c r="B1364" s="88">
        <v>143</v>
      </c>
      <c r="C1364" s="88">
        <v>46</v>
      </c>
      <c r="D1364" s="88" t="s">
        <v>230</v>
      </c>
      <c r="E1364" s="88"/>
      <c r="F1364" s="88" t="s">
        <v>523</v>
      </c>
      <c r="G1364" s="88" t="s">
        <v>1502</v>
      </c>
      <c r="H1364" s="88" t="s">
        <v>596</v>
      </c>
    </row>
    <row r="1365" spans="1:8" x14ac:dyDescent="0.3">
      <c r="A1365" s="88" t="s">
        <v>592</v>
      </c>
      <c r="B1365" s="88">
        <v>144</v>
      </c>
      <c r="C1365" s="88">
        <v>46</v>
      </c>
      <c r="D1365" s="88" t="s">
        <v>231</v>
      </c>
      <c r="E1365" s="88"/>
      <c r="F1365" s="88" t="s">
        <v>524</v>
      </c>
      <c r="G1365" s="88" t="s">
        <v>1502</v>
      </c>
      <c r="H1365" s="88" t="s">
        <v>596</v>
      </c>
    </row>
    <row r="1366" spans="1:8" x14ac:dyDescent="0.3">
      <c r="A1366" s="88" t="s">
        <v>592</v>
      </c>
      <c r="B1366" s="88">
        <v>145</v>
      </c>
      <c r="C1366" s="88">
        <v>46</v>
      </c>
      <c r="D1366" s="88" t="s">
        <v>232</v>
      </c>
      <c r="E1366" s="88"/>
      <c r="F1366" s="88" t="s">
        <v>525</v>
      </c>
      <c r="G1366" s="88" t="s">
        <v>1502</v>
      </c>
      <c r="H1366" s="88" t="s">
        <v>596</v>
      </c>
    </row>
    <row r="1367" spans="1:8" x14ac:dyDescent="0.3">
      <c r="A1367" s="88" t="s">
        <v>592</v>
      </c>
      <c r="B1367" s="88">
        <v>146</v>
      </c>
      <c r="C1367" s="88">
        <v>46</v>
      </c>
      <c r="D1367" s="88" t="s">
        <v>233</v>
      </c>
      <c r="E1367" s="88"/>
      <c r="F1367" s="88" t="s">
        <v>526</v>
      </c>
      <c r="G1367" s="88" t="s">
        <v>1502</v>
      </c>
      <c r="H1367" s="88" t="s">
        <v>596</v>
      </c>
    </row>
    <row r="1368" spans="1:8" x14ac:dyDescent="0.3">
      <c r="A1368" s="88" t="s">
        <v>592</v>
      </c>
      <c r="B1368" s="88">
        <v>147</v>
      </c>
      <c r="C1368" s="88">
        <v>46</v>
      </c>
      <c r="D1368" s="88" t="s">
        <v>234</v>
      </c>
      <c r="E1368" s="88"/>
      <c r="F1368" s="88" t="s">
        <v>527</v>
      </c>
      <c r="G1368" s="88" t="s">
        <v>1502</v>
      </c>
      <c r="H1368" s="88" t="s">
        <v>596</v>
      </c>
    </row>
    <row r="1369" spans="1:8" x14ac:dyDescent="0.3">
      <c r="A1369" s="88" t="s">
        <v>592</v>
      </c>
      <c r="B1369" s="88">
        <v>148</v>
      </c>
      <c r="C1369" s="88">
        <v>46</v>
      </c>
      <c r="D1369" s="88" t="s">
        <v>235</v>
      </c>
      <c r="E1369" s="88"/>
      <c r="F1369" s="88" t="s">
        <v>528</v>
      </c>
      <c r="G1369" s="88" t="s">
        <v>1502</v>
      </c>
      <c r="H1369" s="88" t="s">
        <v>596</v>
      </c>
    </row>
    <row r="1370" spans="1:8" x14ac:dyDescent="0.3">
      <c r="A1370" s="88" t="s">
        <v>592</v>
      </c>
      <c r="B1370" s="88">
        <v>149</v>
      </c>
      <c r="C1370" s="88">
        <v>46</v>
      </c>
      <c r="D1370" s="88" t="s">
        <v>529</v>
      </c>
      <c r="E1370" s="88"/>
      <c r="F1370" s="88" t="s">
        <v>530</v>
      </c>
      <c r="G1370" s="88" t="s">
        <v>1502</v>
      </c>
      <c r="H1370" s="88" t="s">
        <v>596</v>
      </c>
    </row>
    <row r="1371" spans="1:8" x14ac:dyDescent="0.3">
      <c r="A1371" s="88" t="s">
        <v>592</v>
      </c>
      <c r="B1371" s="88">
        <v>150</v>
      </c>
      <c r="C1371" s="88">
        <v>46</v>
      </c>
      <c r="D1371" s="88" t="s">
        <v>531</v>
      </c>
      <c r="E1371" s="88"/>
      <c r="F1371" s="88" t="s">
        <v>532</v>
      </c>
      <c r="G1371" s="88" t="s">
        <v>1502</v>
      </c>
      <c r="H1371" s="88" t="s">
        <v>596</v>
      </c>
    </row>
    <row r="1372" spans="1:8" x14ac:dyDescent="0.3">
      <c r="A1372" s="88" t="s">
        <v>592</v>
      </c>
      <c r="B1372" s="88">
        <v>151</v>
      </c>
      <c r="C1372" s="88">
        <v>46</v>
      </c>
      <c r="D1372" s="88" t="s">
        <v>533</v>
      </c>
      <c r="E1372" s="88"/>
      <c r="F1372" s="88" t="s">
        <v>534</v>
      </c>
      <c r="G1372" s="88" t="s">
        <v>1502</v>
      </c>
      <c r="H1372" s="88" t="s">
        <v>596</v>
      </c>
    </row>
    <row r="1373" spans="1:8" x14ac:dyDescent="0.3">
      <c r="A1373" s="88" t="s">
        <v>592</v>
      </c>
      <c r="B1373" s="88">
        <v>152</v>
      </c>
      <c r="C1373" s="88">
        <v>46</v>
      </c>
      <c r="D1373" s="88" t="s">
        <v>239</v>
      </c>
      <c r="E1373" s="88"/>
      <c r="F1373" s="88" t="s">
        <v>535</v>
      </c>
      <c r="G1373" s="88" t="s">
        <v>1502</v>
      </c>
      <c r="H1373" s="88" t="s">
        <v>596</v>
      </c>
    </row>
    <row r="1374" spans="1:8" x14ac:dyDescent="0.3">
      <c r="A1374" s="88" t="s">
        <v>592</v>
      </c>
      <c r="B1374" s="88">
        <v>153</v>
      </c>
      <c r="C1374" s="88">
        <v>46</v>
      </c>
      <c r="D1374" s="88" t="s">
        <v>536</v>
      </c>
      <c r="E1374" s="88"/>
      <c r="F1374" s="88" t="s">
        <v>537</v>
      </c>
      <c r="G1374" s="88" t="s">
        <v>1502</v>
      </c>
      <c r="H1374" s="88" t="s">
        <v>596</v>
      </c>
    </row>
    <row r="1375" spans="1:8" x14ac:dyDescent="0.3">
      <c r="A1375" s="88" t="s">
        <v>592</v>
      </c>
      <c r="B1375" s="88">
        <v>154</v>
      </c>
      <c r="C1375" s="88">
        <v>46</v>
      </c>
      <c r="D1375" s="88" t="s">
        <v>538</v>
      </c>
      <c r="E1375" s="88"/>
      <c r="F1375" s="88" t="s">
        <v>539</v>
      </c>
      <c r="G1375" s="88" t="s">
        <v>1502</v>
      </c>
      <c r="H1375" s="88" t="s">
        <v>596</v>
      </c>
    </row>
    <row r="1376" spans="1:8" x14ac:dyDescent="0.3">
      <c r="A1376" s="88" t="s">
        <v>592</v>
      </c>
      <c r="B1376" s="88">
        <v>155</v>
      </c>
      <c r="C1376" s="88">
        <v>46</v>
      </c>
      <c r="D1376" s="88" t="s">
        <v>242</v>
      </c>
      <c r="E1376" s="88"/>
      <c r="F1376" s="88" t="s">
        <v>540</v>
      </c>
      <c r="G1376" s="88" t="s">
        <v>1502</v>
      </c>
      <c r="H1376" s="88" t="s">
        <v>596</v>
      </c>
    </row>
    <row r="1377" spans="1:8" x14ac:dyDescent="0.3">
      <c r="A1377" s="88" t="s">
        <v>592</v>
      </c>
      <c r="B1377" s="88">
        <v>156</v>
      </c>
      <c r="C1377" s="88">
        <v>46</v>
      </c>
      <c r="D1377" s="88" t="s">
        <v>243</v>
      </c>
      <c r="E1377" s="88"/>
      <c r="F1377" s="88" t="s">
        <v>541</v>
      </c>
      <c r="G1377" s="88" t="s">
        <v>1502</v>
      </c>
      <c r="H1377" s="88" t="s">
        <v>596</v>
      </c>
    </row>
    <row r="1378" spans="1:8" x14ac:dyDescent="0.3">
      <c r="A1378" s="88" t="s">
        <v>592</v>
      </c>
      <c r="B1378" s="88">
        <v>157</v>
      </c>
      <c r="C1378" s="88">
        <v>46</v>
      </c>
      <c r="D1378" s="88" t="s">
        <v>244</v>
      </c>
      <c r="E1378" s="88"/>
      <c r="F1378" s="88" t="s">
        <v>542</v>
      </c>
      <c r="G1378" s="88" t="s">
        <v>1502</v>
      </c>
      <c r="H1378" s="88" t="s">
        <v>596</v>
      </c>
    </row>
    <row r="1379" spans="1:8" x14ac:dyDescent="0.3">
      <c r="A1379" s="88" t="s">
        <v>592</v>
      </c>
      <c r="B1379" s="88">
        <v>158</v>
      </c>
      <c r="C1379" s="88">
        <v>46</v>
      </c>
      <c r="D1379" s="88" t="s">
        <v>245</v>
      </c>
      <c r="E1379" s="88"/>
      <c r="F1379" s="88" t="s">
        <v>543</v>
      </c>
      <c r="G1379" s="88" t="s">
        <v>1502</v>
      </c>
      <c r="H1379" s="88" t="s">
        <v>596</v>
      </c>
    </row>
    <row r="1380" spans="1:8" x14ac:dyDescent="0.3">
      <c r="A1380" s="88" t="s">
        <v>592</v>
      </c>
      <c r="B1380" s="88">
        <v>159</v>
      </c>
      <c r="C1380" s="88">
        <v>46</v>
      </c>
      <c r="D1380" s="88" t="s">
        <v>544</v>
      </c>
      <c r="E1380" s="88"/>
      <c r="F1380" s="88" t="s">
        <v>545</v>
      </c>
      <c r="G1380" s="88" t="s">
        <v>1502</v>
      </c>
      <c r="H1380" s="88" t="s">
        <v>596</v>
      </c>
    </row>
    <row r="1381" spans="1:8" x14ac:dyDescent="0.3">
      <c r="A1381" s="88" t="s">
        <v>592</v>
      </c>
      <c r="B1381" s="88">
        <v>160</v>
      </c>
      <c r="C1381" s="88">
        <v>46</v>
      </c>
      <c r="D1381" s="88" t="s">
        <v>546</v>
      </c>
      <c r="E1381" s="88"/>
      <c r="F1381" s="88" t="s">
        <v>547</v>
      </c>
      <c r="G1381" s="88" t="s">
        <v>1502</v>
      </c>
      <c r="H1381" s="88" t="s">
        <v>596</v>
      </c>
    </row>
    <row r="1382" spans="1:8" x14ac:dyDescent="0.3">
      <c r="A1382" s="88" t="s">
        <v>592</v>
      </c>
      <c r="B1382" s="88">
        <v>161</v>
      </c>
      <c r="C1382" s="88">
        <v>46</v>
      </c>
      <c r="D1382" s="88" t="s">
        <v>248</v>
      </c>
      <c r="E1382" s="88"/>
      <c r="F1382" s="88" t="s">
        <v>548</v>
      </c>
      <c r="G1382" s="88" t="s">
        <v>1502</v>
      </c>
      <c r="H1382" s="88" t="s">
        <v>596</v>
      </c>
    </row>
    <row r="1383" spans="1:8" x14ac:dyDescent="0.3">
      <c r="A1383" s="88" t="s">
        <v>592</v>
      </c>
      <c r="B1383" s="88">
        <v>162</v>
      </c>
      <c r="C1383" s="88">
        <v>46</v>
      </c>
      <c r="D1383" s="88" t="s">
        <v>549</v>
      </c>
      <c r="E1383" s="88"/>
      <c r="F1383" s="88" t="s">
        <v>550</v>
      </c>
      <c r="G1383" s="88" t="s">
        <v>1502</v>
      </c>
      <c r="H1383" s="88" t="s">
        <v>596</v>
      </c>
    </row>
    <row r="1384" spans="1:8" x14ac:dyDescent="0.3">
      <c r="A1384" s="88" t="s">
        <v>592</v>
      </c>
      <c r="B1384" s="88">
        <v>163</v>
      </c>
      <c r="C1384" s="88">
        <v>46</v>
      </c>
      <c r="D1384" s="88" t="s">
        <v>551</v>
      </c>
      <c r="E1384" s="88"/>
      <c r="F1384" s="88" t="s">
        <v>552</v>
      </c>
      <c r="G1384" s="88" t="s">
        <v>1502</v>
      </c>
      <c r="H1384" s="88" t="s">
        <v>596</v>
      </c>
    </row>
    <row r="1385" spans="1:8" x14ac:dyDescent="0.3">
      <c r="A1385" s="88" t="s">
        <v>592</v>
      </c>
      <c r="B1385" s="88">
        <v>164</v>
      </c>
      <c r="C1385" s="88">
        <v>46</v>
      </c>
      <c r="D1385" s="88" t="s">
        <v>553</v>
      </c>
      <c r="E1385" s="88"/>
      <c r="F1385" s="88" t="s">
        <v>554</v>
      </c>
      <c r="G1385" s="88" t="s">
        <v>1502</v>
      </c>
      <c r="H1385" s="88" t="s">
        <v>596</v>
      </c>
    </row>
    <row r="1386" spans="1:8" x14ac:dyDescent="0.3">
      <c r="A1386" s="88" t="s">
        <v>592</v>
      </c>
      <c r="B1386" s="88">
        <v>165</v>
      </c>
      <c r="C1386" s="88">
        <v>46</v>
      </c>
      <c r="D1386" s="88" t="s">
        <v>555</v>
      </c>
      <c r="E1386" s="88"/>
      <c r="F1386" s="88" t="s">
        <v>556</v>
      </c>
      <c r="G1386" s="88" t="s">
        <v>1502</v>
      </c>
      <c r="H1386" s="88" t="s">
        <v>596</v>
      </c>
    </row>
    <row r="1387" spans="1:8" x14ac:dyDescent="0.3">
      <c r="A1387" s="88" t="s">
        <v>592</v>
      </c>
      <c r="B1387" s="88">
        <v>166</v>
      </c>
      <c r="C1387" s="88">
        <v>46</v>
      </c>
      <c r="D1387" s="88" t="s">
        <v>253</v>
      </c>
      <c r="E1387" s="88"/>
      <c r="F1387" s="88" t="s">
        <v>557</v>
      </c>
      <c r="G1387" s="88" t="s">
        <v>1502</v>
      </c>
      <c r="H1387" s="88" t="s">
        <v>596</v>
      </c>
    </row>
    <row r="1388" spans="1:8" x14ac:dyDescent="0.3">
      <c r="A1388" s="88" t="s">
        <v>592</v>
      </c>
      <c r="B1388" s="88">
        <v>167</v>
      </c>
      <c r="C1388" s="88">
        <v>46</v>
      </c>
      <c r="D1388" s="88" t="s">
        <v>558</v>
      </c>
      <c r="E1388" s="88"/>
      <c r="F1388" s="88" t="s">
        <v>559</v>
      </c>
      <c r="G1388" s="88" t="s">
        <v>1502</v>
      </c>
      <c r="H1388" s="88" t="s">
        <v>596</v>
      </c>
    </row>
    <row r="1389" spans="1:8" x14ac:dyDescent="0.3">
      <c r="A1389" s="88" t="s">
        <v>592</v>
      </c>
      <c r="B1389" s="88">
        <v>168</v>
      </c>
      <c r="C1389" s="88">
        <v>46</v>
      </c>
      <c r="D1389" s="88" t="s">
        <v>255</v>
      </c>
      <c r="E1389" s="88"/>
      <c r="F1389" s="88" t="s">
        <v>560</v>
      </c>
      <c r="G1389" s="88" t="s">
        <v>1502</v>
      </c>
      <c r="H1389" s="88" t="s">
        <v>596</v>
      </c>
    </row>
    <row r="1390" spans="1:8" x14ac:dyDescent="0.3">
      <c r="A1390" s="88" t="s">
        <v>592</v>
      </c>
      <c r="B1390" s="88">
        <v>169</v>
      </c>
      <c r="C1390" s="88">
        <v>46</v>
      </c>
      <c r="D1390" s="88" t="s">
        <v>561</v>
      </c>
      <c r="E1390" s="88"/>
      <c r="F1390" s="88" t="s">
        <v>562</v>
      </c>
      <c r="G1390" s="88" t="s">
        <v>1502</v>
      </c>
      <c r="H1390" s="88" t="s">
        <v>596</v>
      </c>
    </row>
    <row r="1391" spans="1:8" x14ac:dyDescent="0.3">
      <c r="A1391" s="88" t="s">
        <v>592</v>
      </c>
      <c r="B1391" s="88">
        <v>170</v>
      </c>
      <c r="C1391" s="88">
        <v>46</v>
      </c>
      <c r="D1391" s="88" t="s">
        <v>257</v>
      </c>
      <c r="E1391" s="88"/>
      <c r="F1391" s="88" t="s">
        <v>563</v>
      </c>
      <c r="G1391" s="88" t="s">
        <v>1502</v>
      </c>
      <c r="H1391" s="88" t="s">
        <v>596</v>
      </c>
    </row>
    <row r="1392" spans="1:8" x14ac:dyDescent="0.3">
      <c r="A1392" s="88" t="s">
        <v>592</v>
      </c>
      <c r="B1392" s="88">
        <v>171</v>
      </c>
      <c r="C1392" s="88">
        <v>46</v>
      </c>
      <c r="D1392" s="88" t="s">
        <v>258</v>
      </c>
      <c r="E1392" s="88"/>
      <c r="F1392" s="88" t="s">
        <v>564</v>
      </c>
      <c r="G1392" s="88" t="s">
        <v>1502</v>
      </c>
      <c r="H1392" s="88" t="s">
        <v>596</v>
      </c>
    </row>
    <row r="1393" spans="1:8" x14ac:dyDescent="0.3">
      <c r="A1393" s="88" t="s">
        <v>592</v>
      </c>
      <c r="B1393" s="88">
        <v>172</v>
      </c>
      <c r="C1393" s="88">
        <v>46</v>
      </c>
      <c r="D1393" s="88" t="s">
        <v>259</v>
      </c>
      <c r="E1393" s="88"/>
      <c r="F1393" s="88" t="s">
        <v>565</v>
      </c>
      <c r="G1393" s="88" t="s">
        <v>1502</v>
      </c>
      <c r="H1393" s="88" t="s">
        <v>596</v>
      </c>
    </row>
    <row r="1394" spans="1:8" x14ac:dyDescent="0.3">
      <c r="A1394" s="88" t="s">
        <v>592</v>
      </c>
      <c r="B1394" s="88">
        <v>173</v>
      </c>
      <c r="C1394" s="88">
        <v>46</v>
      </c>
      <c r="D1394" s="88" t="s">
        <v>566</v>
      </c>
      <c r="E1394" s="88"/>
      <c r="F1394" s="88" t="s">
        <v>567</v>
      </c>
      <c r="G1394" s="88" t="s">
        <v>1502</v>
      </c>
      <c r="H1394" s="88" t="s">
        <v>596</v>
      </c>
    </row>
    <row r="1395" spans="1:8" x14ac:dyDescent="0.3">
      <c r="A1395" s="88" t="s">
        <v>592</v>
      </c>
      <c r="B1395" s="88">
        <v>174</v>
      </c>
      <c r="C1395" s="88">
        <v>46</v>
      </c>
      <c r="D1395" s="88" t="s">
        <v>568</v>
      </c>
      <c r="E1395" s="88"/>
      <c r="F1395" s="88" t="s">
        <v>569</v>
      </c>
      <c r="G1395" s="88" t="s">
        <v>1502</v>
      </c>
      <c r="H1395" s="88" t="s">
        <v>596</v>
      </c>
    </row>
    <row r="1396" spans="1:8" x14ac:dyDescent="0.3">
      <c r="A1396" s="88" t="s">
        <v>592</v>
      </c>
      <c r="B1396" s="88">
        <v>175</v>
      </c>
      <c r="C1396" s="88">
        <v>46</v>
      </c>
      <c r="D1396" s="88" t="s">
        <v>570</v>
      </c>
      <c r="E1396" s="88"/>
      <c r="F1396" s="88" t="s">
        <v>571</v>
      </c>
      <c r="G1396" s="88" t="s">
        <v>1502</v>
      </c>
      <c r="H1396" s="88" t="s">
        <v>596</v>
      </c>
    </row>
    <row r="1397" spans="1:8" x14ac:dyDescent="0.3">
      <c r="A1397" s="88" t="s">
        <v>592</v>
      </c>
      <c r="B1397" s="88">
        <v>176</v>
      </c>
      <c r="C1397" s="88">
        <v>46</v>
      </c>
      <c r="D1397" s="88" t="s">
        <v>263</v>
      </c>
      <c r="E1397" s="88"/>
      <c r="F1397" s="88" t="s">
        <v>572</v>
      </c>
      <c r="G1397" s="88" t="s">
        <v>1502</v>
      </c>
      <c r="H1397" s="88" t="s">
        <v>596</v>
      </c>
    </row>
    <row r="1398" spans="1:8" x14ac:dyDescent="0.3">
      <c r="A1398" s="88" t="s">
        <v>592</v>
      </c>
      <c r="B1398" s="88">
        <v>177</v>
      </c>
      <c r="C1398" s="88">
        <v>46</v>
      </c>
      <c r="D1398" s="88" t="s">
        <v>264</v>
      </c>
      <c r="E1398" s="88"/>
      <c r="F1398" s="88" t="s">
        <v>573</v>
      </c>
      <c r="G1398" s="88" t="s">
        <v>1502</v>
      </c>
      <c r="H1398" s="88" t="s">
        <v>596</v>
      </c>
    </row>
    <row r="1399" spans="1:8" x14ac:dyDescent="0.3">
      <c r="A1399" s="88" t="s">
        <v>592</v>
      </c>
      <c r="B1399" s="88">
        <v>178</v>
      </c>
      <c r="C1399" s="88">
        <v>46</v>
      </c>
      <c r="D1399" s="88" t="s">
        <v>265</v>
      </c>
      <c r="E1399" s="88"/>
      <c r="F1399" s="88" t="s">
        <v>574</v>
      </c>
      <c r="G1399" s="88" t="s">
        <v>1502</v>
      </c>
      <c r="H1399" s="88" t="s">
        <v>596</v>
      </c>
    </row>
    <row r="1400" spans="1:8" x14ac:dyDescent="0.3">
      <c r="A1400" s="88" t="s">
        <v>592</v>
      </c>
      <c r="B1400" s="88">
        <v>179</v>
      </c>
      <c r="C1400" s="88">
        <v>46</v>
      </c>
      <c r="D1400" s="88" t="s">
        <v>266</v>
      </c>
      <c r="E1400" s="88"/>
      <c r="F1400" s="88" t="s">
        <v>575</v>
      </c>
      <c r="G1400" s="88" t="s">
        <v>1502</v>
      </c>
      <c r="H1400" s="88" t="s">
        <v>596</v>
      </c>
    </row>
    <row r="1401" spans="1:8" x14ac:dyDescent="0.3">
      <c r="A1401" s="88" t="s">
        <v>592</v>
      </c>
      <c r="B1401" s="88">
        <v>180</v>
      </c>
      <c r="C1401" s="88">
        <v>46</v>
      </c>
      <c r="D1401" s="88" t="s">
        <v>267</v>
      </c>
      <c r="E1401" s="88"/>
      <c r="F1401" s="88" t="s">
        <v>576</v>
      </c>
      <c r="G1401" s="88" t="s">
        <v>1502</v>
      </c>
      <c r="H1401" s="88" t="s">
        <v>596</v>
      </c>
    </row>
    <row r="1402" spans="1:8" x14ac:dyDescent="0.3">
      <c r="A1402" s="88" t="s">
        <v>592</v>
      </c>
      <c r="B1402" s="88">
        <v>181</v>
      </c>
      <c r="C1402" s="88">
        <v>46</v>
      </c>
      <c r="D1402" s="88" t="s">
        <v>268</v>
      </c>
      <c r="E1402" s="88"/>
      <c r="F1402" s="88" t="s">
        <v>577</v>
      </c>
      <c r="G1402" s="88" t="s">
        <v>1502</v>
      </c>
      <c r="H1402" s="88" t="s">
        <v>596</v>
      </c>
    </row>
    <row r="1403" spans="1:8" x14ac:dyDescent="0.3">
      <c r="A1403" s="88" t="s">
        <v>592</v>
      </c>
      <c r="B1403" s="88">
        <v>182</v>
      </c>
      <c r="C1403" s="88">
        <v>46</v>
      </c>
      <c r="D1403" s="88" t="s">
        <v>269</v>
      </c>
      <c r="E1403" s="88"/>
      <c r="F1403" s="88" t="s">
        <v>578</v>
      </c>
      <c r="G1403" s="88" t="s">
        <v>1502</v>
      </c>
      <c r="H1403" s="88" t="s">
        <v>596</v>
      </c>
    </row>
    <row r="1404" spans="1:8" x14ac:dyDescent="0.3">
      <c r="A1404" s="88" t="s">
        <v>592</v>
      </c>
      <c r="B1404" s="88">
        <v>183</v>
      </c>
      <c r="C1404" s="88">
        <v>46</v>
      </c>
      <c r="D1404" s="88" t="s">
        <v>270</v>
      </c>
      <c r="E1404" s="88"/>
      <c r="F1404" s="88" t="s">
        <v>579</v>
      </c>
      <c r="G1404" s="88" t="s">
        <v>1502</v>
      </c>
      <c r="H1404" s="88" t="s">
        <v>596</v>
      </c>
    </row>
    <row r="1405" spans="1:8" x14ac:dyDescent="0.3">
      <c r="A1405" s="88" t="s">
        <v>592</v>
      </c>
      <c r="B1405" s="88">
        <v>184</v>
      </c>
      <c r="C1405" s="88">
        <v>46</v>
      </c>
      <c r="D1405" s="88" t="s">
        <v>580</v>
      </c>
      <c r="E1405" s="88"/>
      <c r="F1405" s="88" t="s">
        <v>581</v>
      </c>
      <c r="G1405" s="88" t="s">
        <v>1502</v>
      </c>
      <c r="H1405" s="88" t="s">
        <v>596</v>
      </c>
    </row>
    <row r="1406" spans="1:8" x14ac:dyDescent="0.3">
      <c r="A1406" s="88" t="s">
        <v>592</v>
      </c>
      <c r="B1406" s="88">
        <v>185</v>
      </c>
      <c r="C1406" s="88">
        <v>46</v>
      </c>
      <c r="D1406" s="88" t="s">
        <v>582</v>
      </c>
      <c r="E1406" s="88"/>
      <c r="F1406" s="88" t="s">
        <v>583</v>
      </c>
      <c r="G1406" s="88" t="s">
        <v>1502</v>
      </c>
      <c r="H1406" s="88" t="s">
        <v>596</v>
      </c>
    </row>
    <row r="1407" spans="1:8" x14ac:dyDescent="0.3">
      <c r="A1407" s="88" t="s">
        <v>716</v>
      </c>
      <c r="B1407" s="88">
        <v>5</v>
      </c>
      <c r="C1407" s="88">
        <v>32</v>
      </c>
      <c r="D1407" s="88" t="s">
        <v>89</v>
      </c>
      <c r="E1407" s="88" t="s">
        <v>1002</v>
      </c>
      <c r="F1407" s="88" t="s">
        <v>792</v>
      </c>
      <c r="G1407" s="88" t="s">
        <v>749</v>
      </c>
      <c r="H1407" s="88" t="s">
        <v>596</v>
      </c>
    </row>
    <row r="1408" spans="1:8" x14ac:dyDescent="0.3">
      <c r="A1408" s="88" t="s">
        <v>716</v>
      </c>
      <c r="B1408" s="88">
        <v>5</v>
      </c>
      <c r="C1408" s="88">
        <v>33</v>
      </c>
      <c r="D1408" s="88" t="s">
        <v>89</v>
      </c>
      <c r="E1408" s="88" t="s">
        <v>792</v>
      </c>
      <c r="F1408" s="88" t="s">
        <v>1503</v>
      </c>
      <c r="G1408" s="88" t="s">
        <v>752</v>
      </c>
      <c r="H1408" s="88" t="s">
        <v>596</v>
      </c>
    </row>
    <row r="1409" spans="1:8" x14ac:dyDescent="0.3">
      <c r="A1409" s="88" t="s">
        <v>716</v>
      </c>
      <c r="B1409" s="88">
        <v>5</v>
      </c>
      <c r="C1409" s="88">
        <v>34</v>
      </c>
      <c r="D1409" s="88" t="s">
        <v>89</v>
      </c>
      <c r="E1409" s="88" t="s">
        <v>1503</v>
      </c>
      <c r="F1409" s="88" t="s">
        <v>799</v>
      </c>
      <c r="G1409" s="88" t="s">
        <v>755</v>
      </c>
      <c r="H1409" s="88" t="s">
        <v>596</v>
      </c>
    </row>
    <row r="1410" spans="1:8" x14ac:dyDescent="0.3">
      <c r="A1410" s="88" t="s">
        <v>716</v>
      </c>
      <c r="B1410" s="88">
        <v>5</v>
      </c>
      <c r="C1410" s="88">
        <v>35</v>
      </c>
      <c r="D1410" s="88" t="s">
        <v>89</v>
      </c>
      <c r="E1410" s="88" t="s">
        <v>799</v>
      </c>
      <c r="F1410" s="88" t="s">
        <v>1269</v>
      </c>
      <c r="G1410" s="88" t="s">
        <v>758</v>
      </c>
      <c r="H1410" s="88" t="s">
        <v>596</v>
      </c>
    </row>
    <row r="1411" spans="1:8" ht="28.8" x14ac:dyDescent="0.3">
      <c r="A1411" s="88" t="s">
        <v>716</v>
      </c>
      <c r="B1411" s="88">
        <v>5</v>
      </c>
      <c r="C1411" s="88">
        <v>38</v>
      </c>
      <c r="D1411" s="88" t="s">
        <v>89</v>
      </c>
      <c r="E1411" s="88" t="s">
        <v>1504</v>
      </c>
      <c r="F1411" s="88" t="s">
        <v>718</v>
      </c>
      <c r="G1411" s="88" t="s">
        <v>719</v>
      </c>
      <c r="H1411" s="88" t="s">
        <v>596</v>
      </c>
    </row>
    <row r="1412" spans="1:8" ht="28.8" x14ac:dyDescent="0.3">
      <c r="A1412" s="88" t="s">
        <v>716</v>
      </c>
      <c r="B1412" s="88">
        <v>5</v>
      </c>
      <c r="C1412" s="88">
        <v>39</v>
      </c>
      <c r="D1412" s="88" t="s">
        <v>89</v>
      </c>
      <c r="E1412" s="88" t="s">
        <v>717</v>
      </c>
      <c r="F1412" s="88" t="s">
        <v>1505</v>
      </c>
      <c r="G1412" s="88" t="s">
        <v>724</v>
      </c>
      <c r="H1412" s="88" t="s">
        <v>596</v>
      </c>
    </row>
    <row r="1413" spans="1:8" x14ac:dyDescent="0.3">
      <c r="A1413" s="88" t="s">
        <v>716</v>
      </c>
      <c r="B1413" s="88">
        <v>6</v>
      </c>
      <c r="C1413" s="88">
        <v>32</v>
      </c>
      <c r="D1413" s="88" t="s">
        <v>90</v>
      </c>
      <c r="E1413" s="88" t="s">
        <v>1506</v>
      </c>
      <c r="F1413" s="88" t="s">
        <v>970</v>
      </c>
      <c r="G1413" s="88" t="s">
        <v>749</v>
      </c>
      <c r="H1413" s="88" t="s">
        <v>596</v>
      </c>
    </row>
    <row r="1414" spans="1:8" x14ac:dyDescent="0.3">
      <c r="A1414" s="88" t="s">
        <v>716</v>
      </c>
      <c r="B1414" s="88">
        <v>6</v>
      </c>
      <c r="C1414" s="88">
        <v>33</v>
      </c>
      <c r="D1414" s="88" t="s">
        <v>90</v>
      </c>
      <c r="E1414" s="88" t="s">
        <v>970</v>
      </c>
      <c r="F1414" s="88" t="s">
        <v>1308</v>
      </c>
      <c r="G1414" s="88" t="s">
        <v>752</v>
      </c>
      <c r="H1414" s="88" t="s">
        <v>596</v>
      </c>
    </row>
    <row r="1415" spans="1:8" x14ac:dyDescent="0.3">
      <c r="A1415" s="88" t="s">
        <v>716</v>
      </c>
      <c r="B1415" s="88">
        <v>6</v>
      </c>
      <c r="C1415" s="88">
        <v>34</v>
      </c>
      <c r="D1415" s="88" t="s">
        <v>90</v>
      </c>
      <c r="E1415" s="88" t="s">
        <v>1308</v>
      </c>
      <c r="F1415" s="88" t="s">
        <v>935</v>
      </c>
      <c r="G1415" s="88" t="s">
        <v>755</v>
      </c>
      <c r="H1415" s="88" t="s">
        <v>596</v>
      </c>
    </row>
    <row r="1416" spans="1:8" x14ac:dyDescent="0.3">
      <c r="A1416" s="88" t="s">
        <v>716</v>
      </c>
      <c r="B1416" s="88">
        <v>6</v>
      </c>
      <c r="C1416" s="88">
        <v>35</v>
      </c>
      <c r="D1416" s="88" t="s">
        <v>90</v>
      </c>
      <c r="E1416" s="88" t="s">
        <v>935</v>
      </c>
      <c r="F1416" s="88" t="s">
        <v>1128</v>
      </c>
      <c r="G1416" s="88" t="s">
        <v>758</v>
      </c>
      <c r="H1416" s="88" t="s">
        <v>596</v>
      </c>
    </row>
    <row r="1417" spans="1:8" ht="28.8" x14ac:dyDescent="0.3">
      <c r="A1417" s="88" t="s">
        <v>716</v>
      </c>
      <c r="B1417" s="88">
        <v>6</v>
      </c>
      <c r="C1417" s="88">
        <v>38</v>
      </c>
      <c r="D1417" s="88" t="s">
        <v>90</v>
      </c>
      <c r="E1417" s="88" t="s">
        <v>1507</v>
      </c>
      <c r="F1417" s="88" t="s">
        <v>721</v>
      </c>
      <c r="G1417" s="88" t="s">
        <v>719</v>
      </c>
      <c r="H1417" s="88" t="s">
        <v>596</v>
      </c>
    </row>
    <row r="1418" spans="1:8" ht="28.8" x14ac:dyDescent="0.3">
      <c r="A1418" s="88" t="s">
        <v>716</v>
      </c>
      <c r="B1418" s="88">
        <v>6</v>
      </c>
      <c r="C1418" s="88">
        <v>39</v>
      </c>
      <c r="D1418" s="88" t="s">
        <v>90</v>
      </c>
      <c r="E1418" s="88" t="s">
        <v>720</v>
      </c>
      <c r="F1418" s="88" t="s">
        <v>723</v>
      </c>
      <c r="G1418" s="88" t="s">
        <v>724</v>
      </c>
      <c r="H1418" s="88" t="s">
        <v>596</v>
      </c>
    </row>
    <row r="1419" spans="1:8" x14ac:dyDescent="0.3">
      <c r="A1419" s="88" t="s">
        <v>716</v>
      </c>
      <c r="B1419" s="88">
        <v>7</v>
      </c>
      <c r="C1419" s="88">
        <v>32</v>
      </c>
      <c r="D1419" s="88" t="s">
        <v>91</v>
      </c>
      <c r="E1419" s="88" t="s">
        <v>666</v>
      </c>
      <c r="F1419" s="88" t="s">
        <v>805</v>
      </c>
      <c r="G1419" s="88" t="s">
        <v>749</v>
      </c>
      <c r="H1419" s="88" t="s">
        <v>596</v>
      </c>
    </row>
    <row r="1420" spans="1:8" x14ac:dyDescent="0.3">
      <c r="A1420" s="88" t="s">
        <v>716</v>
      </c>
      <c r="B1420" s="88">
        <v>7</v>
      </c>
      <c r="C1420" s="88">
        <v>33</v>
      </c>
      <c r="D1420" s="88" t="s">
        <v>91</v>
      </c>
      <c r="E1420" s="88" t="s">
        <v>805</v>
      </c>
      <c r="F1420" s="88" t="s">
        <v>1258</v>
      </c>
      <c r="G1420" s="88" t="s">
        <v>752</v>
      </c>
      <c r="H1420" s="88" t="s">
        <v>596</v>
      </c>
    </row>
    <row r="1421" spans="1:8" x14ac:dyDescent="0.3">
      <c r="A1421" s="88" t="s">
        <v>716</v>
      </c>
      <c r="B1421" s="88">
        <v>7</v>
      </c>
      <c r="C1421" s="88">
        <v>34</v>
      </c>
      <c r="D1421" s="88" t="s">
        <v>91</v>
      </c>
      <c r="E1421" s="88" t="s">
        <v>1258</v>
      </c>
      <c r="F1421" s="88" t="s">
        <v>933</v>
      </c>
      <c r="G1421" s="88" t="s">
        <v>755</v>
      </c>
      <c r="H1421" s="88" t="s">
        <v>596</v>
      </c>
    </row>
    <row r="1422" spans="1:8" x14ac:dyDescent="0.3">
      <c r="A1422" s="88" t="s">
        <v>716</v>
      </c>
      <c r="B1422" s="88">
        <v>7</v>
      </c>
      <c r="C1422" s="88">
        <v>35</v>
      </c>
      <c r="D1422" s="88" t="s">
        <v>91</v>
      </c>
      <c r="E1422" s="88" t="s">
        <v>933</v>
      </c>
      <c r="F1422" s="88" t="s">
        <v>1508</v>
      </c>
      <c r="G1422" s="88" t="s">
        <v>758</v>
      </c>
      <c r="H1422" s="88" t="s">
        <v>596</v>
      </c>
    </row>
    <row r="1423" spans="1:8" ht="28.8" x14ac:dyDescent="0.3">
      <c r="A1423" s="88" t="s">
        <v>716</v>
      </c>
      <c r="B1423" s="88">
        <v>7</v>
      </c>
      <c r="C1423" s="88">
        <v>38</v>
      </c>
      <c r="D1423" s="88" t="s">
        <v>91</v>
      </c>
      <c r="E1423" s="88" t="s">
        <v>1509</v>
      </c>
      <c r="F1423" s="88" t="s">
        <v>726</v>
      </c>
      <c r="G1423" s="88" t="s">
        <v>719</v>
      </c>
      <c r="H1423" s="88" t="s">
        <v>596</v>
      </c>
    </row>
    <row r="1424" spans="1:8" ht="28.8" x14ac:dyDescent="0.3">
      <c r="A1424" s="88" t="s">
        <v>716</v>
      </c>
      <c r="B1424" s="88">
        <v>7</v>
      </c>
      <c r="C1424" s="88">
        <v>39</v>
      </c>
      <c r="D1424" s="88" t="s">
        <v>91</v>
      </c>
      <c r="E1424" s="88" t="s">
        <v>725</v>
      </c>
      <c r="F1424" s="88" t="s">
        <v>728</v>
      </c>
      <c r="G1424" s="88" t="s">
        <v>724</v>
      </c>
      <c r="H1424" s="88" t="s">
        <v>596</v>
      </c>
    </row>
    <row r="1425" spans="1:8" ht="28.8" x14ac:dyDescent="0.3">
      <c r="A1425" s="88" t="s">
        <v>716</v>
      </c>
      <c r="B1425" s="88">
        <v>8</v>
      </c>
      <c r="C1425" s="88">
        <v>32</v>
      </c>
      <c r="D1425" s="88" t="s">
        <v>92</v>
      </c>
      <c r="E1425" s="88" t="s">
        <v>1510</v>
      </c>
      <c r="F1425" s="88" t="s">
        <v>747</v>
      </c>
      <c r="G1425" s="88" t="s">
        <v>749</v>
      </c>
      <c r="H1425" s="88" t="s">
        <v>596</v>
      </c>
    </row>
    <row r="1426" spans="1:8" x14ac:dyDescent="0.3">
      <c r="A1426" s="88" t="s">
        <v>716</v>
      </c>
      <c r="B1426" s="88">
        <v>8</v>
      </c>
      <c r="C1426" s="88">
        <v>33</v>
      </c>
      <c r="D1426" s="88" t="s">
        <v>92</v>
      </c>
      <c r="E1426" s="88" t="s">
        <v>747</v>
      </c>
      <c r="F1426" s="88" t="s">
        <v>984</v>
      </c>
      <c r="G1426" s="88" t="s">
        <v>752</v>
      </c>
      <c r="H1426" s="88" t="s">
        <v>596</v>
      </c>
    </row>
    <row r="1427" spans="1:8" x14ac:dyDescent="0.3">
      <c r="A1427" s="88" t="s">
        <v>716</v>
      </c>
      <c r="B1427" s="88">
        <v>8</v>
      </c>
      <c r="C1427" s="88">
        <v>34</v>
      </c>
      <c r="D1427" s="88" t="s">
        <v>92</v>
      </c>
      <c r="E1427" s="88" t="s">
        <v>984</v>
      </c>
      <c r="F1427" s="88" t="s">
        <v>765</v>
      </c>
      <c r="G1427" s="88" t="s">
        <v>755</v>
      </c>
      <c r="H1427" s="88" t="s">
        <v>596</v>
      </c>
    </row>
    <row r="1428" spans="1:8" x14ac:dyDescent="0.3">
      <c r="A1428" s="88" t="s">
        <v>716</v>
      </c>
      <c r="B1428" s="88">
        <v>8</v>
      </c>
      <c r="C1428" s="88">
        <v>35</v>
      </c>
      <c r="D1428" s="88" t="s">
        <v>92</v>
      </c>
      <c r="E1428" s="88" t="s">
        <v>765</v>
      </c>
      <c r="F1428" s="88" t="s">
        <v>1508</v>
      </c>
      <c r="G1428" s="88" t="s">
        <v>758</v>
      </c>
      <c r="H1428" s="88" t="s">
        <v>596</v>
      </c>
    </row>
    <row r="1429" spans="1:8" ht="28.8" x14ac:dyDescent="0.3">
      <c r="A1429" s="88" t="s">
        <v>716</v>
      </c>
      <c r="B1429" s="88">
        <v>8</v>
      </c>
      <c r="C1429" s="88">
        <v>38</v>
      </c>
      <c r="D1429" s="88" t="s">
        <v>92</v>
      </c>
      <c r="E1429" s="88" t="s">
        <v>1511</v>
      </c>
      <c r="F1429" s="88" t="s">
        <v>730</v>
      </c>
      <c r="G1429" s="88" t="s">
        <v>719</v>
      </c>
      <c r="H1429" s="88" t="s">
        <v>596</v>
      </c>
    </row>
    <row r="1430" spans="1:8" ht="28.8" x14ac:dyDescent="0.3">
      <c r="A1430" s="88" t="s">
        <v>716</v>
      </c>
      <c r="B1430" s="88">
        <v>8</v>
      </c>
      <c r="C1430" s="88">
        <v>39</v>
      </c>
      <c r="D1430" s="88" t="s">
        <v>92</v>
      </c>
      <c r="E1430" s="88" t="s">
        <v>729</v>
      </c>
      <c r="F1430" s="88" t="s">
        <v>1512</v>
      </c>
      <c r="G1430" s="88" t="s">
        <v>724</v>
      </c>
      <c r="H1430" s="88" t="s">
        <v>596</v>
      </c>
    </row>
    <row r="1431" spans="1:8" ht="28.8" x14ac:dyDescent="0.3">
      <c r="A1431" s="88" t="s">
        <v>716</v>
      </c>
      <c r="B1431" s="88">
        <v>9</v>
      </c>
      <c r="C1431" s="88">
        <v>32</v>
      </c>
      <c r="D1431" s="88" t="s">
        <v>93</v>
      </c>
      <c r="E1431" s="88" t="s">
        <v>1513</v>
      </c>
      <c r="F1431" s="88" t="s">
        <v>1514</v>
      </c>
      <c r="G1431" s="88" t="s">
        <v>749</v>
      </c>
      <c r="H1431" s="88" t="s">
        <v>596</v>
      </c>
    </row>
    <row r="1432" spans="1:8" x14ac:dyDescent="0.3">
      <c r="A1432" s="88" t="s">
        <v>716</v>
      </c>
      <c r="B1432" s="88">
        <v>9</v>
      </c>
      <c r="C1432" s="88">
        <v>33</v>
      </c>
      <c r="D1432" s="88" t="s">
        <v>93</v>
      </c>
      <c r="E1432" s="88" t="s">
        <v>1514</v>
      </c>
      <c r="F1432" s="88" t="s">
        <v>1515</v>
      </c>
      <c r="G1432" s="88" t="s">
        <v>752</v>
      </c>
      <c r="H1432" s="88" t="s">
        <v>596</v>
      </c>
    </row>
    <row r="1433" spans="1:8" x14ac:dyDescent="0.3">
      <c r="A1433" s="88" t="s">
        <v>716</v>
      </c>
      <c r="B1433" s="88">
        <v>9</v>
      </c>
      <c r="C1433" s="88">
        <v>34</v>
      </c>
      <c r="D1433" s="88" t="s">
        <v>93</v>
      </c>
      <c r="E1433" s="88" t="s">
        <v>1515</v>
      </c>
      <c r="F1433" s="88" t="s">
        <v>1408</v>
      </c>
      <c r="G1433" s="88" t="s">
        <v>755</v>
      </c>
      <c r="H1433" s="88" t="s">
        <v>596</v>
      </c>
    </row>
    <row r="1434" spans="1:8" x14ac:dyDescent="0.3">
      <c r="A1434" s="88" t="s">
        <v>716</v>
      </c>
      <c r="B1434" s="88">
        <v>9</v>
      </c>
      <c r="C1434" s="88">
        <v>35</v>
      </c>
      <c r="D1434" s="88" t="s">
        <v>93</v>
      </c>
      <c r="E1434" s="88" t="s">
        <v>1408</v>
      </c>
      <c r="F1434" s="88" t="s">
        <v>1268</v>
      </c>
      <c r="G1434" s="88" t="s">
        <v>758</v>
      </c>
      <c r="H1434" s="88" t="s">
        <v>596</v>
      </c>
    </row>
    <row r="1435" spans="1:8" ht="28.8" x14ac:dyDescent="0.3">
      <c r="A1435" s="88" t="s">
        <v>716</v>
      </c>
      <c r="B1435" s="88">
        <v>9</v>
      </c>
      <c r="C1435" s="88">
        <v>38</v>
      </c>
      <c r="D1435" s="88" t="s">
        <v>93</v>
      </c>
      <c r="E1435" s="88" t="s">
        <v>1516</v>
      </c>
      <c r="F1435" s="88" t="s">
        <v>732</v>
      </c>
      <c r="G1435" s="88" t="s">
        <v>719</v>
      </c>
      <c r="H1435" s="88" t="s">
        <v>596</v>
      </c>
    </row>
    <row r="1436" spans="1:8" ht="28.8" x14ac:dyDescent="0.3">
      <c r="A1436" s="88" t="s">
        <v>716</v>
      </c>
      <c r="B1436" s="88">
        <v>9</v>
      </c>
      <c r="C1436" s="88">
        <v>39</v>
      </c>
      <c r="D1436" s="88" t="s">
        <v>93</v>
      </c>
      <c r="E1436" s="88" t="s">
        <v>731</v>
      </c>
      <c r="F1436" s="88" t="s">
        <v>1517</v>
      </c>
      <c r="G1436" s="88" t="s">
        <v>724</v>
      </c>
      <c r="H1436" s="88" t="s">
        <v>596</v>
      </c>
    </row>
    <row r="1437" spans="1:8" x14ac:dyDescent="0.3">
      <c r="A1437" s="88" t="s">
        <v>716</v>
      </c>
      <c r="B1437" s="88">
        <v>10</v>
      </c>
      <c r="C1437" s="88">
        <v>32</v>
      </c>
      <c r="D1437" s="88" t="s">
        <v>94</v>
      </c>
      <c r="E1437" s="88" t="s">
        <v>1518</v>
      </c>
      <c r="F1437" s="88" t="s">
        <v>1095</v>
      </c>
      <c r="G1437" s="88" t="s">
        <v>749</v>
      </c>
      <c r="H1437" s="88" t="s">
        <v>596</v>
      </c>
    </row>
    <row r="1438" spans="1:8" x14ac:dyDescent="0.3">
      <c r="A1438" s="88" t="s">
        <v>716</v>
      </c>
      <c r="B1438" s="88">
        <v>10</v>
      </c>
      <c r="C1438" s="88">
        <v>33</v>
      </c>
      <c r="D1438" s="88" t="s">
        <v>94</v>
      </c>
      <c r="E1438" s="88" t="s">
        <v>1095</v>
      </c>
      <c r="F1438" s="88" t="s">
        <v>1519</v>
      </c>
      <c r="G1438" s="88" t="s">
        <v>752</v>
      </c>
      <c r="H1438" s="88" t="s">
        <v>596</v>
      </c>
    </row>
    <row r="1439" spans="1:8" x14ac:dyDescent="0.3">
      <c r="A1439" s="88" t="s">
        <v>716</v>
      </c>
      <c r="B1439" s="88">
        <v>10</v>
      </c>
      <c r="C1439" s="88">
        <v>34</v>
      </c>
      <c r="D1439" s="88" t="s">
        <v>94</v>
      </c>
      <c r="E1439" s="88" t="s">
        <v>1519</v>
      </c>
      <c r="F1439" s="88" t="s">
        <v>1520</v>
      </c>
      <c r="G1439" s="88" t="s">
        <v>755</v>
      </c>
      <c r="H1439" s="88" t="s">
        <v>596</v>
      </c>
    </row>
    <row r="1440" spans="1:8" x14ac:dyDescent="0.3">
      <c r="A1440" s="88" t="s">
        <v>716</v>
      </c>
      <c r="B1440" s="88">
        <v>10</v>
      </c>
      <c r="C1440" s="88">
        <v>35</v>
      </c>
      <c r="D1440" s="88" t="s">
        <v>94</v>
      </c>
      <c r="E1440" s="88" t="s">
        <v>1520</v>
      </c>
      <c r="F1440" s="88" t="s">
        <v>1514</v>
      </c>
      <c r="G1440" s="88" t="s">
        <v>758</v>
      </c>
      <c r="H1440" s="88" t="s">
        <v>596</v>
      </c>
    </row>
    <row r="1441" spans="1:8" ht="28.8" x14ac:dyDescent="0.3">
      <c r="A1441" s="88" t="s">
        <v>716</v>
      </c>
      <c r="B1441" s="88">
        <v>10</v>
      </c>
      <c r="C1441" s="88">
        <v>38</v>
      </c>
      <c r="D1441" s="88" t="s">
        <v>94</v>
      </c>
      <c r="E1441" s="88" t="s">
        <v>1521</v>
      </c>
      <c r="F1441" s="88" t="s">
        <v>733</v>
      </c>
      <c r="G1441" s="88" t="s">
        <v>719</v>
      </c>
      <c r="H1441" s="88" t="s">
        <v>596</v>
      </c>
    </row>
    <row r="1442" spans="1:8" ht="28.8" x14ac:dyDescent="0.3">
      <c r="A1442" s="88" t="s">
        <v>716</v>
      </c>
      <c r="B1442" s="88">
        <v>10</v>
      </c>
      <c r="C1442" s="88">
        <v>39</v>
      </c>
      <c r="D1442" s="88" t="s">
        <v>94</v>
      </c>
      <c r="E1442" s="88" t="s">
        <v>717</v>
      </c>
      <c r="F1442" s="88" t="s">
        <v>1522</v>
      </c>
      <c r="G1442" s="88" t="s">
        <v>724</v>
      </c>
      <c r="H1442" s="88" t="s">
        <v>596</v>
      </c>
    </row>
    <row r="1443" spans="1:8" x14ac:dyDescent="0.3">
      <c r="A1443" s="88" t="s">
        <v>716</v>
      </c>
      <c r="B1443" s="88">
        <v>11</v>
      </c>
      <c r="C1443" s="88">
        <v>32</v>
      </c>
      <c r="D1443" s="88" t="s">
        <v>95</v>
      </c>
      <c r="E1443" s="88" t="s">
        <v>1523</v>
      </c>
      <c r="F1443" s="88" t="s">
        <v>1165</v>
      </c>
      <c r="G1443" s="88" t="s">
        <v>749</v>
      </c>
      <c r="H1443" s="88" t="s">
        <v>596</v>
      </c>
    </row>
    <row r="1444" spans="1:8" x14ac:dyDescent="0.3">
      <c r="A1444" s="88" t="s">
        <v>716</v>
      </c>
      <c r="B1444" s="88">
        <v>11</v>
      </c>
      <c r="C1444" s="88">
        <v>33</v>
      </c>
      <c r="D1444" s="88" t="s">
        <v>95</v>
      </c>
      <c r="E1444" s="88" t="s">
        <v>1165</v>
      </c>
      <c r="F1444" s="88" t="s">
        <v>1524</v>
      </c>
      <c r="G1444" s="88" t="s">
        <v>752</v>
      </c>
      <c r="H1444" s="88" t="s">
        <v>596</v>
      </c>
    </row>
    <row r="1445" spans="1:8" x14ac:dyDescent="0.3">
      <c r="A1445" s="88" t="s">
        <v>716</v>
      </c>
      <c r="B1445" s="88">
        <v>11</v>
      </c>
      <c r="C1445" s="88">
        <v>34</v>
      </c>
      <c r="D1445" s="88" t="s">
        <v>95</v>
      </c>
      <c r="E1445" s="88" t="s">
        <v>1524</v>
      </c>
      <c r="F1445" s="88" t="s">
        <v>787</v>
      </c>
      <c r="G1445" s="88" t="s">
        <v>755</v>
      </c>
      <c r="H1445" s="88" t="s">
        <v>596</v>
      </c>
    </row>
    <row r="1446" spans="1:8" x14ac:dyDescent="0.3">
      <c r="A1446" s="88" t="s">
        <v>716</v>
      </c>
      <c r="B1446" s="88">
        <v>11</v>
      </c>
      <c r="C1446" s="88">
        <v>35</v>
      </c>
      <c r="D1446" s="88" t="s">
        <v>95</v>
      </c>
      <c r="E1446" s="88" t="s">
        <v>787</v>
      </c>
      <c r="F1446" s="88" t="s">
        <v>882</v>
      </c>
      <c r="G1446" s="88" t="s">
        <v>758</v>
      </c>
      <c r="H1446" s="88" t="s">
        <v>596</v>
      </c>
    </row>
    <row r="1447" spans="1:8" ht="28.8" x14ac:dyDescent="0.3">
      <c r="A1447" s="88" t="s">
        <v>716</v>
      </c>
      <c r="B1447" s="88">
        <v>11</v>
      </c>
      <c r="C1447" s="88">
        <v>38</v>
      </c>
      <c r="D1447" s="88" t="s">
        <v>95</v>
      </c>
      <c r="E1447" s="88" t="s">
        <v>1525</v>
      </c>
      <c r="F1447" s="88"/>
      <c r="G1447" s="88" t="s">
        <v>719</v>
      </c>
      <c r="H1447" s="88" t="s">
        <v>596</v>
      </c>
    </row>
    <row r="1448" spans="1:8" ht="28.8" x14ac:dyDescent="0.3">
      <c r="A1448" s="88" t="s">
        <v>716</v>
      </c>
      <c r="B1448" s="88">
        <v>11</v>
      </c>
      <c r="C1448" s="88">
        <v>39</v>
      </c>
      <c r="D1448" s="88" t="s">
        <v>95</v>
      </c>
      <c r="E1448" s="88" t="s">
        <v>734</v>
      </c>
      <c r="F1448" s="88" t="s">
        <v>736</v>
      </c>
      <c r="G1448" s="88" t="s">
        <v>724</v>
      </c>
      <c r="H1448" s="88" t="s">
        <v>596</v>
      </c>
    </row>
    <row r="1449" spans="1:8" x14ac:dyDescent="0.3">
      <c r="A1449" s="88" t="s">
        <v>716</v>
      </c>
      <c r="B1449" s="88">
        <v>12</v>
      </c>
      <c r="C1449" s="88">
        <v>32</v>
      </c>
      <c r="D1449" s="88" t="s">
        <v>96</v>
      </c>
      <c r="E1449" s="88" t="s">
        <v>1526</v>
      </c>
      <c r="F1449" s="88" t="s">
        <v>1000</v>
      </c>
      <c r="G1449" s="88" t="s">
        <v>749</v>
      </c>
      <c r="H1449" s="88" t="s">
        <v>596</v>
      </c>
    </row>
    <row r="1450" spans="1:8" x14ac:dyDescent="0.3">
      <c r="A1450" s="88" t="s">
        <v>716</v>
      </c>
      <c r="B1450" s="88">
        <v>12</v>
      </c>
      <c r="C1450" s="88">
        <v>33</v>
      </c>
      <c r="D1450" s="88" t="s">
        <v>96</v>
      </c>
      <c r="E1450" s="88" t="s">
        <v>1000</v>
      </c>
      <c r="F1450" s="88" t="s">
        <v>1283</v>
      </c>
      <c r="G1450" s="88" t="s">
        <v>752</v>
      </c>
      <c r="H1450" s="88" t="s">
        <v>596</v>
      </c>
    </row>
    <row r="1451" spans="1:8" x14ac:dyDescent="0.3">
      <c r="A1451" s="88" t="s">
        <v>716</v>
      </c>
      <c r="B1451" s="88">
        <v>12</v>
      </c>
      <c r="C1451" s="88">
        <v>34</v>
      </c>
      <c r="D1451" s="88" t="s">
        <v>96</v>
      </c>
      <c r="E1451" s="88" t="s">
        <v>1283</v>
      </c>
      <c r="F1451" s="88" t="s">
        <v>1527</v>
      </c>
      <c r="G1451" s="88" t="s">
        <v>755</v>
      </c>
      <c r="H1451" s="88" t="s">
        <v>596</v>
      </c>
    </row>
    <row r="1452" spans="1:8" x14ac:dyDescent="0.3">
      <c r="A1452" s="88" t="s">
        <v>716</v>
      </c>
      <c r="B1452" s="88">
        <v>12</v>
      </c>
      <c r="C1452" s="88">
        <v>35</v>
      </c>
      <c r="D1452" s="88" t="s">
        <v>96</v>
      </c>
      <c r="E1452" s="88" t="s">
        <v>1527</v>
      </c>
      <c r="F1452" s="88" t="s">
        <v>1262</v>
      </c>
      <c r="G1452" s="88" t="s">
        <v>758</v>
      </c>
      <c r="H1452" s="88" t="s">
        <v>596</v>
      </c>
    </row>
    <row r="1453" spans="1:8" ht="28.8" x14ac:dyDescent="0.3">
      <c r="A1453" s="88" t="s">
        <v>716</v>
      </c>
      <c r="B1453" s="88">
        <v>12</v>
      </c>
      <c r="C1453" s="88">
        <v>38</v>
      </c>
      <c r="D1453" s="88" t="s">
        <v>96</v>
      </c>
      <c r="E1453" s="88" t="s">
        <v>1086</v>
      </c>
      <c r="F1453" s="88" t="s">
        <v>738</v>
      </c>
      <c r="G1453" s="88" t="s">
        <v>719</v>
      </c>
      <c r="H1453" s="88" t="s">
        <v>596</v>
      </c>
    </row>
    <row r="1454" spans="1:8" ht="28.8" x14ac:dyDescent="0.3">
      <c r="A1454" s="88" t="s">
        <v>716</v>
      </c>
      <c r="B1454" s="88">
        <v>12</v>
      </c>
      <c r="C1454" s="88">
        <v>39</v>
      </c>
      <c r="D1454" s="88" t="s">
        <v>96</v>
      </c>
      <c r="E1454" s="88" t="s">
        <v>737</v>
      </c>
      <c r="F1454" s="88" t="s">
        <v>1528</v>
      </c>
      <c r="G1454" s="88" t="s">
        <v>724</v>
      </c>
      <c r="H1454" s="88" t="s">
        <v>596</v>
      </c>
    </row>
    <row r="1455" spans="1:8" x14ac:dyDescent="0.3">
      <c r="A1455" s="88" t="s">
        <v>716</v>
      </c>
      <c r="B1455" s="88">
        <v>13</v>
      </c>
      <c r="C1455" s="88">
        <v>32</v>
      </c>
      <c r="D1455" s="88" t="s">
        <v>97</v>
      </c>
      <c r="E1455" s="88" t="s">
        <v>1529</v>
      </c>
      <c r="F1455" s="88" t="s">
        <v>1269</v>
      </c>
      <c r="G1455" s="88" t="s">
        <v>749</v>
      </c>
      <c r="H1455" s="88" t="s">
        <v>596</v>
      </c>
    </row>
    <row r="1456" spans="1:8" x14ac:dyDescent="0.3">
      <c r="A1456" s="88" t="s">
        <v>716</v>
      </c>
      <c r="B1456" s="88">
        <v>13</v>
      </c>
      <c r="C1456" s="88">
        <v>33</v>
      </c>
      <c r="D1456" s="88" t="s">
        <v>97</v>
      </c>
      <c r="E1456" s="88" t="s">
        <v>1269</v>
      </c>
      <c r="F1456" s="88" t="s">
        <v>1082</v>
      </c>
      <c r="G1456" s="88" t="s">
        <v>752</v>
      </c>
      <c r="H1456" s="88" t="s">
        <v>596</v>
      </c>
    </row>
    <row r="1457" spans="1:8" x14ac:dyDescent="0.3">
      <c r="A1457" s="88" t="s">
        <v>716</v>
      </c>
      <c r="B1457" s="88">
        <v>13</v>
      </c>
      <c r="C1457" s="88">
        <v>34</v>
      </c>
      <c r="D1457" s="88" t="s">
        <v>97</v>
      </c>
      <c r="E1457" s="88" t="s">
        <v>1082</v>
      </c>
      <c r="F1457" s="88" t="s">
        <v>1530</v>
      </c>
      <c r="G1457" s="88" t="s">
        <v>755</v>
      </c>
      <c r="H1457" s="88" t="s">
        <v>596</v>
      </c>
    </row>
    <row r="1458" spans="1:8" x14ac:dyDescent="0.3">
      <c r="A1458" s="88" t="s">
        <v>716</v>
      </c>
      <c r="B1458" s="88">
        <v>13</v>
      </c>
      <c r="C1458" s="88">
        <v>35</v>
      </c>
      <c r="D1458" s="88" t="s">
        <v>97</v>
      </c>
      <c r="E1458" s="88" t="s">
        <v>1530</v>
      </c>
      <c r="F1458" s="88" t="s">
        <v>1414</v>
      </c>
      <c r="G1458" s="88" t="s">
        <v>758</v>
      </c>
      <c r="H1458" s="88" t="s">
        <v>596</v>
      </c>
    </row>
    <row r="1459" spans="1:8" ht="28.8" x14ac:dyDescent="0.3">
      <c r="A1459" s="88" t="s">
        <v>716</v>
      </c>
      <c r="B1459" s="88">
        <v>13</v>
      </c>
      <c r="C1459" s="88">
        <v>38</v>
      </c>
      <c r="D1459" s="88" t="s">
        <v>97</v>
      </c>
      <c r="E1459" s="88" t="s">
        <v>1531</v>
      </c>
      <c r="F1459" s="88" t="s">
        <v>740</v>
      </c>
      <c r="G1459" s="88" t="s">
        <v>719</v>
      </c>
      <c r="H1459" s="88" t="s">
        <v>596</v>
      </c>
    </row>
    <row r="1460" spans="1:8" ht="28.8" x14ac:dyDescent="0.3">
      <c r="A1460" s="88" t="s">
        <v>716</v>
      </c>
      <c r="B1460" s="88">
        <v>13</v>
      </c>
      <c r="C1460" s="88">
        <v>39</v>
      </c>
      <c r="D1460" s="88" t="s">
        <v>97</v>
      </c>
      <c r="E1460" s="88" t="s">
        <v>739</v>
      </c>
      <c r="F1460" s="88" t="s">
        <v>742</v>
      </c>
      <c r="G1460" s="88" t="s">
        <v>724</v>
      </c>
      <c r="H1460" s="88" t="s">
        <v>596</v>
      </c>
    </row>
    <row r="1461" spans="1:8" x14ac:dyDescent="0.3">
      <c r="A1461" s="88" t="s">
        <v>716</v>
      </c>
      <c r="B1461" s="88">
        <v>14</v>
      </c>
      <c r="C1461" s="88">
        <v>32</v>
      </c>
      <c r="D1461" s="88" t="s">
        <v>98</v>
      </c>
      <c r="E1461" s="88" t="s">
        <v>1532</v>
      </c>
      <c r="F1461" s="88" t="s">
        <v>824</v>
      </c>
      <c r="G1461" s="88" t="s">
        <v>749</v>
      </c>
      <c r="H1461" s="88" t="s">
        <v>596</v>
      </c>
    </row>
    <row r="1462" spans="1:8" x14ac:dyDescent="0.3">
      <c r="A1462" s="88" t="s">
        <v>716</v>
      </c>
      <c r="B1462" s="88">
        <v>14</v>
      </c>
      <c r="C1462" s="88">
        <v>33</v>
      </c>
      <c r="D1462" s="88" t="s">
        <v>98</v>
      </c>
      <c r="E1462" s="88" t="s">
        <v>824</v>
      </c>
      <c r="F1462" s="88" t="s">
        <v>791</v>
      </c>
      <c r="G1462" s="88" t="s">
        <v>752</v>
      </c>
      <c r="H1462" s="88" t="s">
        <v>596</v>
      </c>
    </row>
    <row r="1463" spans="1:8" x14ac:dyDescent="0.3">
      <c r="A1463" s="88" t="s">
        <v>716</v>
      </c>
      <c r="B1463" s="88">
        <v>14</v>
      </c>
      <c r="C1463" s="88">
        <v>34</v>
      </c>
      <c r="D1463" s="88" t="s">
        <v>98</v>
      </c>
      <c r="E1463" s="88" t="s">
        <v>791</v>
      </c>
      <c r="F1463" s="88" t="s">
        <v>1324</v>
      </c>
      <c r="G1463" s="88" t="s">
        <v>755</v>
      </c>
      <c r="H1463" s="88" t="s">
        <v>596</v>
      </c>
    </row>
    <row r="1464" spans="1:8" x14ac:dyDescent="0.3">
      <c r="A1464" s="88" t="s">
        <v>716</v>
      </c>
      <c r="B1464" s="88">
        <v>14</v>
      </c>
      <c r="C1464" s="88">
        <v>35</v>
      </c>
      <c r="D1464" s="88" t="s">
        <v>98</v>
      </c>
      <c r="E1464" s="88" t="s">
        <v>1324</v>
      </c>
      <c r="F1464" s="88" t="s">
        <v>1089</v>
      </c>
      <c r="G1464" s="88" t="s">
        <v>758</v>
      </c>
      <c r="H1464" s="88" t="s">
        <v>596</v>
      </c>
    </row>
    <row r="1465" spans="1:8" ht="28.8" x14ac:dyDescent="0.3">
      <c r="A1465" s="88" t="s">
        <v>716</v>
      </c>
      <c r="B1465" s="88">
        <v>14</v>
      </c>
      <c r="C1465" s="88">
        <v>38</v>
      </c>
      <c r="D1465" s="88" t="s">
        <v>98</v>
      </c>
      <c r="E1465" s="88" t="s">
        <v>1533</v>
      </c>
      <c r="F1465" s="88" t="s">
        <v>744</v>
      </c>
      <c r="G1465" s="88" t="s">
        <v>719</v>
      </c>
      <c r="H1465" s="88" t="s">
        <v>596</v>
      </c>
    </row>
    <row r="1466" spans="1:8" ht="28.8" x14ac:dyDescent="0.3">
      <c r="A1466" s="88" t="s">
        <v>716</v>
      </c>
      <c r="B1466" s="88">
        <v>14</v>
      </c>
      <c r="C1466" s="88">
        <v>39</v>
      </c>
      <c r="D1466" s="88" t="s">
        <v>98</v>
      </c>
      <c r="E1466" s="88" t="s">
        <v>743</v>
      </c>
      <c r="F1466" s="88" t="s">
        <v>1534</v>
      </c>
      <c r="G1466" s="88" t="s">
        <v>724</v>
      </c>
      <c r="H1466" s="88" t="s">
        <v>596</v>
      </c>
    </row>
    <row r="1467" spans="1:8" x14ac:dyDescent="0.3">
      <c r="A1467" s="88" t="s">
        <v>716</v>
      </c>
      <c r="B1467" s="88">
        <v>15</v>
      </c>
      <c r="C1467" s="88">
        <v>32</v>
      </c>
      <c r="D1467" s="88" t="s">
        <v>99</v>
      </c>
      <c r="E1467" s="88" t="s">
        <v>1535</v>
      </c>
      <c r="F1467" s="88" t="s">
        <v>879</v>
      </c>
      <c r="G1467" s="88" t="s">
        <v>749</v>
      </c>
      <c r="H1467" s="88" t="s">
        <v>596</v>
      </c>
    </row>
    <row r="1468" spans="1:8" x14ac:dyDescent="0.3">
      <c r="A1468" s="88" t="s">
        <v>716</v>
      </c>
      <c r="B1468" s="88">
        <v>15</v>
      </c>
      <c r="C1468" s="88">
        <v>33</v>
      </c>
      <c r="D1468" s="88" t="s">
        <v>99</v>
      </c>
      <c r="E1468" s="88" t="s">
        <v>879</v>
      </c>
      <c r="F1468" s="88" t="s">
        <v>1245</v>
      </c>
      <c r="G1468" s="88" t="s">
        <v>752</v>
      </c>
      <c r="H1468" s="88" t="s">
        <v>596</v>
      </c>
    </row>
    <row r="1469" spans="1:8" x14ac:dyDescent="0.3">
      <c r="A1469" s="88" t="s">
        <v>716</v>
      </c>
      <c r="B1469" s="88">
        <v>15</v>
      </c>
      <c r="C1469" s="88">
        <v>34</v>
      </c>
      <c r="D1469" s="88" t="s">
        <v>99</v>
      </c>
      <c r="E1469" s="88" t="s">
        <v>1245</v>
      </c>
      <c r="F1469" s="88" t="s">
        <v>817</v>
      </c>
      <c r="G1469" s="88" t="s">
        <v>755</v>
      </c>
      <c r="H1469" s="88" t="s">
        <v>596</v>
      </c>
    </row>
    <row r="1470" spans="1:8" x14ac:dyDescent="0.3">
      <c r="A1470" s="88" t="s">
        <v>716</v>
      </c>
      <c r="B1470" s="88">
        <v>15</v>
      </c>
      <c r="C1470" s="88">
        <v>35</v>
      </c>
      <c r="D1470" s="88" t="s">
        <v>99</v>
      </c>
      <c r="E1470" s="88" t="s">
        <v>817</v>
      </c>
      <c r="F1470" s="88" t="s">
        <v>832</v>
      </c>
      <c r="G1470" s="88" t="s">
        <v>758</v>
      </c>
      <c r="H1470" s="88" t="s">
        <v>596</v>
      </c>
    </row>
    <row r="1471" spans="1:8" ht="28.8" x14ac:dyDescent="0.3">
      <c r="A1471" s="88" t="s">
        <v>716</v>
      </c>
      <c r="B1471" s="88">
        <v>15</v>
      </c>
      <c r="C1471" s="88">
        <v>38</v>
      </c>
      <c r="D1471" s="88" t="s">
        <v>99</v>
      </c>
      <c r="E1471" s="88" t="s">
        <v>1536</v>
      </c>
      <c r="F1471" s="88" t="s">
        <v>746</v>
      </c>
      <c r="G1471" s="88" t="s">
        <v>719</v>
      </c>
      <c r="H1471" s="88" t="s">
        <v>596</v>
      </c>
    </row>
    <row r="1472" spans="1:8" ht="28.8" x14ac:dyDescent="0.3">
      <c r="A1472" s="88" t="s">
        <v>716</v>
      </c>
      <c r="B1472" s="88">
        <v>15</v>
      </c>
      <c r="C1472" s="88">
        <v>39</v>
      </c>
      <c r="D1472" s="88" t="s">
        <v>99</v>
      </c>
      <c r="E1472" s="88" t="s">
        <v>745</v>
      </c>
      <c r="F1472" s="88" t="s">
        <v>1537</v>
      </c>
      <c r="G1472" s="88" t="s">
        <v>724</v>
      </c>
      <c r="H1472" s="88" t="s">
        <v>596</v>
      </c>
    </row>
    <row r="1473" spans="1:8" x14ac:dyDescent="0.3">
      <c r="A1473" s="88" t="s">
        <v>716</v>
      </c>
      <c r="B1473" s="88">
        <v>16</v>
      </c>
      <c r="C1473" s="88">
        <v>32</v>
      </c>
      <c r="D1473" s="88" t="s">
        <v>100</v>
      </c>
      <c r="E1473" s="88" t="s">
        <v>1538</v>
      </c>
      <c r="F1473" s="88" t="s">
        <v>748</v>
      </c>
      <c r="G1473" s="88" t="s">
        <v>749</v>
      </c>
      <c r="H1473" s="88" t="s">
        <v>596</v>
      </c>
    </row>
    <row r="1474" spans="1:8" x14ac:dyDescent="0.3">
      <c r="A1474" s="88" t="s">
        <v>716</v>
      </c>
      <c r="B1474" s="88">
        <v>16</v>
      </c>
      <c r="C1474" s="88">
        <v>33</v>
      </c>
      <c r="D1474" s="88" t="s">
        <v>100</v>
      </c>
      <c r="E1474" s="88" t="s">
        <v>747</v>
      </c>
      <c r="F1474" s="88" t="s">
        <v>751</v>
      </c>
      <c r="G1474" s="88" t="s">
        <v>752</v>
      </c>
      <c r="H1474" s="88" t="s">
        <v>596</v>
      </c>
    </row>
    <row r="1475" spans="1:8" x14ac:dyDescent="0.3">
      <c r="A1475" s="88" t="s">
        <v>716</v>
      </c>
      <c r="B1475" s="88">
        <v>16</v>
      </c>
      <c r="C1475" s="88">
        <v>34</v>
      </c>
      <c r="D1475" s="88" t="s">
        <v>100</v>
      </c>
      <c r="E1475" s="88" t="s">
        <v>750</v>
      </c>
      <c r="F1475" s="88" t="s">
        <v>754</v>
      </c>
      <c r="G1475" s="88" t="s">
        <v>755</v>
      </c>
      <c r="H1475" s="88" t="s">
        <v>596</v>
      </c>
    </row>
    <row r="1476" spans="1:8" x14ac:dyDescent="0.3">
      <c r="A1476" s="88" t="s">
        <v>716</v>
      </c>
      <c r="B1476" s="88">
        <v>16</v>
      </c>
      <c r="C1476" s="88">
        <v>35</v>
      </c>
      <c r="D1476" s="88" t="s">
        <v>100</v>
      </c>
      <c r="E1476" s="88" t="s">
        <v>753</v>
      </c>
      <c r="F1476" s="88" t="s">
        <v>757</v>
      </c>
      <c r="G1476" s="88" t="s">
        <v>758</v>
      </c>
      <c r="H1476" s="88" t="s">
        <v>596</v>
      </c>
    </row>
    <row r="1477" spans="1:8" ht="28.8" x14ac:dyDescent="0.3">
      <c r="A1477" s="88" t="s">
        <v>716</v>
      </c>
      <c r="B1477" s="88">
        <v>16</v>
      </c>
      <c r="C1477" s="88">
        <v>38</v>
      </c>
      <c r="D1477" s="88" t="s">
        <v>100</v>
      </c>
      <c r="E1477" s="88" t="s">
        <v>1539</v>
      </c>
      <c r="F1477" s="88" t="s">
        <v>760</v>
      </c>
      <c r="G1477" s="88" t="s">
        <v>719</v>
      </c>
      <c r="H1477" s="88" t="s">
        <v>596</v>
      </c>
    </row>
    <row r="1478" spans="1:8" ht="28.8" x14ac:dyDescent="0.3">
      <c r="A1478" s="88" t="s">
        <v>716</v>
      </c>
      <c r="B1478" s="88">
        <v>16</v>
      </c>
      <c r="C1478" s="88">
        <v>39</v>
      </c>
      <c r="D1478" s="88" t="s">
        <v>100</v>
      </c>
      <c r="E1478" s="88" t="s">
        <v>759</v>
      </c>
      <c r="F1478" s="88" t="s">
        <v>762</v>
      </c>
      <c r="G1478" s="88" t="s">
        <v>724</v>
      </c>
      <c r="H1478" s="88" t="s">
        <v>596</v>
      </c>
    </row>
    <row r="1479" spans="1:8" x14ac:dyDescent="0.3">
      <c r="A1479" s="88" t="s">
        <v>716</v>
      </c>
      <c r="B1479" s="88">
        <v>17</v>
      </c>
      <c r="C1479" s="88">
        <v>32</v>
      </c>
      <c r="D1479" s="88" t="s">
        <v>101</v>
      </c>
      <c r="E1479" s="88" t="s">
        <v>1540</v>
      </c>
      <c r="F1479" s="88" t="s">
        <v>747</v>
      </c>
      <c r="G1479" s="88" t="s">
        <v>749</v>
      </c>
      <c r="H1479" s="88" t="s">
        <v>596</v>
      </c>
    </row>
    <row r="1480" spans="1:8" x14ac:dyDescent="0.3">
      <c r="A1480" s="88" t="s">
        <v>716</v>
      </c>
      <c r="B1480" s="88">
        <v>17</v>
      </c>
      <c r="C1480" s="88">
        <v>33</v>
      </c>
      <c r="D1480" s="88" t="s">
        <v>101</v>
      </c>
      <c r="E1480" s="88" t="s">
        <v>763</v>
      </c>
      <c r="F1480" s="88" t="s">
        <v>750</v>
      </c>
      <c r="G1480" s="88" t="s">
        <v>752</v>
      </c>
      <c r="H1480" s="88" t="s">
        <v>596</v>
      </c>
    </row>
    <row r="1481" spans="1:8" x14ac:dyDescent="0.3">
      <c r="A1481" s="88" t="s">
        <v>716</v>
      </c>
      <c r="B1481" s="88">
        <v>17</v>
      </c>
      <c r="C1481" s="88">
        <v>34</v>
      </c>
      <c r="D1481" s="88" t="s">
        <v>101</v>
      </c>
      <c r="E1481" s="88" t="s">
        <v>764</v>
      </c>
      <c r="F1481" s="88" t="s">
        <v>753</v>
      </c>
      <c r="G1481" s="88" t="s">
        <v>755</v>
      </c>
      <c r="H1481" s="88" t="s">
        <v>596</v>
      </c>
    </row>
    <row r="1482" spans="1:8" x14ac:dyDescent="0.3">
      <c r="A1482" s="88" t="s">
        <v>716</v>
      </c>
      <c r="B1482" s="88">
        <v>17</v>
      </c>
      <c r="C1482" s="88">
        <v>35</v>
      </c>
      <c r="D1482" s="88" t="s">
        <v>101</v>
      </c>
      <c r="E1482" s="88" t="s">
        <v>765</v>
      </c>
      <c r="F1482" s="88" t="s">
        <v>756</v>
      </c>
      <c r="G1482" s="88" t="s">
        <v>758</v>
      </c>
      <c r="H1482" s="88" t="s">
        <v>596</v>
      </c>
    </row>
    <row r="1483" spans="1:8" ht="28.8" x14ac:dyDescent="0.3">
      <c r="A1483" s="88" t="s">
        <v>716</v>
      </c>
      <c r="B1483" s="88">
        <v>17</v>
      </c>
      <c r="C1483" s="88">
        <v>38</v>
      </c>
      <c r="D1483" s="88" t="s">
        <v>101</v>
      </c>
      <c r="E1483" s="88" t="s">
        <v>1541</v>
      </c>
      <c r="F1483" s="88" t="s">
        <v>768</v>
      </c>
      <c r="G1483" s="88" t="s">
        <v>719</v>
      </c>
      <c r="H1483" s="88" t="s">
        <v>596</v>
      </c>
    </row>
    <row r="1484" spans="1:8" ht="28.8" x14ac:dyDescent="0.3">
      <c r="A1484" s="88" t="s">
        <v>716</v>
      </c>
      <c r="B1484" s="88">
        <v>17</v>
      </c>
      <c r="C1484" s="88">
        <v>39</v>
      </c>
      <c r="D1484" s="88" t="s">
        <v>101</v>
      </c>
      <c r="E1484" s="88" t="s">
        <v>767</v>
      </c>
      <c r="F1484" s="88" t="s">
        <v>770</v>
      </c>
      <c r="G1484" s="88" t="s">
        <v>724</v>
      </c>
      <c r="H1484" s="88" t="s">
        <v>596</v>
      </c>
    </row>
    <row r="1485" spans="1:8" ht="28.8" x14ac:dyDescent="0.3">
      <c r="A1485" s="88" t="s">
        <v>716</v>
      </c>
      <c r="B1485" s="88">
        <v>18</v>
      </c>
      <c r="C1485" s="88">
        <v>32</v>
      </c>
      <c r="D1485" s="88" t="s">
        <v>102</v>
      </c>
      <c r="E1485" s="88" t="s">
        <v>1542</v>
      </c>
      <c r="F1485" s="88" t="s">
        <v>763</v>
      </c>
      <c r="G1485" s="88" t="s">
        <v>749</v>
      </c>
      <c r="H1485" s="88" t="s">
        <v>596</v>
      </c>
    </row>
    <row r="1486" spans="1:8" x14ac:dyDescent="0.3">
      <c r="A1486" s="88" t="s">
        <v>716</v>
      </c>
      <c r="B1486" s="88">
        <v>18</v>
      </c>
      <c r="C1486" s="88">
        <v>33</v>
      </c>
      <c r="D1486" s="88" t="s">
        <v>102</v>
      </c>
      <c r="E1486" s="88" t="s">
        <v>771</v>
      </c>
      <c r="F1486" s="88" t="s">
        <v>764</v>
      </c>
      <c r="G1486" s="88" t="s">
        <v>752</v>
      </c>
      <c r="H1486" s="88" t="s">
        <v>596</v>
      </c>
    </row>
    <row r="1487" spans="1:8" x14ac:dyDescent="0.3">
      <c r="A1487" s="88" t="s">
        <v>716</v>
      </c>
      <c r="B1487" s="88">
        <v>18</v>
      </c>
      <c r="C1487" s="88">
        <v>34</v>
      </c>
      <c r="D1487" s="88" t="s">
        <v>102</v>
      </c>
      <c r="E1487" s="88" t="s">
        <v>772</v>
      </c>
      <c r="F1487" s="88" t="s">
        <v>765</v>
      </c>
      <c r="G1487" s="88" t="s">
        <v>755</v>
      </c>
      <c r="H1487" s="88" t="s">
        <v>596</v>
      </c>
    </row>
    <row r="1488" spans="1:8" x14ac:dyDescent="0.3">
      <c r="A1488" s="88" t="s">
        <v>716</v>
      </c>
      <c r="B1488" s="88">
        <v>18</v>
      </c>
      <c r="C1488" s="88">
        <v>35</v>
      </c>
      <c r="D1488" s="88" t="s">
        <v>102</v>
      </c>
      <c r="E1488" s="88" t="s">
        <v>773</v>
      </c>
      <c r="F1488" s="88" t="s">
        <v>766</v>
      </c>
      <c r="G1488" s="88" t="s">
        <v>758</v>
      </c>
      <c r="H1488" s="88" t="s">
        <v>596</v>
      </c>
    </row>
    <row r="1489" spans="1:8" ht="28.8" x14ac:dyDescent="0.3">
      <c r="A1489" s="88" t="s">
        <v>716</v>
      </c>
      <c r="B1489" s="88">
        <v>18</v>
      </c>
      <c r="C1489" s="88">
        <v>38</v>
      </c>
      <c r="D1489" s="88" t="s">
        <v>102</v>
      </c>
      <c r="E1489" s="88" t="s">
        <v>1543</v>
      </c>
      <c r="F1489" s="88" t="s">
        <v>776</v>
      </c>
      <c r="G1489" s="88" t="s">
        <v>719</v>
      </c>
      <c r="H1489" s="88" t="s">
        <v>596</v>
      </c>
    </row>
    <row r="1490" spans="1:8" ht="28.8" x14ac:dyDescent="0.3">
      <c r="A1490" s="88" t="s">
        <v>716</v>
      </c>
      <c r="B1490" s="88">
        <v>18</v>
      </c>
      <c r="C1490" s="88">
        <v>39</v>
      </c>
      <c r="D1490" s="88" t="s">
        <v>102</v>
      </c>
      <c r="E1490" s="88" t="s">
        <v>775</v>
      </c>
      <c r="F1490" s="88" t="s">
        <v>778</v>
      </c>
      <c r="G1490" s="88" t="s">
        <v>724</v>
      </c>
      <c r="H1490" s="88" t="s">
        <v>596</v>
      </c>
    </row>
    <row r="1491" spans="1:8" x14ac:dyDescent="0.3">
      <c r="A1491" s="88" t="s">
        <v>716</v>
      </c>
      <c r="B1491" s="88">
        <v>19</v>
      </c>
      <c r="C1491" s="88">
        <v>32</v>
      </c>
      <c r="D1491" s="88" t="s">
        <v>103</v>
      </c>
      <c r="E1491" s="88" t="s">
        <v>1544</v>
      </c>
      <c r="F1491" s="88" t="s">
        <v>771</v>
      </c>
      <c r="G1491" s="88" t="s">
        <v>749</v>
      </c>
      <c r="H1491" s="88" t="s">
        <v>596</v>
      </c>
    </row>
    <row r="1492" spans="1:8" x14ac:dyDescent="0.3">
      <c r="A1492" s="88" t="s">
        <v>716</v>
      </c>
      <c r="B1492" s="88">
        <v>19</v>
      </c>
      <c r="C1492" s="88">
        <v>33</v>
      </c>
      <c r="D1492" s="88" t="s">
        <v>103</v>
      </c>
      <c r="E1492" s="88" t="s">
        <v>705</v>
      </c>
      <c r="F1492" s="88" t="s">
        <v>772</v>
      </c>
      <c r="G1492" s="88" t="s">
        <v>752</v>
      </c>
      <c r="H1492" s="88" t="s">
        <v>596</v>
      </c>
    </row>
    <row r="1493" spans="1:8" x14ac:dyDescent="0.3">
      <c r="A1493" s="88" t="s">
        <v>716</v>
      </c>
      <c r="B1493" s="88">
        <v>19</v>
      </c>
      <c r="C1493" s="88">
        <v>34</v>
      </c>
      <c r="D1493" s="88" t="s">
        <v>103</v>
      </c>
      <c r="E1493" s="88" t="s">
        <v>779</v>
      </c>
      <c r="F1493" s="88" t="s">
        <v>773</v>
      </c>
      <c r="G1493" s="88" t="s">
        <v>755</v>
      </c>
      <c r="H1493" s="88" t="s">
        <v>596</v>
      </c>
    </row>
    <row r="1494" spans="1:8" x14ac:dyDescent="0.3">
      <c r="A1494" s="88" t="s">
        <v>716</v>
      </c>
      <c r="B1494" s="88">
        <v>19</v>
      </c>
      <c r="C1494" s="88">
        <v>35</v>
      </c>
      <c r="D1494" s="88" t="s">
        <v>103</v>
      </c>
      <c r="E1494" s="88" t="s">
        <v>780</v>
      </c>
      <c r="F1494" s="88" t="s">
        <v>774</v>
      </c>
      <c r="G1494" s="88" t="s">
        <v>758</v>
      </c>
      <c r="H1494" s="88" t="s">
        <v>596</v>
      </c>
    </row>
    <row r="1495" spans="1:8" ht="28.8" x14ac:dyDescent="0.3">
      <c r="A1495" s="88" t="s">
        <v>716</v>
      </c>
      <c r="B1495" s="88">
        <v>19</v>
      </c>
      <c r="C1495" s="88">
        <v>38</v>
      </c>
      <c r="D1495" s="88" t="s">
        <v>103</v>
      </c>
      <c r="E1495" s="88" t="s">
        <v>1545</v>
      </c>
      <c r="F1495" s="88" t="s">
        <v>783</v>
      </c>
      <c r="G1495" s="88" t="s">
        <v>719</v>
      </c>
      <c r="H1495" s="88" t="s">
        <v>596</v>
      </c>
    </row>
    <row r="1496" spans="1:8" ht="28.8" x14ac:dyDescent="0.3">
      <c r="A1496" s="88" t="s">
        <v>716</v>
      </c>
      <c r="B1496" s="88">
        <v>19</v>
      </c>
      <c r="C1496" s="88">
        <v>39</v>
      </c>
      <c r="D1496" s="88" t="s">
        <v>103</v>
      </c>
      <c r="E1496" s="88" t="s">
        <v>782</v>
      </c>
      <c r="F1496" s="88" t="s">
        <v>666</v>
      </c>
      <c r="G1496" s="88" t="s">
        <v>724</v>
      </c>
      <c r="H1496" s="88" t="s">
        <v>596</v>
      </c>
    </row>
    <row r="1497" spans="1:8" x14ac:dyDescent="0.3">
      <c r="A1497" s="88" t="s">
        <v>716</v>
      </c>
      <c r="B1497" s="88">
        <v>20</v>
      </c>
      <c r="C1497" s="88">
        <v>32</v>
      </c>
      <c r="D1497" s="88" t="s">
        <v>104</v>
      </c>
      <c r="E1497" s="88" t="s">
        <v>928</v>
      </c>
      <c r="F1497" s="88" t="s">
        <v>705</v>
      </c>
      <c r="G1497" s="88" t="s">
        <v>749</v>
      </c>
      <c r="H1497" s="88" t="s">
        <v>596</v>
      </c>
    </row>
    <row r="1498" spans="1:8" x14ac:dyDescent="0.3">
      <c r="A1498" s="88" t="s">
        <v>716</v>
      </c>
      <c r="B1498" s="88">
        <v>20</v>
      </c>
      <c r="C1498" s="88">
        <v>33</v>
      </c>
      <c r="D1498" s="88" t="s">
        <v>104</v>
      </c>
      <c r="E1498" s="88" t="s">
        <v>784</v>
      </c>
      <c r="F1498" s="88" t="s">
        <v>779</v>
      </c>
      <c r="G1498" s="88" t="s">
        <v>752</v>
      </c>
      <c r="H1498" s="88" t="s">
        <v>596</v>
      </c>
    </row>
    <row r="1499" spans="1:8" x14ac:dyDescent="0.3">
      <c r="A1499" s="88" t="s">
        <v>716</v>
      </c>
      <c r="B1499" s="88">
        <v>20</v>
      </c>
      <c r="C1499" s="88">
        <v>34</v>
      </c>
      <c r="D1499" s="88" t="s">
        <v>104</v>
      </c>
      <c r="E1499" s="88" t="s">
        <v>785</v>
      </c>
      <c r="F1499" s="88" t="s">
        <v>780</v>
      </c>
      <c r="G1499" s="88" t="s">
        <v>755</v>
      </c>
      <c r="H1499" s="88" t="s">
        <v>596</v>
      </c>
    </row>
    <row r="1500" spans="1:8" x14ac:dyDescent="0.3">
      <c r="A1500" s="88" t="s">
        <v>716</v>
      </c>
      <c r="B1500" s="88">
        <v>20</v>
      </c>
      <c r="C1500" s="88">
        <v>35</v>
      </c>
      <c r="D1500" s="88" t="s">
        <v>104</v>
      </c>
      <c r="E1500" s="88" t="s">
        <v>786</v>
      </c>
      <c r="F1500" s="88" t="s">
        <v>781</v>
      </c>
      <c r="G1500" s="88" t="s">
        <v>758</v>
      </c>
      <c r="H1500" s="88" t="s">
        <v>596</v>
      </c>
    </row>
    <row r="1501" spans="1:8" ht="28.8" x14ac:dyDescent="0.3">
      <c r="A1501" s="88" t="s">
        <v>716</v>
      </c>
      <c r="B1501" s="88">
        <v>20</v>
      </c>
      <c r="C1501" s="88">
        <v>38</v>
      </c>
      <c r="D1501" s="88" t="s">
        <v>104</v>
      </c>
      <c r="E1501" s="88" t="s">
        <v>1546</v>
      </c>
      <c r="F1501" s="88" t="s">
        <v>789</v>
      </c>
      <c r="G1501" s="88" t="s">
        <v>719</v>
      </c>
      <c r="H1501" s="88" t="s">
        <v>596</v>
      </c>
    </row>
    <row r="1502" spans="1:8" ht="28.8" x14ac:dyDescent="0.3">
      <c r="A1502" s="88" t="s">
        <v>716</v>
      </c>
      <c r="B1502" s="88">
        <v>20</v>
      </c>
      <c r="C1502" s="88">
        <v>39</v>
      </c>
      <c r="D1502" s="88" t="s">
        <v>104</v>
      </c>
      <c r="E1502" s="88" t="s">
        <v>788</v>
      </c>
      <c r="F1502" s="88" t="s">
        <v>1547</v>
      </c>
      <c r="G1502" s="88" t="s">
        <v>724</v>
      </c>
      <c r="H1502" s="88" t="s">
        <v>596</v>
      </c>
    </row>
    <row r="1503" spans="1:8" x14ac:dyDescent="0.3">
      <c r="A1503" s="88" t="s">
        <v>716</v>
      </c>
      <c r="B1503" s="88">
        <v>21</v>
      </c>
      <c r="C1503" s="88">
        <v>32</v>
      </c>
      <c r="D1503" s="88" t="s">
        <v>105</v>
      </c>
      <c r="E1503" s="88" t="s">
        <v>1548</v>
      </c>
      <c r="F1503" s="88" t="s">
        <v>784</v>
      </c>
      <c r="G1503" s="88" t="s">
        <v>749</v>
      </c>
      <c r="H1503" s="88" t="s">
        <v>596</v>
      </c>
    </row>
    <row r="1504" spans="1:8" x14ac:dyDescent="0.3">
      <c r="A1504" s="88" t="s">
        <v>716</v>
      </c>
      <c r="B1504" s="88">
        <v>21</v>
      </c>
      <c r="C1504" s="88">
        <v>33</v>
      </c>
      <c r="D1504" s="88" t="s">
        <v>105</v>
      </c>
      <c r="E1504" s="88" t="s">
        <v>790</v>
      </c>
      <c r="F1504" s="88" t="s">
        <v>785</v>
      </c>
      <c r="G1504" s="88" t="s">
        <v>752</v>
      </c>
      <c r="H1504" s="88" t="s">
        <v>596</v>
      </c>
    </row>
    <row r="1505" spans="1:8" x14ac:dyDescent="0.3">
      <c r="A1505" s="88" t="s">
        <v>716</v>
      </c>
      <c r="B1505" s="88">
        <v>21</v>
      </c>
      <c r="C1505" s="88">
        <v>34</v>
      </c>
      <c r="D1505" s="88" t="s">
        <v>105</v>
      </c>
      <c r="E1505" s="88" t="s">
        <v>791</v>
      </c>
      <c r="F1505" s="88" t="s">
        <v>786</v>
      </c>
      <c r="G1505" s="88" t="s">
        <v>755</v>
      </c>
      <c r="H1505" s="88" t="s">
        <v>596</v>
      </c>
    </row>
    <row r="1506" spans="1:8" x14ac:dyDescent="0.3">
      <c r="A1506" s="88" t="s">
        <v>716</v>
      </c>
      <c r="B1506" s="88">
        <v>21</v>
      </c>
      <c r="C1506" s="88">
        <v>35</v>
      </c>
      <c r="D1506" s="88" t="s">
        <v>105</v>
      </c>
      <c r="E1506" s="88" t="s">
        <v>792</v>
      </c>
      <c r="F1506" s="88" t="s">
        <v>787</v>
      </c>
      <c r="G1506" s="88" t="s">
        <v>758</v>
      </c>
      <c r="H1506" s="88" t="s">
        <v>596</v>
      </c>
    </row>
    <row r="1507" spans="1:8" ht="28.8" x14ac:dyDescent="0.3">
      <c r="A1507" s="88" t="s">
        <v>716</v>
      </c>
      <c r="B1507" s="88">
        <v>21</v>
      </c>
      <c r="C1507" s="88">
        <v>38</v>
      </c>
      <c r="D1507" s="88" t="s">
        <v>105</v>
      </c>
      <c r="E1507" s="88" t="s">
        <v>1549</v>
      </c>
      <c r="F1507" s="88" t="s">
        <v>795</v>
      </c>
      <c r="G1507" s="88" t="s">
        <v>719</v>
      </c>
      <c r="H1507" s="88" t="s">
        <v>596</v>
      </c>
    </row>
    <row r="1508" spans="1:8" ht="28.8" x14ac:dyDescent="0.3">
      <c r="A1508" s="88" t="s">
        <v>716</v>
      </c>
      <c r="B1508" s="88">
        <v>21</v>
      </c>
      <c r="C1508" s="88">
        <v>39</v>
      </c>
      <c r="D1508" s="88" t="s">
        <v>105</v>
      </c>
      <c r="E1508" s="88" t="s">
        <v>794</v>
      </c>
      <c r="F1508" s="88" t="s">
        <v>1550</v>
      </c>
      <c r="G1508" s="88" t="s">
        <v>724</v>
      </c>
      <c r="H1508" s="88" t="s">
        <v>596</v>
      </c>
    </row>
    <row r="1509" spans="1:8" x14ac:dyDescent="0.3">
      <c r="A1509" s="88" t="s">
        <v>716</v>
      </c>
      <c r="B1509" s="88">
        <v>22</v>
      </c>
      <c r="C1509" s="88">
        <v>32</v>
      </c>
      <c r="D1509" s="88" t="s">
        <v>106</v>
      </c>
      <c r="E1509" s="88" t="s">
        <v>1523</v>
      </c>
      <c r="F1509" s="88" t="s">
        <v>790</v>
      </c>
      <c r="G1509" s="88" t="s">
        <v>749</v>
      </c>
      <c r="H1509" s="88" t="s">
        <v>596</v>
      </c>
    </row>
    <row r="1510" spans="1:8" x14ac:dyDescent="0.3">
      <c r="A1510" s="88" t="s">
        <v>716</v>
      </c>
      <c r="B1510" s="88">
        <v>22</v>
      </c>
      <c r="C1510" s="88">
        <v>33</v>
      </c>
      <c r="D1510" s="88" t="s">
        <v>106</v>
      </c>
      <c r="E1510" s="88" t="s">
        <v>796</v>
      </c>
      <c r="F1510" s="88" t="s">
        <v>791</v>
      </c>
      <c r="G1510" s="88" t="s">
        <v>752</v>
      </c>
      <c r="H1510" s="88" t="s">
        <v>596</v>
      </c>
    </row>
    <row r="1511" spans="1:8" x14ac:dyDescent="0.3">
      <c r="A1511" s="88" t="s">
        <v>716</v>
      </c>
      <c r="B1511" s="88">
        <v>22</v>
      </c>
      <c r="C1511" s="88">
        <v>34</v>
      </c>
      <c r="D1511" s="88" t="s">
        <v>106</v>
      </c>
      <c r="E1511" s="88" t="s">
        <v>797</v>
      </c>
      <c r="F1511" s="88" t="s">
        <v>792</v>
      </c>
      <c r="G1511" s="88" t="s">
        <v>755</v>
      </c>
      <c r="H1511" s="88" t="s">
        <v>596</v>
      </c>
    </row>
    <row r="1512" spans="1:8" x14ac:dyDescent="0.3">
      <c r="A1512" s="88" t="s">
        <v>716</v>
      </c>
      <c r="B1512" s="88">
        <v>22</v>
      </c>
      <c r="C1512" s="88">
        <v>35</v>
      </c>
      <c r="D1512" s="88" t="s">
        <v>106</v>
      </c>
      <c r="E1512" s="88" t="s">
        <v>798</v>
      </c>
      <c r="F1512" s="88" t="s">
        <v>793</v>
      </c>
      <c r="G1512" s="88" t="s">
        <v>758</v>
      </c>
      <c r="H1512" s="88" t="s">
        <v>596</v>
      </c>
    </row>
    <row r="1513" spans="1:8" ht="28.8" x14ac:dyDescent="0.3">
      <c r="A1513" s="88" t="s">
        <v>716</v>
      </c>
      <c r="B1513" s="88">
        <v>22</v>
      </c>
      <c r="C1513" s="88">
        <v>38</v>
      </c>
      <c r="D1513" s="88" t="s">
        <v>106</v>
      </c>
      <c r="E1513" s="88" t="s">
        <v>1551</v>
      </c>
      <c r="F1513" s="88" t="s">
        <v>801</v>
      </c>
      <c r="G1513" s="88" t="s">
        <v>719</v>
      </c>
      <c r="H1513" s="88" t="s">
        <v>596</v>
      </c>
    </row>
    <row r="1514" spans="1:8" ht="28.8" x14ac:dyDescent="0.3">
      <c r="A1514" s="88" t="s">
        <v>716</v>
      </c>
      <c r="B1514" s="88">
        <v>22</v>
      </c>
      <c r="C1514" s="88">
        <v>39</v>
      </c>
      <c r="D1514" s="88" t="s">
        <v>106</v>
      </c>
      <c r="E1514" s="88" t="s">
        <v>800</v>
      </c>
      <c r="F1514" s="88" t="s">
        <v>1552</v>
      </c>
      <c r="G1514" s="88" t="s">
        <v>724</v>
      </c>
      <c r="H1514" s="88" t="s">
        <v>596</v>
      </c>
    </row>
    <row r="1515" spans="1:8" x14ac:dyDescent="0.3">
      <c r="A1515" s="88" t="s">
        <v>716</v>
      </c>
      <c r="B1515" s="88">
        <v>23</v>
      </c>
      <c r="C1515" s="88">
        <v>32</v>
      </c>
      <c r="D1515" s="88" t="s">
        <v>107</v>
      </c>
      <c r="E1515" s="88" t="s">
        <v>1553</v>
      </c>
      <c r="F1515" s="88" t="s">
        <v>796</v>
      </c>
      <c r="G1515" s="88" t="s">
        <v>749</v>
      </c>
      <c r="H1515" s="88" t="s">
        <v>596</v>
      </c>
    </row>
    <row r="1516" spans="1:8" x14ac:dyDescent="0.3">
      <c r="A1516" s="88" t="s">
        <v>716</v>
      </c>
      <c r="B1516" s="88">
        <v>23</v>
      </c>
      <c r="C1516" s="88">
        <v>33</v>
      </c>
      <c r="D1516" s="88" t="s">
        <v>107</v>
      </c>
      <c r="E1516" s="88" t="s">
        <v>802</v>
      </c>
      <c r="F1516" s="88" t="s">
        <v>797</v>
      </c>
      <c r="G1516" s="88" t="s">
        <v>752</v>
      </c>
      <c r="H1516" s="88" t="s">
        <v>596</v>
      </c>
    </row>
    <row r="1517" spans="1:8" x14ac:dyDescent="0.3">
      <c r="A1517" s="88" t="s">
        <v>716</v>
      </c>
      <c r="B1517" s="88">
        <v>23</v>
      </c>
      <c r="C1517" s="88">
        <v>34</v>
      </c>
      <c r="D1517" s="88" t="s">
        <v>107</v>
      </c>
      <c r="E1517" s="88" t="s">
        <v>803</v>
      </c>
      <c r="F1517" s="88" t="s">
        <v>798</v>
      </c>
      <c r="G1517" s="88" t="s">
        <v>755</v>
      </c>
      <c r="H1517" s="88" t="s">
        <v>596</v>
      </c>
    </row>
    <row r="1518" spans="1:8" x14ac:dyDescent="0.3">
      <c r="A1518" s="88" t="s">
        <v>716</v>
      </c>
      <c r="B1518" s="88">
        <v>23</v>
      </c>
      <c r="C1518" s="88">
        <v>35</v>
      </c>
      <c r="D1518" s="88" t="s">
        <v>107</v>
      </c>
      <c r="E1518" s="88" t="s">
        <v>804</v>
      </c>
      <c r="F1518" s="88" t="s">
        <v>799</v>
      </c>
      <c r="G1518" s="88" t="s">
        <v>758</v>
      </c>
      <c r="H1518" s="88" t="s">
        <v>596</v>
      </c>
    </row>
    <row r="1519" spans="1:8" ht="28.8" x14ac:dyDescent="0.3">
      <c r="A1519" s="88" t="s">
        <v>716</v>
      </c>
      <c r="B1519" s="88">
        <v>23</v>
      </c>
      <c r="C1519" s="88">
        <v>38</v>
      </c>
      <c r="D1519" s="88" t="s">
        <v>107</v>
      </c>
      <c r="E1519" s="88" t="s">
        <v>1554</v>
      </c>
      <c r="F1519" s="88" t="s">
        <v>807</v>
      </c>
      <c r="G1519" s="88" t="s">
        <v>719</v>
      </c>
      <c r="H1519" s="88" t="s">
        <v>596</v>
      </c>
    </row>
    <row r="1520" spans="1:8" ht="28.8" x14ac:dyDescent="0.3">
      <c r="A1520" s="88" t="s">
        <v>716</v>
      </c>
      <c r="B1520" s="88">
        <v>23</v>
      </c>
      <c r="C1520" s="88">
        <v>39</v>
      </c>
      <c r="D1520" s="88" t="s">
        <v>107</v>
      </c>
      <c r="E1520" s="88" t="s">
        <v>806</v>
      </c>
      <c r="F1520" s="88" t="s">
        <v>1555</v>
      </c>
      <c r="G1520" s="88" t="s">
        <v>724</v>
      </c>
      <c r="H1520" s="88" t="s">
        <v>596</v>
      </c>
    </row>
    <row r="1521" spans="1:8" x14ac:dyDescent="0.3">
      <c r="A1521" s="88" t="s">
        <v>716</v>
      </c>
      <c r="B1521" s="88">
        <v>24</v>
      </c>
      <c r="C1521" s="88">
        <v>32</v>
      </c>
      <c r="D1521" s="88" t="s">
        <v>108</v>
      </c>
      <c r="E1521" s="88" t="s">
        <v>1556</v>
      </c>
      <c r="F1521" s="88" t="s">
        <v>802</v>
      </c>
      <c r="G1521" s="88" t="s">
        <v>749</v>
      </c>
      <c r="H1521" s="88" t="s">
        <v>596</v>
      </c>
    </row>
    <row r="1522" spans="1:8" x14ac:dyDescent="0.3">
      <c r="A1522" s="88" t="s">
        <v>716</v>
      </c>
      <c r="B1522" s="88">
        <v>24</v>
      </c>
      <c r="C1522" s="88">
        <v>33</v>
      </c>
      <c r="D1522" s="88" t="s">
        <v>108</v>
      </c>
      <c r="E1522" s="88" t="s">
        <v>808</v>
      </c>
      <c r="F1522" s="88" t="s">
        <v>803</v>
      </c>
      <c r="G1522" s="88" t="s">
        <v>752</v>
      </c>
      <c r="H1522" s="88" t="s">
        <v>596</v>
      </c>
    </row>
    <row r="1523" spans="1:8" x14ac:dyDescent="0.3">
      <c r="A1523" s="88" t="s">
        <v>716</v>
      </c>
      <c r="B1523" s="88">
        <v>24</v>
      </c>
      <c r="C1523" s="88">
        <v>34</v>
      </c>
      <c r="D1523" s="88" t="s">
        <v>108</v>
      </c>
      <c r="E1523" s="88" t="s">
        <v>809</v>
      </c>
      <c r="F1523" s="88" t="s">
        <v>804</v>
      </c>
      <c r="G1523" s="88" t="s">
        <v>755</v>
      </c>
      <c r="H1523" s="88" t="s">
        <v>596</v>
      </c>
    </row>
    <row r="1524" spans="1:8" x14ac:dyDescent="0.3">
      <c r="A1524" s="88" t="s">
        <v>716</v>
      </c>
      <c r="B1524" s="88">
        <v>24</v>
      </c>
      <c r="C1524" s="88">
        <v>35</v>
      </c>
      <c r="D1524" s="88" t="s">
        <v>108</v>
      </c>
      <c r="E1524" s="88" t="s">
        <v>810</v>
      </c>
      <c r="F1524" s="88" t="s">
        <v>805</v>
      </c>
      <c r="G1524" s="88" t="s">
        <v>758</v>
      </c>
      <c r="H1524" s="88" t="s">
        <v>596</v>
      </c>
    </row>
    <row r="1525" spans="1:8" ht="28.8" x14ac:dyDescent="0.3">
      <c r="A1525" s="88" t="s">
        <v>716</v>
      </c>
      <c r="B1525" s="88">
        <v>24</v>
      </c>
      <c r="C1525" s="88">
        <v>38</v>
      </c>
      <c r="D1525" s="88" t="s">
        <v>108</v>
      </c>
      <c r="E1525" s="88" t="s">
        <v>1557</v>
      </c>
      <c r="F1525" s="88" t="s">
        <v>813</v>
      </c>
      <c r="G1525" s="88" t="s">
        <v>719</v>
      </c>
      <c r="H1525" s="88" t="s">
        <v>596</v>
      </c>
    </row>
    <row r="1526" spans="1:8" ht="28.8" x14ac:dyDescent="0.3">
      <c r="A1526" s="88" t="s">
        <v>716</v>
      </c>
      <c r="B1526" s="88">
        <v>24</v>
      </c>
      <c r="C1526" s="88">
        <v>39</v>
      </c>
      <c r="D1526" s="88" t="s">
        <v>108</v>
      </c>
      <c r="E1526" s="88" t="s">
        <v>812</v>
      </c>
      <c r="F1526" s="88" t="s">
        <v>666</v>
      </c>
      <c r="G1526" s="88" t="s">
        <v>724</v>
      </c>
      <c r="H1526" s="88" t="s">
        <v>596</v>
      </c>
    </row>
    <row r="1527" spans="1:8" x14ac:dyDescent="0.3">
      <c r="A1527" s="88" t="s">
        <v>716</v>
      </c>
      <c r="B1527" s="88">
        <v>25</v>
      </c>
      <c r="C1527" s="88">
        <v>32</v>
      </c>
      <c r="D1527" s="88" t="s">
        <v>109</v>
      </c>
      <c r="E1527" s="88" t="s">
        <v>1558</v>
      </c>
      <c r="F1527" s="88" t="s">
        <v>808</v>
      </c>
      <c r="G1527" s="88" t="s">
        <v>749</v>
      </c>
      <c r="H1527" s="88" t="s">
        <v>596</v>
      </c>
    </row>
    <row r="1528" spans="1:8" x14ac:dyDescent="0.3">
      <c r="A1528" s="88" t="s">
        <v>716</v>
      </c>
      <c r="B1528" s="88">
        <v>25</v>
      </c>
      <c r="C1528" s="88">
        <v>33</v>
      </c>
      <c r="D1528" s="88" t="s">
        <v>109</v>
      </c>
      <c r="E1528" s="88" t="s">
        <v>814</v>
      </c>
      <c r="F1528" s="88" t="s">
        <v>809</v>
      </c>
      <c r="G1528" s="88" t="s">
        <v>752</v>
      </c>
      <c r="H1528" s="88" t="s">
        <v>596</v>
      </c>
    </row>
    <row r="1529" spans="1:8" x14ac:dyDescent="0.3">
      <c r="A1529" s="88" t="s">
        <v>716</v>
      </c>
      <c r="B1529" s="88">
        <v>25</v>
      </c>
      <c r="C1529" s="88">
        <v>34</v>
      </c>
      <c r="D1529" s="88" t="s">
        <v>109</v>
      </c>
      <c r="E1529" s="88" t="s">
        <v>815</v>
      </c>
      <c r="F1529" s="88" t="s">
        <v>810</v>
      </c>
      <c r="G1529" s="88" t="s">
        <v>755</v>
      </c>
      <c r="H1529" s="88" t="s">
        <v>596</v>
      </c>
    </row>
    <row r="1530" spans="1:8" x14ac:dyDescent="0.3">
      <c r="A1530" s="88" t="s">
        <v>716</v>
      </c>
      <c r="B1530" s="88">
        <v>25</v>
      </c>
      <c r="C1530" s="88">
        <v>35</v>
      </c>
      <c r="D1530" s="88" t="s">
        <v>109</v>
      </c>
      <c r="E1530" s="88" t="s">
        <v>816</v>
      </c>
      <c r="F1530" s="88" t="s">
        <v>811</v>
      </c>
      <c r="G1530" s="88" t="s">
        <v>758</v>
      </c>
      <c r="H1530" s="88" t="s">
        <v>596</v>
      </c>
    </row>
    <row r="1531" spans="1:8" ht="28.8" x14ac:dyDescent="0.3">
      <c r="A1531" s="88" t="s">
        <v>716</v>
      </c>
      <c r="B1531" s="88">
        <v>25</v>
      </c>
      <c r="C1531" s="88">
        <v>38</v>
      </c>
      <c r="D1531" s="88" t="s">
        <v>109</v>
      </c>
      <c r="E1531" s="88" t="s">
        <v>1559</v>
      </c>
      <c r="F1531" s="88"/>
      <c r="G1531" s="88" t="s">
        <v>719</v>
      </c>
      <c r="H1531" s="88" t="s">
        <v>596</v>
      </c>
    </row>
    <row r="1532" spans="1:8" ht="28.8" x14ac:dyDescent="0.3">
      <c r="A1532" s="88" t="s">
        <v>716</v>
      </c>
      <c r="B1532" s="88">
        <v>25</v>
      </c>
      <c r="C1532" s="88">
        <v>39</v>
      </c>
      <c r="D1532" s="88" t="s">
        <v>109</v>
      </c>
      <c r="E1532" s="88" t="s">
        <v>734</v>
      </c>
      <c r="F1532" s="88" t="s">
        <v>819</v>
      </c>
      <c r="G1532" s="88" t="s">
        <v>724</v>
      </c>
      <c r="H1532" s="88" t="s">
        <v>596</v>
      </c>
    </row>
    <row r="1533" spans="1:8" x14ac:dyDescent="0.3">
      <c r="A1533" s="88" t="s">
        <v>716</v>
      </c>
      <c r="B1533" s="88">
        <v>26</v>
      </c>
      <c r="C1533" s="88">
        <v>32</v>
      </c>
      <c r="D1533" s="88" t="s">
        <v>110</v>
      </c>
      <c r="E1533" s="88" t="s">
        <v>1309</v>
      </c>
      <c r="F1533" s="88" t="s">
        <v>814</v>
      </c>
      <c r="G1533" s="88" t="s">
        <v>749</v>
      </c>
      <c r="H1533" s="88" t="s">
        <v>596</v>
      </c>
    </row>
    <row r="1534" spans="1:8" x14ac:dyDescent="0.3">
      <c r="A1534" s="88" t="s">
        <v>716</v>
      </c>
      <c r="B1534" s="88">
        <v>26</v>
      </c>
      <c r="C1534" s="88">
        <v>33</v>
      </c>
      <c r="D1534" s="88" t="s">
        <v>110</v>
      </c>
      <c r="E1534" s="88" t="s">
        <v>808</v>
      </c>
      <c r="F1534" s="88" t="s">
        <v>815</v>
      </c>
      <c r="G1534" s="88" t="s">
        <v>752</v>
      </c>
      <c r="H1534" s="88" t="s">
        <v>596</v>
      </c>
    </row>
    <row r="1535" spans="1:8" x14ac:dyDescent="0.3">
      <c r="A1535" s="88" t="s">
        <v>716</v>
      </c>
      <c r="B1535" s="88">
        <v>26</v>
      </c>
      <c r="C1535" s="88">
        <v>34</v>
      </c>
      <c r="D1535" s="88" t="s">
        <v>110</v>
      </c>
      <c r="E1535" s="88" t="s">
        <v>820</v>
      </c>
      <c r="F1535" s="88" t="s">
        <v>816</v>
      </c>
      <c r="G1535" s="88" t="s">
        <v>755</v>
      </c>
      <c r="H1535" s="88" t="s">
        <v>596</v>
      </c>
    </row>
    <row r="1536" spans="1:8" x14ac:dyDescent="0.3">
      <c r="A1536" s="88" t="s">
        <v>716</v>
      </c>
      <c r="B1536" s="88">
        <v>26</v>
      </c>
      <c r="C1536" s="88">
        <v>35</v>
      </c>
      <c r="D1536" s="88" t="s">
        <v>110</v>
      </c>
      <c r="E1536" s="88" t="s">
        <v>821</v>
      </c>
      <c r="F1536" s="88" t="s">
        <v>817</v>
      </c>
      <c r="G1536" s="88" t="s">
        <v>758</v>
      </c>
      <c r="H1536" s="88" t="s">
        <v>596</v>
      </c>
    </row>
    <row r="1537" spans="1:8" ht="28.8" x14ac:dyDescent="0.3">
      <c r="A1537" s="88" t="s">
        <v>716</v>
      </c>
      <c r="B1537" s="88">
        <v>26</v>
      </c>
      <c r="C1537" s="88">
        <v>38</v>
      </c>
      <c r="D1537" s="88" t="s">
        <v>110</v>
      </c>
      <c r="E1537" s="88" t="s">
        <v>1560</v>
      </c>
      <c r="F1537" s="88" t="s">
        <v>823</v>
      </c>
      <c r="G1537" s="88" t="s">
        <v>719</v>
      </c>
      <c r="H1537" s="88" t="s">
        <v>596</v>
      </c>
    </row>
    <row r="1538" spans="1:8" ht="28.8" x14ac:dyDescent="0.3">
      <c r="A1538" s="88" t="s">
        <v>716</v>
      </c>
      <c r="B1538" s="88">
        <v>26</v>
      </c>
      <c r="C1538" s="88">
        <v>39</v>
      </c>
      <c r="D1538" s="88" t="s">
        <v>110</v>
      </c>
      <c r="E1538" s="88" t="s">
        <v>800</v>
      </c>
      <c r="F1538" s="88" t="s">
        <v>1561</v>
      </c>
      <c r="G1538" s="88" t="s">
        <v>724</v>
      </c>
      <c r="H1538" s="88" t="s">
        <v>596</v>
      </c>
    </row>
    <row r="1539" spans="1:8" ht="28.8" x14ac:dyDescent="0.3">
      <c r="A1539" s="88" t="s">
        <v>716</v>
      </c>
      <c r="B1539" s="88">
        <v>27</v>
      </c>
      <c r="C1539" s="88">
        <v>32</v>
      </c>
      <c r="D1539" s="88" t="s">
        <v>111</v>
      </c>
      <c r="E1539" s="88" t="s">
        <v>1562</v>
      </c>
      <c r="F1539" s="88" t="s">
        <v>808</v>
      </c>
      <c r="G1539" s="88" t="s">
        <v>749</v>
      </c>
      <c r="H1539" s="88" t="s">
        <v>596</v>
      </c>
    </row>
    <row r="1540" spans="1:8" x14ac:dyDescent="0.3">
      <c r="A1540" s="88" t="s">
        <v>716</v>
      </c>
      <c r="B1540" s="88">
        <v>27</v>
      </c>
      <c r="C1540" s="88">
        <v>33</v>
      </c>
      <c r="D1540" s="88" t="s">
        <v>111</v>
      </c>
      <c r="E1540" s="88" t="s">
        <v>651</v>
      </c>
      <c r="F1540" s="88" t="s">
        <v>820</v>
      </c>
      <c r="G1540" s="88" t="s">
        <v>752</v>
      </c>
      <c r="H1540" s="88" t="s">
        <v>596</v>
      </c>
    </row>
    <row r="1541" spans="1:8" x14ac:dyDescent="0.3">
      <c r="A1541" s="88" t="s">
        <v>716</v>
      </c>
      <c r="B1541" s="88">
        <v>27</v>
      </c>
      <c r="C1541" s="88">
        <v>34</v>
      </c>
      <c r="D1541" s="88" t="s">
        <v>111</v>
      </c>
      <c r="E1541" s="88" t="s">
        <v>824</v>
      </c>
      <c r="F1541" s="88" t="s">
        <v>821</v>
      </c>
      <c r="G1541" s="88" t="s">
        <v>755</v>
      </c>
      <c r="H1541" s="88" t="s">
        <v>596</v>
      </c>
    </row>
    <row r="1542" spans="1:8" x14ac:dyDescent="0.3">
      <c r="A1542" s="88" t="s">
        <v>716</v>
      </c>
      <c r="B1542" s="88">
        <v>27</v>
      </c>
      <c r="C1542" s="88">
        <v>35</v>
      </c>
      <c r="D1542" s="88" t="s">
        <v>111</v>
      </c>
      <c r="E1542" s="88" t="s">
        <v>825</v>
      </c>
      <c r="F1542" s="88" t="s">
        <v>822</v>
      </c>
      <c r="G1542" s="88" t="s">
        <v>758</v>
      </c>
      <c r="H1542" s="88" t="s">
        <v>596</v>
      </c>
    </row>
    <row r="1543" spans="1:8" ht="28.8" x14ac:dyDescent="0.3">
      <c r="A1543" s="88" t="s">
        <v>716</v>
      </c>
      <c r="B1543" s="88">
        <v>27</v>
      </c>
      <c r="C1543" s="88">
        <v>38</v>
      </c>
      <c r="D1543" s="88" t="s">
        <v>111</v>
      </c>
      <c r="E1543" s="88" t="s">
        <v>1563</v>
      </c>
      <c r="F1543" s="88" t="s">
        <v>828</v>
      </c>
      <c r="G1543" s="88" t="s">
        <v>719</v>
      </c>
      <c r="H1543" s="88" t="s">
        <v>596</v>
      </c>
    </row>
    <row r="1544" spans="1:8" ht="28.8" x14ac:dyDescent="0.3">
      <c r="A1544" s="88" t="s">
        <v>716</v>
      </c>
      <c r="B1544" s="88">
        <v>27</v>
      </c>
      <c r="C1544" s="88">
        <v>39</v>
      </c>
      <c r="D1544" s="88" t="s">
        <v>111</v>
      </c>
      <c r="E1544" s="88" t="s">
        <v>827</v>
      </c>
      <c r="F1544" s="88" t="s">
        <v>1564</v>
      </c>
      <c r="G1544" s="88" t="s">
        <v>724</v>
      </c>
      <c r="H1544" s="88" t="s">
        <v>596</v>
      </c>
    </row>
    <row r="1545" spans="1:8" x14ac:dyDescent="0.3">
      <c r="A1545" s="88" t="s">
        <v>716</v>
      </c>
      <c r="B1545" s="88">
        <v>28</v>
      </c>
      <c r="C1545" s="88">
        <v>32</v>
      </c>
      <c r="D1545" s="88" t="s">
        <v>112</v>
      </c>
      <c r="E1545" s="88" t="s">
        <v>1565</v>
      </c>
      <c r="F1545" s="88" t="s">
        <v>651</v>
      </c>
      <c r="G1545" s="88" t="s">
        <v>749</v>
      </c>
      <c r="H1545" s="88" t="s">
        <v>596</v>
      </c>
    </row>
    <row r="1546" spans="1:8" x14ac:dyDescent="0.3">
      <c r="A1546" s="88" t="s">
        <v>716</v>
      </c>
      <c r="B1546" s="88">
        <v>28</v>
      </c>
      <c r="C1546" s="88">
        <v>33</v>
      </c>
      <c r="D1546" s="88" t="s">
        <v>112</v>
      </c>
      <c r="E1546" s="88" t="s">
        <v>829</v>
      </c>
      <c r="F1546" s="88" t="s">
        <v>824</v>
      </c>
      <c r="G1546" s="88" t="s">
        <v>752</v>
      </c>
      <c r="H1546" s="88" t="s">
        <v>596</v>
      </c>
    </row>
    <row r="1547" spans="1:8" x14ac:dyDescent="0.3">
      <c r="A1547" s="88" t="s">
        <v>716</v>
      </c>
      <c r="B1547" s="88">
        <v>28</v>
      </c>
      <c r="C1547" s="88">
        <v>34</v>
      </c>
      <c r="D1547" s="88" t="s">
        <v>112</v>
      </c>
      <c r="E1547" s="88" t="s">
        <v>830</v>
      </c>
      <c r="F1547" s="88" t="s">
        <v>825</v>
      </c>
      <c r="G1547" s="88" t="s">
        <v>755</v>
      </c>
      <c r="H1547" s="88" t="s">
        <v>596</v>
      </c>
    </row>
    <row r="1548" spans="1:8" x14ac:dyDescent="0.3">
      <c r="A1548" s="88" t="s">
        <v>716</v>
      </c>
      <c r="B1548" s="88">
        <v>28</v>
      </c>
      <c r="C1548" s="88">
        <v>35</v>
      </c>
      <c r="D1548" s="88" t="s">
        <v>112</v>
      </c>
      <c r="E1548" s="88" t="s">
        <v>831</v>
      </c>
      <c r="F1548" s="88" t="s">
        <v>826</v>
      </c>
      <c r="G1548" s="88" t="s">
        <v>758</v>
      </c>
      <c r="H1548" s="88" t="s">
        <v>596</v>
      </c>
    </row>
    <row r="1549" spans="1:8" ht="28.8" x14ac:dyDescent="0.3">
      <c r="A1549" s="88" t="s">
        <v>716</v>
      </c>
      <c r="B1549" s="88">
        <v>28</v>
      </c>
      <c r="C1549" s="88">
        <v>38</v>
      </c>
      <c r="D1549" s="88" t="s">
        <v>112</v>
      </c>
      <c r="E1549" s="88" t="s">
        <v>791</v>
      </c>
      <c r="F1549" s="88" t="s">
        <v>834</v>
      </c>
      <c r="G1549" s="88" t="s">
        <v>719</v>
      </c>
      <c r="H1549" s="88" t="s">
        <v>596</v>
      </c>
    </row>
    <row r="1550" spans="1:8" ht="28.8" x14ac:dyDescent="0.3">
      <c r="A1550" s="88" t="s">
        <v>716</v>
      </c>
      <c r="B1550" s="88">
        <v>28</v>
      </c>
      <c r="C1550" s="88">
        <v>39</v>
      </c>
      <c r="D1550" s="88" t="s">
        <v>112</v>
      </c>
      <c r="E1550" s="88" t="s">
        <v>833</v>
      </c>
      <c r="F1550" s="88" t="s">
        <v>1566</v>
      </c>
      <c r="G1550" s="88" t="s">
        <v>724</v>
      </c>
      <c r="H1550" s="88" t="s">
        <v>596</v>
      </c>
    </row>
    <row r="1551" spans="1:8" ht="28.8" x14ac:dyDescent="0.3">
      <c r="A1551" s="88" t="s">
        <v>716</v>
      </c>
      <c r="B1551" s="88">
        <v>29</v>
      </c>
      <c r="C1551" s="88">
        <v>32</v>
      </c>
      <c r="D1551" s="88" t="s">
        <v>113</v>
      </c>
      <c r="E1551" s="88" t="s">
        <v>1567</v>
      </c>
      <c r="F1551" s="88" t="s">
        <v>829</v>
      </c>
      <c r="G1551" s="88" t="s">
        <v>749</v>
      </c>
      <c r="H1551" s="88" t="s">
        <v>596</v>
      </c>
    </row>
    <row r="1552" spans="1:8" x14ac:dyDescent="0.3">
      <c r="A1552" s="88" t="s">
        <v>716</v>
      </c>
      <c r="B1552" s="88">
        <v>29</v>
      </c>
      <c r="C1552" s="88">
        <v>33</v>
      </c>
      <c r="D1552" s="88" t="s">
        <v>113</v>
      </c>
      <c r="E1552" s="88" t="s">
        <v>832</v>
      </c>
      <c r="F1552" s="88" t="s">
        <v>830</v>
      </c>
      <c r="G1552" s="88" t="s">
        <v>752</v>
      </c>
      <c r="H1552" s="88" t="s">
        <v>596</v>
      </c>
    </row>
    <row r="1553" spans="1:8" x14ac:dyDescent="0.3">
      <c r="A1553" s="88" t="s">
        <v>716</v>
      </c>
      <c r="B1553" s="88">
        <v>29</v>
      </c>
      <c r="C1553" s="88">
        <v>34</v>
      </c>
      <c r="D1553" s="88" t="s">
        <v>113</v>
      </c>
      <c r="E1553" s="88" t="s">
        <v>835</v>
      </c>
      <c r="F1553" s="88" t="s">
        <v>831</v>
      </c>
      <c r="G1553" s="88" t="s">
        <v>755</v>
      </c>
      <c r="H1553" s="88" t="s">
        <v>596</v>
      </c>
    </row>
    <row r="1554" spans="1:8" x14ac:dyDescent="0.3">
      <c r="A1554" s="88" t="s">
        <v>716</v>
      </c>
      <c r="B1554" s="88">
        <v>29</v>
      </c>
      <c r="C1554" s="88">
        <v>35</v>
      </c>
      <c r="D1554" s="88" t="s">
        <v>113</v>
      </c>
      <c r="E1554" s="88" t="s">
        <v>836</v>
      </c>
      <c r="F1554" s="88" t="s">
        <v>832</v>
      </c>
      <c r="G1554" s="88" t="s">
        <v>758</v>
      </c>
      <c r="H1554" s="88" t="s">
        <v>596</v>
      </c>
    </row>
    <row r="1555" spans="1:8" ht="28.8" x14ac:dyDescent="0.3">
      <c r="A1555" s="88" t="s">
        <v>716</v>
      </c>
      <c r="B1555" s="88">
        <v>29</v>
      </c>
      <c r="C1555" s="88">
        <v>38</v>
      </c>
      <c r="D1555" s="88" t="s">
        <v>113</v>
      </c>
      <c r="E1555" s="88" t="s">
        <v>1568</v>
      </c>
      <c r="F1555" s="88" t="s">
        <v>838</v>
      </c>
      <c r="G1555" s="88" t="s">
        <v>719</v>
      </c>
      <c r="H1555" s="88" t="s">
        <v>596</v>
      </c>
    </row>
    <row r="1556" spans="1:8" ht="28.8" x14ac:dyDescent="0.3">
      <c r="A1556" s="88" t="s">
        <v>716</v>
      </c>
      <c r="B1556" s="88">
        <v>29</v>
      </c>
      <c r="C1556" s="88">
        <v>39</v>
      </c>
      <c r="D1556" s="88" t="s">
        <v>113</v>
      </c>
      <c r="E1556" s="88" t="s">
        <v>837</v>
      </c>
      <c r="F1556" s="88" t="s">
        <v>840</v>
      </c>
      <c r="G1556" s="88" t="s">
        <v>724</v>
      </c>
      <c r="H1556" s="88" t="s">
        <v>596</v>
      </c>
    </row>
    <row r="1557" spans="1:8" ht="28.8" x14ac:dyDescent="0.3">
      <c r="A1557" s="88" t="s">
        <v>716</v>
      </c>
      <c r="B1557" s="88">
        <v>30</v>
      </c>
      <c r="C1557" s="88">
        <v>32</v>
      </c>
      <c r="D1557" s="88" t="s">
        <v>114</v>
      </c>
      <c r="E1557" s="88" t="s">
        <v>1569</v>
      </c>
      <c r="F1557" s="88" t="s">
        <v>832</v>
      </c>
      <c r="G1557" s="88" t="s">
        <v>749</v>
      </c>
      <c r="H1557" s="88" t="s">
        <v>596</v>
      </c>
    </row>
    <row r="1558" spans="1:8" x14ac:dyDescent="0.3">
      <c r="A1558" s="88" t="s">
        <v>716</v>
      </c>
      <c r="B1558" s="88">
        <v>30</v>
      </c>
      <c r="C1558" s="88">
        <v>33</v>
      </c>
      <c r="D1558" s="88" t="s">
        <v>114</v>
      </c>
      <c r="E1558" s="88" t="s">
        <v>841</v>
      </c>
      <c r="F1558" s="88" t="s">
        <v>835</v>
      </c>
      <c r="G1558" s="88" t="s">
        <v>752</v>
      </c>
      <c r="H1558" s="88" t="s">
        <v>596</v>
      </c>
    </row>
    <row r="1559" spans="1:8" x14ac:dyDescent="0.3">
      <c r="A1559" s="88" t="s">
        <v>716</v>
      </c>
      <c r="B1559" s="88">
        <v>30</v>
      </c>
      <c r="C1559" s="88">
        <v>34</v>
      </c>
      <c r="D1559" s="88" t="s">
        <v>114</v>
      </c>
      <c r="E1559" s="88" t="s">
        <v>842</v>
      </c>
      <c r="F1559" s="88" t="s">
        <v>836</v>
      </c>
      <c r="G1559" s="88" t="s">
        <v>755</v>
      </c>
      <c r="H1559" s="88" t="s">
        <v>596</v>
      </c>
    </row>
    <row r="1560" spans="1:8" x14ac:dyDescent="0.3">
      <c r="A1560" s="88" t="s">
        <v>716</v>
      </c>
      <c r="B1560" s="88">
        <v>30</v>
      </c>
      <c r="C1560" s="88">
        <v>35</v>
      </c>
      <c r="D1560" s="88" t="s">
        <v>114</v>
      </c>
      <c r="E1560" s="88" t="s">
        <v>843</v>
      </c>
      <c r="F1560" s="88" t="s">
        <v>832</v>
      </c>
      <c r="G1560" s="88" t="s">
        <v>758</v>
      </c>
      <c r="H1560" s="88" t="s">
        <v>596</v>
      </c>
    </row>
    <row r="1561" spans="1:8" ht="28.8" x14ac:dyDescent="0.3">
      <c r="A1561" s="88" t="s">
        <v>716</v>
      </c>
      <c r="B1561" s="88">
        <v>30</v>
      </c>
      <c r="C1561" s="88">
        <v>38</v>
      </c>
      <c r="D1561" s="88" t="s">
        <v>114</v>
      </c>
      <c r="E1561" s="88" t="s">
        <v>1570</v>
      </c>
      <c r="F1561" s="88" t="s">
        <v>845</v>
      </c>
      <c r="G1561" s="88" t="s">
        <v>719</v>
      </c>
      <c r="H1561" s="88" t="s">
        <v>596</v>
      </c>
    </row>
    <row r="1562" spans="1:8" ht="28.8" x14ac:dyDescent="0.3">
      <c r="A1562" s="88" t="s">
        <v>716</v>
      </c>
      <c r="B1562" s="88">
        <v>30</v>
      </c>
      <c r="C1562" s="88">
        <v>39</v>
      </c>
      <c r="D1562" s="88" t="s">
        <v>114</v>
      </c>
      <c r="E1562" s="88" t="s">
        <v>827</v>
      </c>
      <c r="F1562" s="88" t="s">
        <v>847</v>
      </c>
      <c r="G1562" s="88" t="s">
        <v>724</v>
      </c>
      <c r="H1562" s="88" t="s">
        <v>596</v>
      </c>
    </row>
    <row r="1563" spans="1:8" x14ac:dyDescent="0.3">
      <c r="A1563" s="88" t="s">
        <v>716</v>
      </c>
      <c r="B1563" s="88">
        <v>31</v>
      </c>
      <c r="C1563" s="88">
        <v>32</v>
      </c>
      <c r="D1563" s="88" t="s">
        <v>115</v>
      </c>
      <c r="E1563" s="88" t="s">
        <v>1571</v>
      </c>
      <c r="F1563" s="88" t="s">
        <v>841</v>
      </c>
      <c r="G1563" s="88" t="s">
        <v>749</v>
      </c>
      <c r="H1563" s="88" t="s">
        <v>596</v>
      </c>
    </row>
    <row r="1564" spans="1:8" x14ac:dyDescent="0.3">
      <c r="A1564" s="88" t="s">
        <v>716</v>
      </c>
      <c r="B1564" s="88">
        <v>31</v>
      </c>
      <c r="C1564" s="88">
        <v>33</v>
      </c>
      <c r="D1564" s="88" t="s">
        <v>115</v>
      </c>
      <c r="E1564" s="88" t="s">
        <v>848</v>
      </c>
      <c r="F1564" s="88" t="s">
        <v>842</v>
      </c>
      <c r="G1564" s="88" t="s">
        <v>752</v>
      </c>
      <c r="H1564" s="88" t="s">
        <v>596</v>
      </c>
    </row>
    <row r="1565" spans="1:8" x14ac:dyDescent="0.3">
      <c r="A1565" s="88" t="s">
        <v>716</v>
      </c>
      <c r="B1565" s="88">
        <v>31</v>
      </c>
      <c r="C1565" s="88">
        <v>34</v>
      </c>
      <c r="D1565" s="88" t="s">
        <v>115</v>
      </c>
      <c r="E1565" s="88" t="s">
        <v>829</v>
      </c>
      <c r="F1565" s="88" t="s">
        <v>843</v>
      </c>
      <c r="G1565" s="88" t="s">
        <v>755</v>
      </c>
      <c r="H1565" s="88" t="s">
        <v>596</v>
      </c>
    </row>
    <row r="1566" spans="1:8" x14ac:dyDescent="0.3">
      <c r="A1566" s="88" t="s">
        <v>716</v>
      </c>
      <c r="B1566" s="88">
        <v>31</v>
      </c>
      <c r="C1566" s="88">
        <v>35</v>
      </c>
      <c r="D1566" s="88" t="s">
        <v>115</v>
      </c>
      <c r="E1566" s="88" t="s">
        <v>798</v>
      </c>
      <c r="F1566" s="88" t="s">
        <v>844</v>
      </c>
      <c r="G1566" s="88" t="s">
        <v>758</v>
      </c>
      <c r="H1566" s="88" t="s">
        <v>596</v>
      </c>
    </row>
    <row r="1567" spans="1:8" ht="28.8" x14ac:dyDescent="0.3">
      <c r="A1567" s="88" t="s">
        <v>716</v>
      </c>
      <c r="B1567" s="88">
        <v>31</v>
      </c>
      <c r="C1567" s="88">
        <v>38</v>
      </c>
      <c r="D1567" s="88" t="s">
        <v>115</v>
      </c>
      <c r="E1567" s="88" t="s">
        <v>1572</v>
      </c>
      <c r="F1567" s="88" t="s">
        <v>851</v>
      </c>
      <c r="G1567" s="88" t="s">
        <v>719</v>
      </c>
      <c r="H1567" s="88" t="s">
        <v>596</v>
      </c>
    </row>
    <row r="1568" spans="1:8" ht="28.8" x14ac:dyDescent="0.3">
      <c r="A1568" s="88" t="s">
        <v>716</v>
      </c>
      <c r="B1568" s="88">
        <v>31</v>
      </c>
      <c r="C1568" s="88">
        <v>39</v>
      </c>
      <c r="D1568" s="88" t="s">
        <v>115</v>
      </c>
      <c r="E1568" s="88" t="s">
        <v>850</v>
      </c>
      <c r="F1568" s="88" t="s">
        <v>853</v>
      </c>
      <c r="G1568" s="88" t="s">
        <v>724</v>
      </c>
      <c r="H1568" s="88" t="s">
        <v>596</v>
      </c>
    </row>
    <row r="1569" spans="1:8" x14ac:dyDescent="0.3">
      <c r="A1569" s="88" t="s">
        <v>716</v>
      </c>
      <c r="B1569" s="88">
        <v>32</v>
      </c>
      <c r="C1569" s="88">
        <v>32</v>
      </c>
      <c r="D1569" s="88" t="s">
        <v>116</v>
      </c>
      <c r="E1569" s="88" t="s">
        <v>1573</v>
      </c>
      <c r="F1569" s="88" t="s">
        <v>848</v>
      </c>
      <c r="G1569" s="88" t="s">
        <v>749</v>
      </c>
      <c r="H1569" s="88" t="s">
        <v>596</v>
      </c>
    </row>
    <row r="1570" spans="1:8" x14ac:dyDescent="0.3">
      <c r="A1570" s="88" t="s">
        <v>716</v>
      </c>
      <c r="B1570" s="88">
        <v>32</v>
      </c>
      <c r="C1570" s="88">
        <v>33</v>
      </c>
      <c r="D1570" s="88" t="s">
        <v>116</v>
      </c>
      <c r="E1570" s="88" t="s">
        <v>793</v>
      </c>
      <c r="F1570" s="88" t="s">
        <v>829</v>
      </c>
      <c r="G1570" s="88" t="s">
        <v>752</v>
      </c>
      <c r="H1570" s="88" t="s">
        <v>596</v>
      </c>
    </row>
    <row r="1571" spans="1:8" x14ac:dyDescent="0.3">
      <c r="A1571" s="88" t="s">
        <v>716</v>
      </c>
      <c r="B1571" s="88">
        <v>32</v>
      </c>
      <c r="C1571" s="88">
        <v>34</v>
      </c>
      <c r="D1571" s="88" t="s">
        <v>116</v>
      </c>
      <c r="E1571" s="88" t="s">
        <v>651</v>
      </c>
      <c r="F1571" s="88" t="s">
        <v>798</v>
      </c>
      <c r="G1571" s="88" t="s">
        <v>755</v>
      </c>
      <c r="H1571" s="88" t="s">
        <v>596</v>
      </c>
    </row>
    <row r="1572" spans="1:8" x14ac:dyDescent="0.3">
      <c r="A1572" s="88" t="s">
        <v>716</v>
      </c>
      <c r="B1572" s="88">
        <v>32</v>
      </c>
      <c r="C1572" s="88">
        <v>35</v>
      </c>
      <c r="D1572" s="88" t="s">
        <v>116</v>
      </c>
      <c r="E1572" s="88" t="s">
        <v>854</v>
      </c>
      <c r="F1572" s="88" t="s">
        <v>849</v>
      </c>
      <c r="G1572" s="88" t="s">
        <v>758</v>
      </c>
      <c r="H1572" s="88" t="s">
        <v>596</v>
      </c>
    </row>
    <row r="1573" spans="1:8" ht="28.8" x14ac:dyDescent="0.3">
      <c r="A1573" s="88" t="s">
        <v>716</v>
      </c>
      <c r="B1573" s="88">
        <v>32</v>
      </c>
      <c r="C1573" s="88">
        <v>38</v>
      </c>
      <c r="D1573" s="88" t="s">
        <v>116</v>
      </c>
      <c r="E1573" s="88" t="s">
        <v>1574</v>
      </c>
      <c r="F1573" s="88" t="s">
        <v>856</v>
      </c>
      <c r="G1573" s="88" t="s">
        <v>719</v>
      </c>
      <c r="H1573" s="88" t="s">
        <v>596</v>
      </c>
    </row>
    <row r="1574" spans="1:8" ht="28.8" x14ac:dyDescent="0.3">
      <c r="A1574" s="88" t="s">
        <v>716</v>
      </c>
      <c r="B1574" s="88">
        <v>32</v>
      </c>
      <c r="C1574" s="88">
        <v>39</v>
      </c>
      <c r="D1574" s="88" t="s">
        <v>116</v>
      </c>
      <c r="E1574" s="88" t="s">
        <v>731</v>
      </c>
      <c r="F1574" s="88" t="s">
        <v>858</v>
      </c>
      <c r="G1574" s="88" t="s">
        <v>724</v>
      </c>
      <c r="H1574" s="88" t="s">
        <v>596</v>
      </c>
    </row>
    <row r="1575" spans="1:8" ht="28.8" x14ac:dyDescent="0.3">
      <c r="A1575" s="88" t="s">
        <v>716</v>
      </c>
      <c r="B1575" s="88">
        <v>33</v>
      </c>
      <c r="C1575" s="88">
        <v>32</v>
      </c>
      <c r="D1575" s="88" t="s">
        <v>117</v>
      </c>
      <c r="E1575" s="88" t="s">
        <v>1575</v>
      </c>
      <c r="F1575" s="88" t="s">
        <v>793</v>
      </c>
      <c r="G1575" s="88" t="s">
        <v>749</v>
      </c>
      <c r="H1575" s="88" t="s">
        <v>596</v>
      </c>
    </row>
    <row r="1576" spans="1:8" x14ac:dyDescent="0.3">
      <c r="A1576" s="88" t="s">
        <v>716</v>
      </c>
      <c r="B1576" s="88">
        <v>33</v>
      </c>
      <c r="C1576" s="88">
        <v>33</v>
      </c>
      <c r="D1576" s="88" t="s">
        <v>117</v>
      </c>
      <c r="E1576" s="88" t="s">
        <v>843</v>
      </c>
      <c r="F1576" s="88" t="s">
        <v>651</v>
      </c>
      <c r="G1576" s="88" t="s">
        <v>752</v>
      </c>
      <c r="H1576" s="88" t="s">
        <v>596</v>
      </c>
    </row>
    <row r="1577" spans="1:8" x14ac:dyDescent="0.3">
      <c r="A1577" s="88" t="s">
        <v>716</v>
      </c>
      <c r="B1577" s="88">
        <v>33</v>
      </c>
      <c r="C1577" s="88">
        <v>34</v>
      </c>
      <c r="D1577" s="88" t="s">
        <v>117</v>
      </c>
      <c r="E1577" s="88" t="s">
        <v>859</v>
      </c>
      <c r="F1577" s="88" t="s">
        <v>854</v>
      </c>
      <c r="G1577" s="88" t="s">
        <v>755</v>
      </c>
      <c r="H1577" s="88" t="s">
        <v>596</v>
      </c>
    </row>
    <row r="1578" spans="1:8" x14ac:dyDescent="0.3">
      <c r="A1578" s="88" t="s">
        <v>716</v>
      </c>
      <c r="B1578" s="88">
        <v>33</v>
      </c>
      <c r="C1578" s="88">
        <v>35</v>
      </c>
      <c r="D1578" s="88" t="s">
        <v>117</v>
      </c>
      <c r="E1578" s="88" t="s">
        <v>860</v>
      </c>
      <c r="F1578" s="88" t="s">
        <v>855</v>
      </c>
      <c r="G1578" s="88" t="s">
        <v>758</v>
      </c>
      <c r="H1578" s="88" t="s">
        <v>596</v>
      </c>
    </row>
    <row r="1579" spans="1:8" ht="28.8" x14ac:dyDescent="0.3">
      <c r="A1579" s="88" t="s">
        <v>716</v>
      </c>
      <c r="B1579" s="88">
        <v>33</v>
      </c>
      <c r="C1579" s="88">
        <v>38</v>
      </c>
      <c r="D1579" s="88" t="s">
        <v>117</v>
      </c>
      <c r="E1579" s="88" t="s">
        <v>1576</v>
      </c>
      <c r="F1579" s="88" t="s">
        <v>863</v>
      </c>
      <c r="G1579" s="88" t="s">
        <v>719</v>
      </c>
      <c r="H1579" s="88" t="s">
        <v>596</v>
      </c>
    </row>
    <row r="1580" spans="1:8" ht="28.8" x14ac:dyDescent="0.3">
      <c r="A1580" s="88" t="s">
        <v>716</v>
      </c>
      <c r="B1580" s="88">
        <v>33</v>
      </c>
      <c r="C1580" s="88">
        <v>39</v>
      </c>
      <c r="D1580" s="88" t="s">
        <v>117</v>
      </c>
      <c r="E1580" s="88" t="s">
        <v>862</v>
      </c>
      <c r="F1580" s="88" t="s">
        <v>666</v>
      </c>
      <c r="G1580" s="88" t="s">
        <v>724</v>
      </c>
      <c r="H1580" s="88" t="s">
        <v>596</v>
      </c>
    </row>
    <row r="1581" spans="1:8" x14ac:dyDescent="0.3">
      <c r="A1581" s="88" t="s">
        <v>716</v>
      </c>
      <c r="B1581" s="88">
        <v>34</v>
      </c>
      <c r="C1581" s="88">
        <v>32</v>
      </c>
      <c r="D1581" s="88" t="s">
        <v>118</v>
      </c>
      <c r="E1581" s="88" t="s">
        <v>1577</v>
      </c>
      <c r="F1581" s="88" t="s">
        <v>843</v>
      </c>
      <c r="G1581" s="88" t="s">
        <v>749</v>
      </c>
      <c r="H1581" s="88" t="s">
        <v>596</v>
      </c>
    </row>
    <row r="1582" spans="1:8" x14ac:dyDescent="0.3">
      <c r="A1582" s="88" t="s">
        <v>716</v>
      </c>
      <c r="B1582" s="88">
        <v>34</v>
      </c>
      <c r="C1582" s="88">
        <v>33</v>
      </c>
      <c r="D1582" s="88" t="s">
        <v>118</v>
      </c>
      <c r="E1582" s="88" t="s">
        <v>864</v>
      </c>
      <c r="F1582" s="88" t="s">
        <v>859</v>
      </c>
      <c r="G1582" s="88" t="s">
        <v>752</v>
      </c>
      <c r="H1582" s="88" t="s">
        <v>596</v>
      </c>
    </row>
    <row r="1583" spans="1:8" x14ac:dyDescent="0.3">
      <c r="A1583" s="88" t="s">
        <v>716</v>
      </c>
      <c r="B1583" s="88">
        <v>34</v>
      </c>
      <c r="C1583" s="88">
        <v>34</v>
      </c>
      <c r="D1583" s="88" t="s">
        <v>118</v>
      </c>
      <c r="E1583" s="88" t="s">
        <v>865</v>
      </c>
      <c r="F1583" s="88" t="s">
        <v>860</v>
      </c>
      <c r="G1583" s="88" t="s">
        <v>755</v>
      </c>
      <c r="H1583" s="88" t="s">
        <v>596</v>
      </c>
    </row>
    <row r="1584" spans="1:8" x14ac:dyDescent="0.3">
      <c r="A1584" s="88" t="s">
        <v>716</v>
      </c>
      <c r="B1584" s="88">
        <v>34</v>
      </c>
      <c r="C1584" s="88">
        <v>35</v>
      </c>
      <c r="D1584" s="88" t="s">
        <v>118</v>
      </c>
      <c r="E1584" s="88" t="s">
        <v>754</v>
      </c>
      <c r="F1584" s="88" t="s">
        <v>861</v>
      </c>
      <c r="G1584" s="88" t="s">
        <v>758</v>
      </c>
      <c r="H1584" s="88" t="s">
        <v>596</v>
      </c>
    </row>
    <row r="1585" spans="1:8" ht="28.8" x14ac:dyDescent="0.3">
      <c r="A1585" s="88" t="s">
        <v>716</v>
      </c>
      <c r="B1585" s="88">
        <v>34</v>
      </c>
      <c r="C1585" s="88">
        <v>38</v>
      </c>
      <c r="D1585" s="88" t="s">
        <v>118</v>
      </c>
      <c r="E1585" s="88" t="s">
        <v>1578</v>
      </c>
      <c r="F1585" s="88" t="s">
        <v>868</v>
      </c>
      <c r="G1585" s="88" t="s">
        <v>719</v>
      </c>
      <c r="H1585" s="88" t="s">
        <v>596</v>
      </c>
    </row>
    <row r="1586" spans="1:8" ht="28.8" x14ac:dyDescent="0.3">
      <c r="A1586" s="88" t="s">
        <v>716</v>
      </c>
      <c r="B1586" s="88">
        <v>34</v>
      </c>
      <c r="C1586" s="88">
        <v>39</v>
      </c>
      <c r="D1586" s="88" t="s">
        <v>118</v>
      </c>
      <c r="E1586" s="88" t="s">
        <v>867</v>
      </c>
      <c r="F1586" s="88" t="s">
        <v>870</v>
      </c>
      <c r="G1586" s="88" t="s">
        <v>724</v>
      </c>
      <c r="H1586" s="88" t="s">
        <v>596</v>
      </c>
    </row>
    <row r="1587" spans="1:8" x14ac:dyDescent="0.3">
      <c r="A1587" s="88" t="s">
        <v>716</v>
      </c>
      <c r="B1587" s="88">
        <v>35</v>
      </c>
      <c r="C1587" s="88">
        <v>32</v>
      </c>
      <c r="D1587" s="88" t="s">
        <v>119</v>
      </c>
      <c r="E1587" s="88" t="s">
        <v>1579</v>
      </c>
      <c r="F1587" s="88" t="s">
        <v>864</v>
      </c>
      <c r="G1587" s="88" t="s">
        <v>749</v>
      </c>
      <c r="H1587" s="88" t="s">
        <v>596</v>
      </c>
    </row>
    <row r="1588" spans="1:8" x14ac:dyDescent="0.3">
      <c r="A1588" s="88" t="s">
        <v>716</v>
      </c>
      <c r="B1588" s="88">
        <v>35</v>
      </c>
      <c r="C1588" s="88">
        <v>33</v>
      </c>
      <c r="D1588" s="88" t="s">
        <v>119</v>
      </c>
      <c r="E1588" s="88" t="s">
        <v>871</v>
      </c>
      <c r="F1588" s="88" t="s">
        <v>865</v>
      </c>
      <c r="G1588" s="88" t="s">
        <v>752</v>
      </c>
      <c r="H1588" s="88" t="s">
        <v>596</v>
      </c>
    </row>
    <row r="1589" spans="1:8" x14ac:dyDescent="0.3">
      <c r="A1589" s="88" t="s">
        <v>716</v>
      </c>
      <c r="B1589" s="88">
        <v>35</v>
      </c>
      <c r="C1589" s="88">
        <v>34</v>
      </c>
      <c r="D1589" s="88" t="s">
        <v>119</v>
      </c>
      <c r="E1589" s="88" t="s">
        <v>865</v>
      </c>
      <c r="F1589" s="88" t="s">
        <v>754</v>
      </c>
      <c r="G1589" s="88" t="s">
        <v>755</v>
      </c>
      <c r="H1589" s="88" t="s">
        <v>596</v>
      </c>
    </row>
    <row r="1590" spans="1:8" x14ac:dyDescent="0.3">
      <c r="A1590" s="88" t="s">
        <v>716</v>
      </c>
      <c r="B1590" s="88">
        <v>35</v>
      </c>
      <c r="C1590" s="88">
        <v>35</v>
      </c>
      <c r="D1590" s="88" t="s">
        <v>119</v>
      </c>
      <c r="E1590" s="88" t="s">
        <v>872</v>
      </c>
      <c r="F1590" s="88" t="s">
        <v>866</v>
      </c>
      <c r="G1590" s="88" t="s">
        <v>758</v>
      </c>
      <c r="H1590" s="88" t="s">
        <v>596</v>
      </c>
    </row>
    <row r="1591" spans="1:8" ht="28.8" x14ac:dyDescent="0.3">
      <c r="A1591" s="88" t="s">
        <v>716</v>
      </c>
      <c r="B1591" s="88">
        <v>35</v>
      </c>
      <c r="C1591" s="88">
        <v>38</v>
      </c>
      <c r="D1591" s="88" t="s">
        <v>119</v>
      </c>
      <c r="E1591" s="88" t="s">
        <v>1580</v>
      </c>
      <c r="F1591" s="88" t="s">
        <v>873</v>
      </c>
      <c r="G1591" s="88" t="s">
        <v>719</v>
      </c>
      <c r="H1591" s="88" t="s">
        <v>596</v>
      </c>
    </row>
    <row r="1592" spans="1:8" ht="28.8" x14ac:dyDescent="0.3">
      <c r="A1592" s="88" t="s">
        <v>716</v>
      </c>
      <c r="B1592" s="88">
        <v>35</v>
      </c>
      <c r="C1592" s="88">
        <v>39</v>
      </c>
      <c r="D1592" s="88" t="s">
        <v>119</v>
      </c>
      <c r="E1592" s="88" t="s">
        <v>827</v>
      </c>
      <c r="F1592" s="88" t="s">
        <v>666</v>
      </c>
      <c r="G1592" s="88" t="s">
        <v>724</v>
      </c>
      <c r="H1592" s="88" t="s">
        <v>596</v>
      </c>
    </row>
    <row r="1593" spans="1:8" x14ac:dyDescent="0.3">
      <c r="A1593" s="88" t="s">
        <v>716</v>
      </c>
      <c r="B1593" s="88">
        <v>36</v>
      </c>
      <c r="C1593" s="88">
        <v>32</v>
      </c>
      <c r="D1593" s="88" t="s">
        <v>120</v>
      </c>
      <c r="E1593" s="88" t="s">
        <v>1581</v>
      </c>
      <c r="F1593" s="88" t="s">
        <v>871</v>
      </c>
      <c r="G1593" s="88" t="s">
        <v>749</v>
      </c>
      <c r="H1593" s="88" t="s">
        <v>596</v>
      </c>
    </row>
    <row r="1594" spans="1:8" x14ac:dyDescent="0.3">
      <c r="A1594" s="88" t="s">
        <v>716</v>
      </c>
      <c r="B1594" s="88">
        <v>36</v>
      </c>
      <c r="C1594" s="88">
        <v>33</v>
      </c>
      <c r="D1594" s="88" t="s">
        <v>120</v>
      </c>
      <c r="E1594" s="88" t="s">
        <v>874</v>
      </c>
      <c r="F1594" s="88" t="s">
        <v>865</v>
      </c>
      <c r="G1594" s="88" t="s">
        <v>752</v>
      </c>
      <c r="H1594" s="88" t="s">
        <v>596</v>
      </c>
    </row>
    <row r="1595" spans="1:8" x14ac:dyDescent="0.3">
      <c r="A1595" s="88" t="s">
        <v>716</v>
      </c>
      <c r="B1595" s="88">
        <v>36</v>
      </c>
      <c r="C1595" s="88">
        <v>34</v>
      </c>
      <c r="D1595" s="88" t="s">
        <v>120</v>
      </c>
      <c r="E1595" s="88" t="s">
        <v>704</v>
      </c>
      <c r="F1595" s="88" t="s">
        <v>872</v>
      </c>
      <c r="G1595" s="88" t="s">
        <v>755</v>
      </c>
      <c r="H1595" s="88" t="s">
        <v>596</v>
      </c>
    </row>
    <row r="1596" spans="1:8" x14ac:dyDescent="0.3">
      <c r="A1596" s="88" t="s">
        <v>716</v>
      </c>
      <c r="B1596" s="88">
        <v>36</v>
      </c>
      <c r="C1596" s="88">
        <v>35</v>
      </c>
      <c r="D1596" s="88" t="s">
        <v>120</v>
      </c>
      <c r="E1596" s="88" t="s">
        <v>875</v>
      </c>
      <c r="F1596" s="88" t="s">
        <v>656</v>
      </c>
      <c r="G1596" s="88" t="s">
        <v>758</v>
      </c>
      <c r="H1596" s="88" t="s">
        <v>596</v>
      </c>
    </row>
    <row r="1597" spans="1:8" ht="28.8" x14ac:dyDescent="0.3">
      <c r="A1597" s="88" t="s">
        <v>716</v>
      </c>
      <c r="B1597" s="88">
        <v>36</v>
      </c>
      <c r="C1597" s="88">
        <v>38</v>
      </c>
      <c r="D1597" s="88" t="s">
        <v>120</v>
      </c>
      <c r="E1597" s="88" t="s">
        <v>1582</v>
      </c>
      <c r="F1597" s="88" t="s">
        <v>878</v>
      </c>
      <c r="G1597" s="88" t="s">
        <v>719</v>
      </c>
      <c r="H1597" s="88" t="s">
        <v>596</v>
      </c>
    </row>
    <row r="1598" spans="1:8" ht="28.8" x14ac:dyDescent="0.3">
      <c r="A1598" s="88" t="s">
        <v>716</v>
      </c>
      <c r="B1598" s="88">
        <v>36</v>
      </c>
      <c r="C1598" s="88">
        <v>39</v>
      </c>
      <c r="D1598" s="88" t="s">
        <v>120</v>
      </c>
      <c r="E1598" s="88" t="s">
        <v>877</v>
      </c>
      <c r="F1598" s="88" t="s">
        <v>1583</v>
      </c>
      <c r="G1598" s="88" t="s">
        <v>724</v>
      </c>
      <c r="H1598" s="88" t="s">
        <v>596</v>
      </c>
    </row>
    <row r="1599" spans="1:8" x14ac:dyDescent="0.3">
      <c r="A1599" s="88" t="s">
        <v>716</v>
      </c>
      <c r="B1599" s="88">
        <v>37</v>
      </c>
      <c r="C1599" s="88">
        <v>32</v>
      </c>
      <c r="D1599" s="88" t="s">
        <v>121</v>
      </c>
      <c r="E1599" s="88" t="s">
        <v>1584</v>
      </c>
      <c r="F1599" s="88" t="s">
        <v>874</v>
      </c>
      <c r="G1599" s="88" t="s">
        <v>749</v>
      </c>
      <c r="H1599" s="88" t="s">
        <v>596</v>
      </c>
    </row>
    <row r="1600" spans="1:8" x14ac:dyDescent="0.3">
      <c r="A1600" s="88" t="s">
        <v>716</v>
      </c>
      <c r="B1600" s="88">
        <v>37</v>
      </c>
      <c r="C1600" s="88">
        <v>33</v>
      </c>
      <c r="D1600" s="88" t="s">
        <v>121</v>
      </c>
      <c r="E1600" s="88" t="s">
        <v>879</v>
      </c>
      <c r="F1600" s="88" t="s">
        <v>704</v>
      </c>
      <c r="G1600" s="88" t="s">
        <v>752</v>
      </c>
      <c r="H1600" s="88" t="s">
        <v>596</v>
      </c>
    </row>
    <row r="1601" spans="1:8" x14ac:dyDescent="0.3">
      <c r="A1601" s="88" t="s">
        <v>716</v>
      </c>
      <c r="B1601" s="88">
        <v>37</v>
      </c>
      <c r="C1601" s="88">
        <v>34</v>
      </c>
      <c r="D1601" s="88" t="s">
        <v>121</v>
      </c>
      <c r="E1601" s="88" t="s">
        <v>880</v>
      </c>
      <c r="F1601" s="88" t="s">
        <v>875</v>
      </c>
      <c r="G1601" s="88" t="s">
        <v>755</v>
      </c>
      <c r="H1601" s="88" t="s">
        <v>596</v>
      </c>
    </row>
    <row r="1602" spans="1:8" x14ac:dyDescent="0.3">
      <c r="A1602" s="88" t="s">
        <v>716</v>
      </c>
      <c r="B1602" s="88">
        <v>37</v>
      </c>
      <c r="C1602" s="88">
        <v>35</v>
      </c>
      <c r="D1602" s="88" t="s">
        <v>121</v>
      </c>
      <c r="E1602" s="88" t="s">
        <v>881</v>
      </c>
      <c r="F1602" s="88" t="s">
        <v>876</v>
      </c>
      <c r="G1602" s="88" t="s">
        <v>758</v>
      </c>
      <c r="H1602" s="88" t="s">
        <v>596</v>
      </c>
    </row>
    <row r="1603" spans="1:8" ht="28.8" x14ac:dyDescent="0.3">
      <c r="A1603" s="88" t="s">
        <v>716</v>
      </c>
      <c r="B1603" s="88">
        <v>37</v>
      </c>
      <c r="C1603" s="88">
        <v>38</v>
      </c>
      <c r="D1603" s="88" t="s">
        <v>121</v>
      </c>
      <c r="E1603" s="88" t="s">
        <v>1585</v>
      </c>
      <c r="F1603" s="88" t="s">
        <v>884</v>
      </c>
      <c r="G1603" s="88" t="s">
        <v>719</v>
      </c>
      <c r="H1603" s="88" t="s">
        <v>596</v>
      </c>
    </row>
    <row r="1604" spans="1:8" ht="28.8" x14ac:dyDescent="0.3">
      <c r="A1604" s="88" t="s">
        <v>716</v>
      </c>
      <c r="B1604" s="88">
        <v>37</v>
      </c>
      <c r="C1604" s="88">
        <v>39</v>
      </c>
      <c r="D1604" s="88" t="s">
        <v>121</v>
      </c>
      <c r="E1604" s="88" t="s">
        <v>883</v>
      </c>
      <c r="F1604" s="88" t="s">
        <v>1586</v>
      </c>
      <c r="G1604" s="88" t="s">
        <v>724</v>
      </c>
      <c r="H1604" s="88" t="s">
        <v>596</v>
      </c>
    </row>
    <row r="1605" spans="1:8" ht="28.8" x14ac:dyDescent="0.3">
      <c r="A1605" s="88" t="s">
        <v>716</v>
      </c>
      <c r="B1605" s="88">
        <v>38</v>
      </c>
      <c r="C1605" s="88">
        <v>32</v>
      </c>
      <c r="D1605" s="88" t="s">
        <v>122</v>
      </c>
      <c r="E1605" s="88" t="s">
        <v>1587</v>
      </c>
      <c r="F1605" s="88" t="s">
        <v>879</v>
      </c>
      <c r="G1605" s="88" t="s">
        <v>749</v>
      </c>
      <c r="H1605" s="88" t="s">
        <v>596</v>
      </c>
    </row>
    <row r="1606" spans="1:8" x14ac:dyDescent="0.3">
      <c r="A1606" s="88" t="s">
        <v>716</v>
      </c>
      <c r="B1606" s="88">
        <v>38</v>
      </c>
      <c r="C1606" s="88">
        <v>33</v>
      </c>
      <c r="D1606" s="88" t="s">
        <v>122</v>
      </c>
      <c r="E1606" s="88" t="s">
        <v>766</v>
      </c>
      <c r="F1606" s="88" t="s">
        <v>880</v>
      </c>
      <c r="G1606" s="88" t="s">
        <v>752</v>
      </c>
      <c r="H1606" s="88" t="s">
        <v>596</v>
      </c>
    </row>
    <row r="1607" spans="1:8" x14ac:dyDescent="0.3">
      <c r="A1607" s="88" t="s">
        <v>716</v>
      </c>
      <c r="B1607" s="88">
        <v>38</v>
      </c>
      <c r="C1607" s="88">
        <v>34</v>
      </c>
      <c r="D1607" s="88" t="s">
        <v>122</v>
      </c>
      <c r="E1607" s="88" t="s">
        <v>885</v>
      </c>
      <c r="F1607" s="88" t="s">
        <v>881</v>
      </c>
      <c r="G1607" s="88" t="s">
        <v>755</v>
      </c>
      <c r="H1607" s="88" t="s">
        <v>596</v>
      </c>
    </row>
    <row r="1608" spans="1:8" x14ac:dyDescent="0.3">
      <c r="A1608" s="88" t="s">
        <v>716</v>
      </c>
      <c r="B1608" s="88">
        <v>38</v>
      </c>
      <c r="C1608" s="88">
        <v>35</v>
      </c>
      <c r="D1608" s="88" t="s">
        <v>122</v>
      </c>
      <c r="E1608" s="88" t="s">
        <v>886</v>
      </c>
      <c r="F1608" s="88" t="s">
        <v>882</v>
      </c>
      <c r="G1608" s="88" t="s">
        <v>758</v>
      </c>
      <c r="H1608" s="88" t="s">
        <v>596</v>
      </c>
    </row>
    <row r="1609" spans="1:8" ht="28.8" x14ac:dyDescent="0.3">
      <c r="A1609" s="88" t="s">
        <v>716</v>
      </c>
      <c r="B1609" s="88">
        <v>38</v>
      </c>
      <c r="C1609" s="88">
        <v>38</v>
      </c>
      <c r="D1609" s="88" t="s">
        <v>122</v>
      </c>
      <c r="E1609" s="88" t="s">
        <v>1588</v>
      </c>
      <c r="F1609" s="88" t="s">
        <v>888</v>
      </c>
      <c r="G1609" s="88" t="s">
        <v>719</v>
      </c>
      <c r="H1609" s="88" t="s">
        <v>596</v>
      </c>
    </row>
    <row r="1610" spans="1:8" ht="28.8" x14ac:dyDescent="0.3">
      <c r="A1610" s="88" t="s">
        <v>716</v>
      </c>
      <c r="B1610" s="88">
        <v>38</v>
      </c>
      <c r="C1610" s="88">
        <v>39</v>
      </c>
      <c r="D1610" s="88" t="s">
        <v>122</v>
      </c>
      <c r="E1610" s="88" t="s">
        <v>887</v>
      </c>
      <c r="F1610" s="88" t="s">
        <v>666</v>
      </c>
      <c r="G1610" s="88" t="s">
        <v>724</v>
      </c>
      <c r="H1610" s="88" t="s">
        <v>596</v>
      </c>
    </row>
    <row r="1611" spans="1:8" x14ac:dyDescent="0.3">
      <c r="A1611" s="88" t="s">
        <v>716</v>
      </c>
      <c r="B1611" s="88">
        <v>39</v>
      </c>
      <c r="C1611" s="88">
        <v>32</v>
      </c>
      <c r="D1611" s="88" t="s">
        <v>123</v>
      </c>
      <c r="E1611" s="88" t="s">
        <v>1589</v>
      </c>
      <c r="F1611" s="88" t="s">
        <v>766</v>
      </c>
      <c r="G1611" s="88" t="s">
        <v>749</v>
      </c>
      <c r="H1611" s="88" t="s">
        <v>596</v>
      </c>
    </row>
    <row r="1612" spans="1:8" x14ac:dyDescent="0.3">
      <c r="A1612" s="88" t="s">
        <v>716</v>
      </c>
      <c r="B1612" s="88">
        <v>39</v>
      </c>
      <c r="C1612" s="88">
        <v>33</v>
      </c>
      <c r="D1612" s="88" t="s">
        <v>123</v>
      </c>
      <c r="E1612" s="88" t="s">
        <v>889</v>
      </c>
      <c r="F1612" s="88" t="s">
        <v>885</v>
      </c>
      <c r="G1612" s="88" t="s">
        <v>752</v>
      </c>
      <c r="H1612" s="88" t="s">
        <v>596</v>
      </c>
    </row>
    <row r="1613" spans="1:8" x14ac:dyDescent="0.3">
      <c r="A1613" s="88" t="s">
        <v>716</v>
      </c>
      <c r="B1613" s="88">
        <v>39</v>
      </c>
      <c r="C1613" s="88">
        <v>34</v>
      </c>
      <c r="D1613" s="88" t="s">
        <v>123</v>
      </c>
      <c r="E1613" s="88" t="s">
        <v>792</v>
      </c>
      <c r="F1613" s="88" t="s">
        <v>886</v>
      </c>
      <c r="G1613" s="88" t="s">
        <v>755</v>
      </c>
      <c r="H1613" s="88" t="s">
        <v>596</v>
      </c>
    </row>
    <row r="1614" spans="1:8" x14ac:dyDescent="0.3">
      <c r="A1614" s="88" t="s">
        <v>716</v>
      </c>
      <c r="B1614" s="88">
        <v>39</v>
      </c>
      <c r="C1614" s="88">
        <v>35</v>
      </c>
      <c r="D1614" s="88" t="s">
        <v>123</v>
      </c>
      <c r="E1614" s="88" t="s">
        <v>617</v>
      </c>
      <c r="F1614" s="88" t="s">
        <v>876</v>
      </c>
      <c r="G1614" s="88" t="s">
        <v>758</v>
      </c>
      <c r="H1614" s="88" t="s">
        <v>596</v>
      </c>
    </row>
    <row r="1615" spans="1:8" ht="28.8" x14ac:dyDescent="0.3">
      <c r="A1615" s="88" t="s">
        <v>716</v>
      </c>
      <c r="B1615" s="88">
        <v>39</v>
      </c>
      <c r="C1615" s="88">
        <v>38</v>
      </c>
      <c r="D1615" s="88" t="s">
        <v>123</v>
      </c>
      <c r="E1615" s="88" t="s">
        <v>1590</v>
      </c>
      <c r="F1615" s="88" t="s">
        <v>1591</v>
      </c>
      <c r="G1615" s="88" t="s">
        <v>719</v>
      </c>
      <c r="H1615" s="88" t="s">
        <v>596</v>
      </c>
    </row>
    <row r="1616" spans="1:8" ht="28.8" x14ac:dyDescent="0.3">
      <c r="A1616" s="88" t="s">
        <v>716</v>
      </c>
      <c r="B1616" s="88">
        <v>39</v>
      </c>
      <c r="C1616" s="88">
        <v>39</v>
      </c>
      <c r="D1616" s="88" t="s">
        <v>123</v>
      </c>
      <c r="E1616" s="88" t="s">
        <v>1591</v>
      </c>
      <c r="F1616" s="88" t="s">
        <v>1592</v>
      </c>
      <c r="G1616" s="88" t="s">
        <v>724</v>
      </c>
      <c r="H1616" s="88" t="s">
        <v>596</v>
      </c>
    </row>
    <row r="1617" spans="1:8" x14ac:dyDescent="0.3">
      <c r="A1617" s="88" t="s">
        <v>716</v>
      </c>
      <c r="B1617" s="88">
        <v>40</v>
      </c>
      <c r="C1617" s="88">
        <v>32</v>
      </c>
      <c r="D1617" s="88" t="s">
        <v>124</v>
      </c>
      <c r="E1617" s="88" t="s">
        <v>1593</v>
      </c>
      <c r="F1617" s="88" t="s">
        <v>889</v>
      </c>
      <c r="G1617" s="88" t="s">
        <v>749</v>
      </c>
      <c r="H1617" s="88" t="s">
        <v>596</v>
      </c>
    </row>
    <row r="1618" spans="1:8" x14ac:dyDescent="0.3">
      <c r="A1618" s="88" t="s">
        <v>716</v>
      </c>
      <c r="B1618" s="88">
        <v>40</v>
      </c>
      <c r="C1618" s="88">
        <v>33</v>
      </c>
      <c r="D1618" s="88" t="s">
        <v>124</v>
      </c>
      <c r="E1618" s="88" t="s">
        <v>890</v>
      </c>
      <c r="F1618" s="88" t="s">
        <v>792</v>
      </c>
      <c r="G1618" s="88" t="s">
        <v>752</v>
      </c>
      <c r="H1618" s="88" t="s">
        <v>596</v>
      </c>
    </row>
    <row r="1619" spans="1:8" x14ac:dyDescent="0.3">
      <c r="A1619" s="88" t="s">
        <v>716</v>
      </c>
      <c r="B1619" s="88">
        <v>40</v>
      </c>
      <c r="C1619" s="88">
        <v>34</v>
      </c>
      <c r="D1619" s="88" t="s">
        <v>124</v>
      </c>
      <c r="E1619" s="88" t="s">
        <v>880</v>
      </c>
      <c r="F1619" s="88" t="s">
        <v>617</v>
      </c>
      <c r="G1619" s="88" t="s">
        <v>755</v>
      </c>
      <c r="H1619" s="88" t="s">
        <v>596</v>
      </c>
    </row>
    <row r="1620" spans="1:8" x14ac:dyDescent="0.3">
      <c r="A1620" s="88" t="s">
        <v>716</v>
      </c>
      <c r="B1620" s="88">
        <v>40</v>
      </c>
      <c r="C1620" s="88">
        <v>35</v>
      </c>
      <c r="D1620" s="88" t="s">
        <v>124</v>
      </c>
      <c r="E1620" s="88" t="s">
        <v>836</v>
      </c>
      <c r="F1620" s="88" t="s">
        <v>885</v>
      </c>
      <c r="G1620" s="88" t="s">
        <v>758</v>
      </c>
      <c r="H1620" s="88" t="s">
        <v>596</v>
      </c>
    </row>
    <row r="1621" spans="1:8" ht="28.8" x14ac:dyDescent="0.3">
      <c r="A1621" s="88" t="s">
        <v>716</v>
      </c>
      <c r="B1621" s="88">
        <v>40</v>
      </c>
      <c r="C1621" s="88">
        <v>38</v>
      </c>
      <c r="D1621" s="88" t="s">
        <v>124</v>
      </c>
      <c r="E1621" s="88" t="s">
        <v>1594</v>
      </c>
      <c r="F1621" s="88" t="s">
        <v>893</v>
      </c>
      <c r="G1621" s="88" t="s">
        <v>719</v>
      </c>
      <c r="H1621" s="88" t="s">
        <v>596</v>
      </c>
    </row>
    <row r="1622" spans="1:8" ht="28.8" x14ac:dyDescent="0.3">
      <c r="A1622" s="88" t="s">
        <v>716</v>
      </c>
      <c r="B1622" s="88">
        <v>40</v>
      </c>
      <c r="C1622" s="88">
        <v>39</v>
      </c>
      <c r="D1622" s="88" t="s">
        <v>124</v>
      </c>
      <c r="E1622" s="88" t="s">
        <v>892</v>
      </c>
      <c r="F1622" s="88" t="s">
        <v>1595</v>
      </c>
      <c r="G1622" s="88" t="s">
        <v>724</v>
      </c>
      <c r="H1622" s="88" t="s">
        <v>596</v>
      </c>
    </row>
    <row r="1623" spans="1:8" x14ac:dyDescent="0.3">
      <c r="A1623" s="88" t="s">
        <v>716</v>
      </c>
      <c r="B1623" s="88">
        <v>41</v>
      </c>
      <c r="C1623" s="88">
        <v>18</v>
      </c>
      <c r="D1623" s="88" t="s">
        <v>125</v>
      </c>
      <c r="E1623" s="88" t="s">
        <v>894</v>
      </c>
      <c r="F1623" s="88" t="s">
        <v>895</v>
      </c>
      <c r="G1623" s="88" t="s">
        <v>896</v>
      </c>
      <c r="H1623" s="88" t="s">
        <v>596</v>
      </c>
    </row>
    <row r="1624" spans="1:8" ht="28.8" x14ac:dyDescent="0.3">
      <c r="A1624" s="88" t="s">
        <v>716</v>
      </c>
      <c r="B1624" s="88">
        <v>41</v>
      </c>
      <c r="C1624" s="88">
        <v>32</v>
      </c>
      <c r="D1624" s="88" t="s">
        <v>125</v>
      </c>
      <c r="E1624" s="88" t="s">
        <v>1596</v>
      </c>
      <c r="F1624" s="88" t="s">
        <v>985</v>
      </c>
      <c r="G1624" s="88" t="s">
        <v>749</v>
      </c>
      <c r="H1624" s="88" t="s">
        <v>596</v>
      </c>
    </row>
    <row r="1625" spans="1:8" x14ac:dyDescent="0.3">
      <c r="A1625" s="88" t="s">
        <v>716</v>
      </c>
      <c r="B1625" s="88">
        <v>41</v>
      </c>
      <c r="C1625" s="88">
        <v>33</v>
      </c>
      <c r="D1625" s="88" t="s">
        <v>125</v>
      </c>
      <c r="E1625" s="88" t="s">
        <v>985</v>
      </c>
      <c r="F1625" s="88" t="s">
        <v>1597</v>
      </c>
      <c r="G1625" s="88" t="s">
        <v>752</v>
      </c>
      <c r="H1625" s="88" t="s">
        <v>596</v>
      </c>
    </row>
    <row r="1626" spans="1:8" x14ac:dyDescent="0.3">
      <c r="A1626" s="88" t="s">
        <v>716</v>
      </c>
      <c r="B1626" s="88">
        <v>41</v>
      </c>
      <c r="C1626" s="88">
        <v>34</v>
      </c>
      <c r="D1626" s="88" t="s">
        <v>125</v>
      </c>
      <c r="E1626" s="88" t="s">
        <v>1597</v>
      </c>
      <c r="F1626" s="88" t="s">
        <v>656</v>
      </c>
      <c r="G1626" s="88" t="s">
        <v>755</v>
      </c>
      <c r="H1626" s="88" t="s">
        <v>596</v>
      </c>
    </row>
    <row r="1627" spans="1:8" x14ac:dyDescent="0.3">
      <c r="A1627" s="88" t="s">
        <v>716</v>
      </c>
      <c r="B1627" s="88">
        <v>41</v>
      </c>
      <c r="C1627" s="88">
        <v>35</v>
      </c>
      <c r="D1627" s="88" t="s">
        <v>125</v>
      </c>
      <c r="E1627" s="88" t="s">
        <v>656</v>
      </c>
      <c r="F1627" s="88" t="s">
        <v>649</v>
      </c>
      <c r="G1627" s="88" t="s">
        <v>758</v>
      </c>
      <c r="H1627" s="88" t="s">
        <v>596</v>
      </c>
    </row>
    <row r="1628" spans="1:8" ht="28.8" x14ac:dyDescent="0.3">
      <c r="A1628" s="88" t="s">
        <v>716</v>
      </c>
      <c r="B1628" s="88">
        <v>41</v>
      </c>
      <c r="C1628" s="88">
        <v>38</v>
      </c>
      <c r="D1628" s="88" t="s">
        <v>125</v>
      </c>
      <c r="E1628" s="88" t="s">
        <v>1598</v>
      </c>
      <c r="F1628" s="88" t="s">
        <v>898</v>
      </c>
      <c r="G1628" s="88" t="s">
        <v>719</v>
      </c>
      <c r="H1628" s="88" t="s">
        <v>596</v>
      </c>
    </row>
    <row r="1629" spans="1:8" ht="28.8" x14ac:dyDescent="0.3">
      <c r="A1629" s="88" t="s">
        <v>716</v>
      </c>
      <c r="B1629" s="88">
        <v>41</v>
      </c>
      <c r="C1629" s="88">
        <v>39</v>
      </c>
      <c r="D1629" s="88" t="s">
        <v>125</v>
      </c>
      <c r="E1629" s="88" t="s">
        <v>897</v>
      </c>
      <c r="F1629" s="88" t="s">
        <v>900</v>
      </c>
      <c r="G1629" s="88" t="s">
        <v>724</v>
      </c>
      <c r="H1629" s="88" t="s">
        <v>596</v>
      </c>
    </row>
    <row r="1630" spans="1:8" x14ac:dyDescent="0.3">
      <c r="A1630" s="88" t="s">
        <v>716</v>
      </c>
      <c r="B1630" s="88">
        <v>42</v>
      </c>
      <c r="C1630" s="88">
        <v>18</v>
      </c>
      <c r="D1630" s="88" t="s">
        <v>126</v>
      </c>
      <c r="E1630" s="88" t="s">
        <v>895</v>
      </c>
      <c r="F1630" s="88" t="s">
        <v>894</v>
      </c>
      <c r="G1630" s="88" t="s">
        <v>896</v>
      </c>
      <c r="H1630" s="88" t="s">
        <v>596</v>
      </c>
    </row>
    <row r="1631" spans="1:8" x14ac:dyDescent="0.3">
      <c r="A1631" s="88" t="s">
        <v>716</v>
      </c>
      <c r="B1631" s="88">
        <v>42</v>
      </c>
      <c r="C1631" s="88">
        <v>32</v>
      </c>
      <c r="D1631" s="88" t="s">
        <v>126</v>
      </c>
      <c r="E1631" s="88" t="s">
        <v>1599</v>
      </c>
      <c r="F1631" s="88" t="s">
        <v>890</v>
      </c>
      <c r="G1631" s="88" t="s">
        <v>749</v>
      </c>
      <c r="H1631" s="88" t="s">
        <v>596</v>
      </c>
    </row>
    <row r="1632" spans="1:8" x14ac:dyDescent="0.3">
      <c r="A1632" s="88" t="s">
        <v>716</v>
      </c>
      <c r="B1632" s="88">
        <v>42</v>
      </c>
      <c r="C1632" s="88">
        <v>33</v>
      </c>
      <c r="D1632" s="88" t="s">
        <v>126</v>
      </c>
      <c r="E1632" s="88" t="s">
        <v>901</v>
      </c>
      <c r="F1632" s="88" t="s">
        <v>880</v>
      </c>
      <c r="G1632" s="88" t="s">
        <v>752</v>
      </c>
      <c r="H1632" s="88" t="s">
        <v>596</v>
      </c>
    </row>
    <row r="1633" spans="1:8" x14ac:dyDescent="0.3">
      <c r="A1633" s="88" t="s">
        <v>716</v>
      </c>
      <c r="B1633" s="88">
        <v>42</v>
      </c>
      <c r="C1633" s="88">
        <v>34</v>
      </c>
      <c r="D1633" s="88" t="s">
        <v>126</v>
      </c>
      <c r="E1633" s="88" t="s">
        <v>902</v>
      </c>
      <c r="F1633" s="88" t="s">
        <v>836</v>
      </c>
      <c r="G1633" s="88" t="s">
        <v>755</v>
      </c>
      <c r="H1633" s="88" t="s">
        <v>596</v>
      </c>
    </row>
    <row r="1634" spans="1:8" x14ac:dyDescent="0.3">
      <c r="A1634" s="88" t="s">
        <v>716</v>
      </c>
      <c r="B1634" s="88">
        <v>42</v>
      </c>
      <c r="C1634" s="88">
        <v>35</v>
      </c>
      <c r="D1634" s="88" t="s">
        <v>126</v>
      </c>
      <c r="E1634" s="88" t="s">
        <v>903</v>
      </c>
      <c r="F1634" s="88" t="s">
        <v>891</v>
      </c>
      <c r="G1634" s="88" t="s">
        <v>758</v>
      </c>
      <c r="H1634" s="88" t="s">
        <v>596</v>
      </c>
    </row>
    <row r="1635" spans="1:8" ht="28.8" x14ac:dyDescent="0.3">
      <c r="A1635" s="88" t="s">
        <v>716</v>
      </c>
      <c r="B1635" s="88">
        <v>42</v>
      </c>
      <c r="C1635" s="88">
        <v>38</v>
      </c>
      <c r="D1635" s="88" t="s">
        <v>126</v>
      </c>
      <c r="E1635" s="88" t="s">
        <v>1600</v>
      </c>
      <c r="F1635" s="88" t="s">
        <v>906</v>
      </c>
      <c r="G1635" s="88" t="s">
        <v>719</v>
      </c>
      <c r="H1635" s="88" t="s">
        <v>596</v>
      </c>
    </row>
    <row r="1636" spans="1:8" ht="28.8" x14ac:dyDescent="0.3">
      <c r="A1636" s="88" t="s">
        <v>716</v>
      </c>
      <c r="B1636" s="88">
        <v>42</v>
      </c>
      <c r="C1636" s="88">
        <v>39</v>
      </c>
      <c r="D1636" s="88" t="s">
        <v>126</v>
      </c>
      <c r="E1636" s="88" t="s">
        <v>905</v>
      </c>
      <c r="F1636" s="88" t="s">
        <v>907</v>
      </c>
      <c r="G1636" s="88" t="s">
        <v>724</v>
      </c>
      <c r="H1636" s="88" t="s">
        <v>596</v>
      </c>
    </row>
    <row r="1637" spans="1:8" ht="28.8" x14ac:dyDescent="0.3">
      <c r="A1637" s="88" t="s">
        <v>716</v>
      </c>
      <c r="B1637" s="88">
        <v>43</v>
      </c>
      <c r="C1637" s="88">
        <v>32</v>
      </c>
      <c r="D1637" s="88" t="s">
        <v>127</v>
      </c>
      <c r="E1637" s="88" t="s">
        <v>1601</v>
      </c>
      <c r="F1637" s="88" t="s">
        <v>901</v>
      </c>
      <c r="G1637" s="88" t="s">
        <v>749</v>
      </c>
      <c r="H1637" s="88" t="s">
        <v>596</v>
      </c>
    </row>
    <row r="1638" spans="1:8" x14ac:dyDescent="0.3">
      <c r="A1638" s="88" t="s">
        <v>716</v>
      </c>
      <c r="B1638" s="88">
        <v>43</v>
      </c>
      <c r="C1638" s="88">
        <v>33</v>
      </c>
      <c r="D1638" s="88" t="s">
        <v>127</v>
      </c>
      <c r="E1638" s="88" t="s">
        <v>908</v>
      </c>
      <c r="F1638" s="88" t="s">
        <v>902</v>
      </c>
      <c r="G1638" s="88" t="s">
        <v>752</v>
      </c>
      <c r="H1638" s="88" t="s">
        <v>596</v>
      </c>
    </row>
    <row r="1639" spans="1:8" x14ac:dyDescent="0.3">
      <c r="A1639" s="88" t="s">
        <v>716</v>
      </c>
      <c r="B1639" s="88">
        <v>43</v>
      </c>
      <c r="C1639" s="88">
        <v>34</v>
      </c>
      <c r="D1639" s="88" t="s">
        <v>127</v>
      </c>
      <c r="E1639" s="88" t="s">
        <v>909</v>
      </c>
      <c r="F1639" s="88" t="s">
        <v>903</v>
      </c>
      <c r="G1639" s="88" t="s">
        <v>755</v>
      </c>
      <c r="H1639" s="88" t="s">
        <v>596</v>
      </c>
    </row>
    <row r="1640" spans="1:8" x14ac:dyDescent="0.3">
      <c r="A1640" s="88" t="s">
        <v>716</v>
      </c>
      <c r="B1640" s="88">
        <v>43</v>
      </c>
      <c r="C1640" s="88">
        <v>35</v>
      </c>
      <c r="D1640" s="88" t="s">
        <v>127</v>
      </c>
      <c r="E1640" s="88" t="s">
        <v>826</v>
      </c>
      <c r="F1640" s="88" t="s">
        <v>904</v>
      </c>
      <c r="G1640" s="88" t="s">
        <v>758</v>
      </c>
      <c r="H1640" s="88" t="s">
        <v>596</v>
      </c>
    </row>
    <row r="1641" spans="1:8" ht="28.8" x14ac:dyDescent="0.3">
      <c r="A1641" s="88" t="s">
        <v>716</v>
      </c>
      <c r="B1641" s="88">
        <v>43</v>
      </c>
      <c r="C1641" s="88">
        <v>38</v>
      </c>
      <c r="D1641" s="88" t="s">
        <v>127</v>
      </c>
      <c r="E1641" s="88" t="s">
        <v>1602</v>
      </c>
      <c r="F1641" s="88" t="s">
        <v>911</v>
      </c>
      <c r="G1641" s="88" t="s">
        <v>719</v>
      </c>
      <c r="H1641" s="88" t="s">
        <v>596</v>
      </c>
    </row>
    <row r="1642" spans="1:8" ht="28.8" x14ac:dyDescent="0.3">
      <c r="A1642" s="88" t="s">
        <v>716</v>
      </c>
      <c r="B1642" s="88">
        <v>43</v>
      </c>
      <c r="C1642" s="88">
        <v>39</v>
      </c>
      <c r="D1642" s="88" t="s">
        <v>127</v>
      </c>
      <c r="E1642" s="88" t="s">
        <v>910</v>
      </c>
      <c r="F1642" s="88" t="s">
        <v>1603</v>
      </c>
      <c r="G1642" s="88" t="s">
        <v>724</v>
      </c>
      <c r="H1642" s="88" t="s">
        <v>596</v>
      </c>
    </row>
    <row r="1643" spans="1:8" x14ac:dyDescent="0.3">
      <c r="A1643" s="88" t="s">
        <v>716</v>
      </c>
      <c r="B1643" s="88">
        <v>44</v>
      </c>
      <c r="C1643" s="88">
        <v>32</v>
      </c>
      <c r="D1643" s="88" t="s">
        <v>128</v>
      </c>
      <c r="E1643" s="88" t="s">
        <v>1259</v>
      </c>
      <c r="F1643" s="88" t="s">
        <v>908</v>
      </c>
      <c r="G1643" s="88" t="s">
        <v>749</v>
      </c>
      <c r="H1643" s="88" t="s">
        <v>596</v>
      </c>
    </row>
    <row r="1644" spans="1:8" x14ac:dyDescent="0.3">
      <c r="A1644" s="88" t="s">
        <v>716</v>
      </c>
      <c r="B1644" s="88">
        <v>44</v>
      </c>
      <c r="C1644" s="88">
        <v>33</v>
      </c>
      <c r="D1644" s="88" t="s">
        <v>128</v>
      </c>
      <c r="E1644" s="88" t="s">
        <v>811</v>
      </c>
      <c r="F1644" s="88" t="s">
        <v>909</v>
      </c>
      <c r="G1644" s="88" t="s">
        <v>752</v>
      </c>
      <c r="H1644" s="88" t="s">
        <v>596</v>
      </c>
    </row>
    <row r="1645" spans="1:8" x14ac:dyDescent="0.3">
      <c r="A1645" s="88" t="s">
        <v>716</v>
      </c>
      <c r="B1645" s="88">
        <v>44</v>
      </c>
      <c r="C1645" s="88">
        <v>34</v>
      </c>
      <c r="D1645" s="88" t="s">
        <v>128</v>
      </c>
      <c r="E1645" s="88" t="s">
        <v>912</v>
      </c>
      <c r="F1645" s="88" t="s">
        <v>826</v>
      </c>
      <c r="G1645" s="88" t="s">
        <v>755</v>
      </c>
      <c r="H1645" s="88" t="s">
        <v>596</v>
      </c>
    </row>
    <row r="1646" spans="1:8" x14ac:dyDescent="0.3">
      <c r="A1646" s="88" t="s">
        <v>716</v>
      </c>
      <c r="B1646" s="88">
        <v>44</v>
      </c>
      <c r="C1646" s="88">
        <v>35</v>
      </c>
      <c r="D1646" s="88" t="s">
        <v>128</v>
      </c>
      <c r="E1646" s="88" t="s">
        <v>913</v>
      </c>
      <c r="F1646" s="88" t="s">
        <v>817</v>
      </c>
      <c r="G1646" s="88" t="s">
        <v>758</v>
      </c>
      <c r="H1646" s="88" t="s">
        <v>596</v>
      </c>
    </row>
    <row r="1647" spans="1:8" ht="28.8" x14ac:dyDescent="0.3">
      <c r="A1647" s="88" t="s">
        <v>716</v>
      </c>
      <c r="B1647" s="88">
        <v>44</v>
      </c>
      <c r="C1647" s="88">
        <v>38</v>
      </c>
      <c r="D1647" s="88" t="s">
        <v>128</v>
      </c>
      <c r="E1647" s="88" t="s">
        <v>1604</v>
      </c>
      <c r="F1647" s="88" t="s">
        <v>915</v>
      </c>
      <c r="G1647" s="88" t="s">
        <v>719</v>
      </c>
      <c r="H1647" s="88" t="s">
        <v>596</v>
      </c>
    </row>
    <row r="1648" spans="1:8" ht="28.8" x14ac:dyDescent="0.3">
      <c r="A1648" s="88" t="s">
        <v>716</v>
      </c>
      <c r="B1648" s="88">
        <v>44</v>
      </c>
      <c r="C1648" s="88">
        <v>39</v>
      </c>
      <c r="D1648" s="88" t="s">
        <v>128</v>
      </c>
      <c r="E1648" s="88" t="s">
        <v>696</v>
      </c>
      <c r="F1648" s="88" t="s">
        <v>1605</v>
      </c>
      <c r="G1648" s="88" t="s">
        <v>724</v>
      </c>
      <c r="H1648" s="88" t="s">
        <v>596</v>
      </c>
    </row>
    <row r="1649" spans="1:8" ht="28.8" x14ac:dyDescent="0.3">
      <c r="A1649" s="88" t="s">
        <v>716</v>
      </c>
      <c r="B1649" s="88">
        <v>45</v>
      </c>
      <c r="C1649" s="88">
        <v>32</v>
      </c>
      <c r="D1649" s="88" t="s">
        <v>129</v>
      </c>
      <c r="E1649" s="88" t="s">
        <v>1606</v>
      </c>
      <c r="F1649" s="88" t="s">
        <v>866</v>
      </c>
      <c r="G1649" s="88" t="s">
        <v>749</v>
      </c>
      <c r="H1649" s="88" t="s">
        <v>596</v>
      </c>
    </row>
    <row r="1650" spans="1:8" x14ac:dyDescent="0.3">
      <c r="A1650" s="88" t="s">
        <v>716</v>
      </c>
      <c r="B1650" s="88">
        <v>45</v>
      </c>
      <c r="C1650" s="88">
        <v>33</v>
      </c>
      <c r="D1650" s="88" t="s">
        <v>129</v>
      </c>
      <c r="E1650" s="88" t="s">
        <v>916</v>
      </c>
      <c r="F1650" s="88" t="s">
        <v>835</v>
      </c>
      <c r="G1650" s="88" t="s">
        <v>752</v>
      </c>
      <c r="H1650" s="88" t="s">
        <v>596</v>
      </c>
    </row>
    <row r="1651" spans="1:8" x14ac:dyDescent="0.3">
      <c r="A1651" s="88" t="s">
        <v>716</v>
      </c>
      <c r="B1651" s="88">
        <v>45</v>
      </c>
      <c r="C1651" s="88">
        <v>34</v>
      </c>
      <c r="D1651" s="88" t="s">
        <v>129</v>
      </c>
      <c r="E1651" s="88" t="s">
        <v>917</v>
      </c>
      <c r="F1651" s="88" t="s">
        <v>854</v>
      </c>
      <c r="G1651" s="88" t="s">
        <v>755</v>
      </c>
      <c r="H1651" s="88" t="s">
        <v>596</v>
      </c>
    </row>
    <row r="1652" spans="1:8" x14ac:dyDescent="0.3">
      <c r="A1652" s="88" t="s">
        <v>716</v>
      </c>
      <c r="B1652" s="88">
        <v>45</v>
      </c>
      <c r="C1652" s="88">
        <v>35</v>
      </c>
      <c r="D1652" s="88" t="s">
        <v>129</v>
      </c>
      <c r="E1652" s="88" t="s">
        <v>918</v>
      </c>
      <c r="F1652" s="88" t="s">
        <v>920</v>
      </c>
      <c r="G1652" s="88" t="s">
        <v>758</v>
      </c>
      <c r="H1652" s="88" t="s">
        <v>596</v>
      </c>
    </row>
    <row r="1653" spans="1:8" ht="28.8" x14ac:dyDescent="0.3">
      <c r="A1653" s="88" t="s">
        <v>716</v>
      </c>
      <c r="B1653" s="88">
        <v>45</v>
      </c>
      <c r="C1653" s="88">
        <v>38</v>
      </c>
      <c r="D1653" s="88" t="s">
        <v>129</v>
      </c>
      <c r="E1653" s="88" t="s">
        <v>1607</v>
      </c>
      <c r="F1653" s="88" t="s">
        <v>746</v>
      </c>
      <c r="G1653" s="88" t="s">
        <v>719</v>
      </c>
      <c r="H1653" s="88" t="s">
        <v>596</v>
      </c>
    </row>
    <row r="1654" spans="1:8" ht="28.8" x14ac:dyDescent="0.3">
      <c r="A1654" s="88" t="s">
        <v>716</v>
      </c>
      <c r="B1654" s="88">
        <v>45</v>
      </c>
      <c r="C1654" s="88">
        <v>39</v>
      </c>
      <c r="D1654" s="88" t="s">
        <v>129</v>
      </c>
      <c r="E1654" s="88" t="s">
        <v>745</v>
      </c>
      <c r="F1654" s="88" t="s">
        <v>1608</v>
      </c>
      <c r="G1654" s="88" t="s">
        <v>724</v>
      </c>
      <c r="H1654" s="88" t="s">
        <v>596</v>
      </c>
    </row>
    <row r="1655" spans="1:8" x14ac:dyDescent="0.3">
      <c r="A1655" s="88" t="s">
        <v>716</v>
      </c>
      <c r="B1655" s="88">
        <v>46</v>
      </c>
      <c r="C1655" s="88">
        <v>32</v>
      </c>
      <c r="D1655" s="88" t="s">
        <v>130</v>
      </c>
      <c r="E1655" s="88" t="s">
        <v>1529</v>
      </c>
      <c r="F1655" s="88" t="s">
        <v>811</v>
      </c>
      <c r="G1655" s="88" t="s">
        <v>749</v>
      </c>
      <c r="H1655" s="88" t="s">
        <v>596</v>
      </c>
    </row>
    <row r="1656" spans="1:8" x14ac:dyDescent="0.3">
      <c r="A1656" s="88" t="s">
        <v>716</v>
      </c>
      <c r="B1656" s="88">
        <v>46</v>
      </c>
      <c r="C1656" s="88">
        <v>33</v>
      </c>
      <c r="D1656" s="88" t="s">
        <v>130</v>
      </c>
      <c r="E1656" s="88" t="s">
        <v>921</v>
      </c>
      <c r="F1656" s="88" t="s">
        <v>912</v>
      </c>
      <c r="G1656" s="88" t="s">
        <v>752</v>
      </c>
      <c r="H1656" s="88" t="s">
        <v>596</v>
      </c>
    </row>
    <row r="1657" spans="1:8" x14ac:dyDescent="0.3">
      <c r="A1657" s="88" t="s">
        <v>716</v>
      </c>
      <c r="B1657" s="88">
        <v>46</v>
      </c>
      <c r="C1657" s="88">
        <v>34</v>
      </c>
      <c r="D1657" s="88" t="s">
        <v>130</v>
      </c>
      <c r="E1657" s="88" t="s">
        <v>922</v>
      </c>
      <c r="F1657" s="88" t="s">
        <v>913</v>
      </c>
      <c r="G1657" s="88" t="s">
        <v>755</v>
      </c>
      <c r="H1657" s="88" t="s">
        <v>596</v>
      </c>
    </row>
    <row r="1658" spans="1:8" x14ac:dyDescent="0.3">
      <c r="A1658" s="88" t="s">
        <v>716</v>
      </c>
      <c r="B1658" s="88">
        <v>46</v>
      </c>
      <c r="C1658" s="88">
        <v>35</v>
      </c>
      <c r="D1658" s="88" t="s">
        <v>130</v>
      </c>
      <c r="E1658" s="88" t="s">
        <v>923</v>
      </c>
      <c r="F1658" s="88" t="s">
        <v>914</v>
      </c>
      <c r="G1658" s="88" t="s">
        <v>758</v>
      </c>
      <c r="H1658" s="88" t="s">
        <v>596</v>
      </c>
    </row>
    <row r="1659" spans="1:8" ht="28.8" x14ac:dyDescent="0.3">
      <c r="A1659" s="88" t="s">
        <v>716</v>
      </c>
      <c r="B1659" s="88">
        <v>46</v>
      </c>
      <c r="C1659" s="88">
        <v>38</v>
      </c>
      <c r="D1659" s="88" t="s">
        <v>130</v>
      </c>
      <c r="E1659" s="88" t="s">
        <v>1609</v>
      </c>
      <c r="F1659" s="88" t="s">
        <v>925</v>
      </c>
      <c r="G1659" s="88" t="s">
        <v>719</v>
      </c>
      <c r="H1659" s="88" t="s">
        <v>596</v>
      </c>
    </row>
    <row r="1660" spans="1:8" ht="28.8" x14ac:dyDescent="0.3">
      <c r="A1660" s="88" t="s">
        <v>716</v>
      </c>
      <c r="B1660" s="88">
        <v>46</v>
      </c>
      <c r="C1660" s="88">
        <v>39</v>
      </c>
      <c r="D1660" s="88" t="s">
        <v>130</v>
      </c>
      <c r="E1660" s="88" t="s">
        <v>924</v>
      </c>
      <c r="F1660" s="88" t="s">
        <v>1610</v>
      </c>
      <c r="G1660" s="88" t="s">
        <v>724</v>
      </c>
      <c r="H1660" s="88" t="s">
        <v>596</v>
      </c>
    </row>
    <row r="1661" spans="1:8" ht="28.8" x14ac:dyDescent="0.3">
      <c r="A1661" s="88" t="s">
        <v>716</v>
      </c>
      <c r="B1661" s="88">
        <v>47</v>
      </c>
      <c r="C1661" s="88">
        <v>32</v>
      </c>
      <c r="D1661" s="88" t="s">
        <v>131</v>
      </c>
      <c r="E1661" s="88" t="s">
        <v>1611</v>
      </c>
      <c r="F1661" s="88" t="s">
        <v>916</v>
      </c>
      <c r="G1661" s="88" t="s">
        <v>749</v>
      </c>
      <c r="H1661" s="88" t="s">
        <v>596</v>
      </c>
    </row>
    <row r="1662" spans="1:8" x14ac:dyDescent="0.3">
      <c r="A1662" s="88" t="s">
        <v>716</v>
      </c>
      <c r="B1662" s="88">
        <v>47</v>
      </c>
      <c r="C1662" s="88">
        <v>33</v>
      </c>
      <c r="D1662" s="88" t="s">
        <v>131</v>
      </c>
      <c r="E1662" s="88" t="s">
        <v>926</v>
      </c>
      <c r="F1662" s="88" t="s">
        <v>917</v>
      </c>
      <c r="G1662" s="88" t="s">
        <v>752</v>
      </c>
      <c r="H1662" s="88" t="s">
        <v>596</v>
      </c>
    </row>
    <row r="1663" spans="1:8" x14ac:dyDescent="0.3">
      <c r="A1663" s="88" t="s">
        <v>716</v>
      </c>
      <c r="B1663" s="88">
        <v>47</v>
      </c>
      <c r="C1663" s="88">
        <v>34</v>
      </c>
      <c r="D1663" s="88" t="s">
        <v>131</v>
      </c>
      <c r="E1663" s="88" t="s">
        <v>927</v>
      </c>
      <c r="F1663" s="88" t="s">
        <v>918</v>
      </c>
      <c r="G1663" s="88" t="s">
        <v>755</v>
      </c>
      <c r="H1663" s="88" t="s">
        <v>596</v>
      </c>
    </row>
    <row r="1664" spans="1:8" x14ac:dyDescent="0.3">
      <c r="A1664" s="88" t="s">
        <v>716</v>
      </c>
      <c r="B1664" s="88">
        <v>47</v>
      </c>
      <c r="C1664" s="88">
        <v>35</v>
      </c>
      <c r="D1664" s="88" t="s">
        <v>131</v>
      </c>
      <c r="E1664" s="88" t="s">
        <v>928</v>
      </c>
      <c r="F1664" s="88" t="s">
        <v>919</v>
      </c>
      <c r="G1664" s="88" t="s">
        <v>758</v>
      </c>
      <c r="H1664" s="88" t="s">
        <v>596</v>
      </c>
    </row>
    <row r="1665" spans="1:8" ht="28.8" x14ac:dyDescent="0.3">
      <c r="A1665" s="88" t="s">
        <v>716</v>
      </c>
      <c r="B1665" s="88">
        <v>47</v>
      </c>
      <c r="C1665" s="88">
        <v>38</v>
      </c>
      <c r="D1665" s="88" t="s">
        <v>131</v>
      </c>
      <c r="E1665" s="88" t="s">
        <v>1612</v>
      </c>
      <c r="F1665" s="88" t="s">
        <v>930</v>
      </c>
      <c r="G1665" s="88" t="s">
        <v>719</v>
      </c>
      <c r="H1665" s="88" t="s">
        <v>596</v>
      </c>
    </row>
    <row r="1666" spans="1:8" ht="28.8" x14ac:dyDescent="0.3">
      <c r="A1666" s="88" t="s">
        <v>716</v>
      </c>
      <c r="B1666" s="88">
        <v>47</v>
      </c>
      <c r="C1666" s="88">
        <v>39</v>
      </c>
      <c r="D1666" s="88" t="s">
        <v>131</v>
      </c>
      <c r="E1666" s="88" t="s">
        <v>929</v>
      </c>
      <c r="F1666" s="88" t="s">
        <v>932</v>
      </c>
      <c r="G1666" s="88" t="s">
        <v>724</v>
      </c>
      <c r="H1666" s="88" t="s">
        <v>596</v>
      </c>
    </row>
    <row r="1667" spans="1:8" x14ac:dyDescent="0.3">
      <c r="A1667" s="88" t="s">
        <v>716</v>
      </c>
      <c r="B1667" s="88">
        <v>48</v>
      </c>
      <c r="C1667" s="88">
        <v>32</v>
      </c>
      <c r="D1667" s="88" t="s">
        <v>132</v>
      </c>
      <c r="E1667" s="88" t="s">
        <v>1613</v>
      </c>
      <c r="F1667" s="88" t="s">
        <v>934</v>
      </c>
      <c r="G1667" s="88" t="s">
        <v>749</v>
      </c>
      <c r="H1667" s="88" t="s">
        <v>596</v>
      </c>
    </row>
    <row r="1668" spans="1:8" x14ac:dyDescent="0.3">
      <c r="A1668" s="88" t="s">
        <v>716</v>
      </c>
      <c r="B1668" s="88">
        <v>48</v>
      </c>
      <c r="C1668" s="88">
        <v>33</v>
      </c>
      <c r="D1668" s="88" t="s">
        <v>132</v>
      </c>
      <c r="E1668" s="88" t="s">
        <v>933</v>
      </c>
      <c r="F1668" s="88" t="s">
        <v>879</v>
      </c>
      <c r="G1668" s="88" t="s">
        <v>752</v>
      </c>
      <c r="H1668" s="88" t="s">
        <v>596</v>
      </c>
    </row>
    <row r="1669" spans="1:8" x14ac:dyDescent="0.3">
      <c r="A1669" s="88" t="s">
        <v>716</v>
      </c>
      <c r="B1669" s="88">
        <v>48</v>
      </c>
      <c r="C1669" s="88">
        <v>34</v>
      </c>
      <c r="D1669" s="88" t="s">
        <v>132</v>
      </c>
      <c r="E1669" s="88" t="s">
        <v>928</v>
      </c>
      <c r="F1669" s="88" t="s">
        <v>747</v>
      </c>
      <c r="G1669" s="88" t="s">
        <v>755</v>
      </c>
      <c r="H1669" s="88" t="s">
        <v>596</v>
      </c>
    </row>
    <row r="1670" spans="1:8" x14ac:dyDescent="0.3">
      <c r="A1670" s="88" t="s">
        <v>716</v>
      </c>
      <c r="B1670" s="88">
        <v>48</v>
      </c>
      <c r="C1670" s="88">
        <v>35</v>
      </c>
      <c r="D1670" s="88" t="s">
        <v>132</v>
      </c>
      <c r="E1670" s="88" t="s">
        <v>935</v>
      </c>
      <c r="F1670" s="88" t="s">
        <v>937</v>
      </c>
      <c r="G1670" s="88" t="s">
        <v>758</v>
      </c>
      <c r="H1670" s="88" t="s">
        <v>596</v>
      </c>
    </row>
    <row r="1671" spans="1:8" ht="28.8" x14ac:dyDescent="0.3">
      <c r="A1671" s="88" t="s">
        <v>716</v>
      </c>
      <c r="B1671" s="88">
        <v>48</v>
      </c>
      <c r="C1671" s="88">
        <v>38</v>
      </c>
      <c r="D1671" s="88" t="s">
        <v>132</v>
      </c>
      <c r="E1671" s="88" t="s">
        <v>1614</v>
      </c>
      <c r="F1671" s="88" t="s">
        <v>938</v>
      </c>
      <c r="G1671" s="88" t="s">
        <v>719</v>
      </c>
      <c r="H1671" s="88" t="s">
        <v>596</v>
      </c>
    </row>
    <row r="1672" spans="1:8" ht="28.8" x14ac:dyDescent="0.3">
      <c r="A1672" s="88" t="s">
        <v>716</v>
      </c>
      <c r="B1672" s="88">
        <v>48</v>
      </c>
      <c r="C1672" s="88">
        <v>39</v>
      </c>
      <c r="D1672" s="88" t="s">
        <v>132</v>
      </c>
      <c r="E1672" s="88" t="s">
        <v>850</v>
      </c>
      <c r="F1672" s="88" t="s">
        <v>1615</v>
      </c>
      <c r="G1672" s="88" t="s">
        <v>724</v>
      </c>
      <c r="H1672" s="88" t="s">
        <v>596</v>
      </c>
    </row>
    <row r="1673" spans="1:8" x14ac:dyDescent="0.3">
      <c r="A1673" s="88" t="s">
        <v>716</v>
      </c>
      <c r="B1673" s="88">
        <v>49</v>
      </c>
      <c r="C1673" s="88">
        <v>32</v>
      </c>
      <c r="D1673" s="88" t="s">
        <v>133</v>
      </c>
      <c r="E1673" s="88" t="s">
        <v>1616</v>
      </c>
      <c r="F1673" s="88" t="s">
        <v>921</v>
      </c>
      <c r="G1673" s="88" t="s">
        <v>749</v>
      </c>
      <c r="H1673" s="88" t="s">
        <v>596</v>
      </c>
    </row>
    <row r="1674" spans="1:8" x14ac:dyDescent="0.3">
      <c r="A1674" s="88" t="s">
        <v>716</v>
      </c>
      <c r="B1674" s="88">
        <v>49</v>
      </c>
      <c r="C1674" s="88">
        <v>33</v>
      </c>
      <c r="D1674" s="88" t="s">
        <v>133</v>
      </c>
      <c r="E1674" s="88" t="s">
        <v>926</v>
      </c>
      <c r="F1674" s="88" t="s">
        <v>922</v>
      </c>
      <c r="G1674" s="88" t="s">
        <v>752</v>
      </c>
      <c r="H1674" s="88" t="s">
        <v>596</v>
      </c>
    </row>
    <row r="1675" spans="1:8" x14ac:dyDescent="0.3">
      <c r="A1675" s="88" t="s">
        <v>716</v>
      </c>
      <c r="B1675" s="88">
        <v>49</v>
      </c>
      <c r="C1675" s="88">
        <v>34</v>
      </c>
      <c r="D1675" s="88" t="s">
        <v>133</v>
      </c>
      <c r="E1675" s="88" t="s">
        <v>810</v>
      </c>
      <c r="F1675" s="88" t="s">
        <v>923</v>
      </c>
      <c r="G1675" s="88" t="s">
        <v>755</v>
      </c>
      <c r="H1675" s="88" t="s">
        <v>596</v>
      </c>
    </row>
    <row r="1676" spans="1:8" x14ac:dyDescent="0.3">
      <c r="A1676" s="88" t="s">
        <v>716</v>
      </c>
      <c r="B1676" s="88">
        <v>49</v>
      </c>
      <c r="C1676" s="88">
        <v>35</v>
      </c>
      <c r="D1676" s="88" t="s">
        <v>133</v>
      </c>
      <c r="E1676" s="88" t="s">
        <v>652</v>
      </c>
      <c r="F1676" s="88" t="s">
        <v>651</v>
      </c>
      <c r="G1676" s="88" t="s">
        <v>758</v>
      </c>
      <c r="H1676" s="88" t="s">
        <v>596</v>
      </c>
    </row>
    <row r="1677" spans="1:8" ht="28.8" x14ac:dyDescent="0.3">
      <c r="A1677" s="88" t="s">
        <v>716</v>
      </c>
      <c r="B1677" s="88">
        <v>49</v>
      </c>
      <c r="C1677" s="88">
        <v>38</v>
      </c>
      <c r="D1677" s="88" t="s">
        <v>133</v>
      </c>
      <c r="E1677" s="88" t="s">
        <v>1617</v>
      </c>
      <c r="F1677" s="88" t="s">
        <v>941</v>
      </c>
      <c r="G1677" s="88" t="s">
        <v>719</v>
      </c>
      <c r="H1677" s="88" t="s">
        <v>596</v>
      </c>
    </row>
    <row r="1678" spans="1:8" ht="28.8" x14ac:dyDescent="0.3">
      <c r="A1678" s="88" t="s">
        <v>716</v>
      </c>
      <c r="B1678" s="88">
        <v>49</v>
      </c>
      <c r="C1678" s="88">
        <v>39</v>
      </c>
      <c r="D1678" s="88" t="s">
        <v>133</v>
      </c>
      <c r="E1678" s="88" t="s">
        <v>940</v>
      </c>
      <c r="F1678" s="88" t="s">
        <v>1618</v>
      </c>
      <c r="G1678" s="88" t="s">
        <v>724</v>
      </c>
      <c r="H1678" s="88" t="s">
        <v>596</v>
      </c>
    </row>
    <row r="1679" spans="1:8" x14ac:dyDescent="0.3">
      <c r="A1679" s="88" t="s">
        <v>716</v>
      </c>
      <c r="B1679" s="88">
        <v>50</v>
      </c>
      <c r="C1679" s="88">
        <v>32</v>
      </c>
      <c r="D1679" s="88" t="s">
        <v>134</v>
      </c>
      <c r="E1679" s="88" t="s">
        <v>1619</v>
      </c>
      <c r="F1679" s="88" t="s">
        <v>926</v>
      </c>
      <c r="G1679" s="88" t="s">
        <v>749</v>
      </c>
      <c r="H1679" s="88" t="s">
        <v>596</v>
      </c>
    </row>
    <row r="1680" spans="1:8" x14ac:dyDescent="0.3">
      <c r="A1680" s="88" t="s">
        <v>716</v>
      </c>
      <c r="B1680" s="88">
        <v>50</v>
      </c>
      <c r="C1680" s="88">
        <v>33</v>
      </c>
      <c r="D1680" s="88" t="s">
        <v>134</v>
      </c>
      <c r="E1680" s="88" t="s">
        <v>923</v>
      </c>
      <c r="F1680" s="88" t="s">
        <v>927</v>
      </c>
      <c r="G1680" s="88" t="s">
        <v>752</v>
      </c>
      <c r="H1680" s="88" t="s">
        <v>596</v>
      </c>
    </row>
    <row r="1681" spans="1:8" x14ac:dyDescent="0.3">
      <c r="A1681" s="88" t="s">
        <v>716</v>
      </c>
      <c r="B1681" s="88">
        <v>50</v>
      </c>
      <c r="C1681" s="88">
        <v>34</v>
      </c>
      <c r="D1681" s="88" t="s">
        <v>134</v>
      </c>
      <c r="E1681" s="88" t="s">
        <v>942</v>
      </c>
      <c r="F1681" s="88" t="s">
        <v>928</v>
      </c>
      <c r="G1681" s="88" t="s">
        <v>755</v>
      </c>
      <c r="H1681" s="88" t="s">
        <v>596</v>
      </c>
    </row>
    <row r="1682" spans="1:8" x14ac:dyDescent="0.3">
      <c r="A1682" s="88" t="s">
        <v>716</v>
      </c>
      <c r="B1682" s="88">
        <v>50</v>
      </c>
      <c r="C1682" s="88">
        <v>35</v>
      </c>
      <c r="D1682" s="88" t="s">
        <v>134</v>
      </c>
      <c r="E1682" s="88" t="s">
        <v>943</v>
      </c>
      <c r="F1682" s="88" t="s">
        <v>882</v>
      </c>
      <c r="G1682" s="88" t="s">
        <v>758</v>
      </c>
      <c r="H1682" s="88" t="s">
        <v>596</v>
      </c>
    </row>
    <row r="1683" spans="1:8" ht="28.8" x14ac:dyDescent="0.3">
      <c r="A1683" s="88" t="s">
        <v>716</v>
      </c>
      <c r="B1683" s="88">
        <v>50</v>
      </c>
      <c r="C1683" s="88">
        <v>38</v>
      </c>
      <c r="D1683" s="88" t="s">
        <v>134</v>
      </c>
      <c r="E1683" s="88" t="s">
        <v>1620</v>
      </c>
      <c r="F1683" s="88" t="s">
        <v>946</v>
      </c>
      <c r="G1683" s="88" t="s">
        <v>719</v>
      </c>
      <c r="H1683" s="88" t="s">
        <v>596</v>
      </c>
    </row>
    <row r="1684" spans="1:8" ht="28.8" x14ac:dyDescent="0.3">
      <c r="A1684" s="88" t="s">
        <v>716</v>
      </c>
      <c r="B1684" s="88">
        <v>50</v>
      </c>
      <c r="C1684" s="88">
        <v>39</v>
      </c>
      <c r="D1684" s="88" t="s">
        <v>134</v>
      </c>
      <c r="E1684" s="88" t="s">
        <v>945</v>
      </c>
      <c r="F1684" s="88" t="s">
        <v>948</v>
      </c>
      <c r="G1684" s="88" t="s">
        <v>724</v>
      </c>
      <c r="H1684" s="88" t="s">
        <v>596</v>
      </c>
    </row>
    <row r="1685" spans="1:8" x14ac:dyDescent="0.3">
      <c r="A1685" s="88" t="s">
        <v>716</v>
      </c>
      <c r="B1685" s="88">
        <v>51</v>
      </c>
      <c r="C1685" s="88">
        <v>18</v>
      </c>
      <c r="D1685" s="88" t="s">
        <v>135</v>
      </c>
      <c r="E1685" s="88" t="s">
        <v>949</v>
      </c>
      <c r="F1685" s="88" t="s">
        <v>950</v>
      </c>
      <c r="G1685" s="88" t="s">
        <v>896</v>
      </c>
      <c r="H1685" s="88" t="s">
        <v>596</v>
      </c>
    </row>
    <row r="1686" spans="1:8" x14ac:dyDescent="0.3">
      <c r="A1686" s="88" t="s">
        <v>716</v>
      </c>
      <c r="B1686" s="88">
        <v>51</v>
      </c>
      <c r="C1686" s="88">
        <v>32</v>
      </c>
      <c r="D1686" s="88" t="s">
        <v>135</v>
      </c>
      <c r="E1686" s="88" t="s">
        <v>666</v>
      </c>
      <c r="F1686" s="88" t="s">
        <v>933</v>
      </c>
      <c r="G1686" s="88" t="s">
        <v>749</v>
      </c>
      <c r="H1686" s="88" t="s">
        <v>596</v>
      </c>
    </row>
    <row r="1687" spans="1:8" x14ac:dyDescent="0.3">
      <c r="A1687" s="88" t="s">
        <v>716</v>
      </c>
      <c r="B1687" s="88">
        <v>51</v>
      </c>
      <c r="C1687" s="88">
        <v>33</v>
      </c>
      <c r="D1687" s="88" t="s">
        <v>135</v>
      </c>
      <c r="E1687" s="88" t="s">
        <v>951</v>
      </c>
      <c r="F1687" s="88" t="s">
        <v>928</v>
      </c>
      <c r="G1687" s="88" t="s">
        <v>752</v>
      </c>
      <c r="H1687" s="88" t="s">
        <v>596</v>
      </c>
    </row>
    <row r="1688" spans="1:8" x14ac:dyDescent="0.3">
      <c r="A1688" s="88" t="s">
        <v>716</v>
      </c>
      <c r="B1688" s="88">
        <v>51</v>
      </c>
      <c r="C1688" s="88">
        <v>34</v>
      </c>
      <c r="D1688" s="88" t="s">
        <v>135</v>
      </c>
      <c r="E1688" s="88" t="s">
        <v>952</v>
      </c>
      <c r="F1688" s="88" t="s">
        <v>935</v>
      </c>
      <c r="G1688" s="88" t="s">
        <v>755</v>
      </c>
      <c r="H1688" s="88" t="s">
        <v>596</v>
      </c>
    </row>
    <row r="1689" spans="1:8" x14ac:dyDescent="0.3">
      <c r="A1689" s="88" t="s">
        <v>716</v>
      </c>
      <c r="B1689" s="88">
        <v>51</v>
      </c>
      <c r="C1689" s="88">
        <v>35</v>
      </c>
      <c r="D1689" s="88" t="s">
        <v>135</v>
      </c>
      <c r="E1689" s="88" t="s">
        <v>953</v>
      </c>
      <c r="F1689" s="88" t="s">
        <v>936</v>
      </c>
      <c r="G1689" s="88" t="s">
        <v>758</v>
      </c>
      <c r="H1689" s="88" t="s">
        <v>596</v>
      </c>
    </row>
    <row r="1690" spans="1:8" ht="28.8" x14ac:dyDescent="0.3">
      <c r="A1690" s="88" t="s">
        <v>716</v>
      </c>
      <c r="B1690" s="88">
        <v>51</v>
      </c>
      <c r="C1690" s="88">
        <v>38</v>
      </c>
      <c r="D1690" s="88" t="s">
        <v>135</v>
      </c>
      <c r="E1690" s="88" t="s">
        <v>1621</v>
      </c>
      <c r="F1690" s="88" t="s">
        <v>956</v>
      </c>
      <c r="G1690" s="88" t="s">
        <v>719</v>
      </c>
      <c r="H1690" s="88" t="s">
        <v>596</v>
      </c>
    </row>
    <row r="1691" spans="1:8" ht="28.8" x14ac:dyDescent="0.3">
      <c r="A1691" s="88" t="s">
        <v>716</v>
      </c>
      <c r="B1691" s="88">
        <v>51</v>
      </c>
      <c r="C1691" s="88">
        <v>39</v>
      </c>
      <c r="D1691" s="88" t="s">
        <v>135</v>
      </c>
      <c r="E1691" s="88" t="s">
        <v>955</v>
      </c>
      <c r="F1691" s="88" t="s">
        <v>957</v>
      </c>
      <c r="G1691" s="88" t="s">
        <v>724</v>
      </c>
      <c r="H1691" s="88" t="s">
        <v>596</v>
      </c>
    </row>
    <row r="1692" spans="1:8" x14ac:dyDescent="0.3">
      <c r="A1692" s="88" t="s">
        <v>716</v>
      </c>
      <c r="B1692" s="88">
        <v>52</v>
      </c>
      <c r="C1692" s="88">
        <v>18</v>
      </c>
      <c r="D1692" s="88" t="s">
        <v>136</v>
      </c>
      <c r="E1692" s="88" t="s">
        <v>950</v>
      </c>
      <c r="F1692" s="88" t="s">
        <v>949</v>
      </c>
      <c r="G1692" s="88" t="s">
        <v>896</v>
      </c>
      <c r="H1692" s="88" t="s">
        <v>596</v>
      </c>
    </row>
    <row r="1693" spans="1:8" x14ac:dyDescent="0.3">
      <c r="A1693" s="88" t="s">
        <v>716</v>
      </c>
      <c r="B1693" s="88">
        <v>52</v>
      </c>
      <c r="C1693" s="88">
        <v>32</v>
      </c>
      <c r="D1693" s="88" t="s">
        <v>136</v>
      </c>
      <c r="E1693" s="88" t="s">
        <v>1530</v>
      </c>
      <c r="F1693" s="88" t="s">
        <v>763</v>
      </c>
      <c r="G1693" s="88" t="s">
        <v>749</v>
      </c>
      <c r="H1693" s="88" t="s">
        <v>596</v>
      </c>
    </row>
    <row r="1694" spans="1:8" x14ac:dyDescent="0.3">
      <c r="A1694" s="88" t="s">
        <v>716</v>
      </c>
      <c r="B1694" s="88">
        <v>52</v>
      </c>
      <c r="C1694" s="88">
        <v>33</v>
      </c>
      <c r="D1694" s="88" t="s">
        <v>136</v>
      </c>
      <c r="E1694" s="88" t="s">
        <v>784</v>
      </c>
      <c r="F1694" s="88" t="s">
        <v>959</v>
      </c>
      <c r="G1694" s="88" t="s">
        <v>752</v>
      </c>
      <c r="H1694" s="88" t="s">
        <v>596</v>
      </c>
    </row>
    <row r="1695" spans="1:8" x14ac:dyDescent="0.3">
      <c r="A1695" s="88" t="s">
        <v>716</v>
      </c>
      <c r="B1695" s="88">
        <v>52</v>
      </c>
      <c r="C1695" s="88">
        <v>34</v>
      </c>
      <c r="D1695" s="88" t="s">
        <v>136</v>
      </c>
      <c r="E1695" s="88" t="s">
        <v>958</v>
      </c>
      <c r="F1695" s="88" t="s">
        <v>961</v>
      </c>
      <c r="G1695" s="88" t="s">
        <v>755</v>
      </c>
      <c r="H1695" s="88" t="s">
        <v>596</v>
      </c>
    </row>
    <row r="1696" spans="1:8" x14ac:dyDescent="0.3">
      <c r="A1696" s="88" t="s">
        <v>716</v>
      </c>
      <c r="B1696" s="88">
        <v>52</v>
      </c>
      <c r="C1696" s="88">
        <v>35</v>
      </c>
      <c r="D1696" s="88" t="s">
        <v>136</v>
      </c>
      <c r="E1696" s="88" t="s">
        <v>960</v>
      </c>
      <c r="F1696" s="88" t="s">
        <v>804</v>
      </c>
      <c r="G1696" s="88" t="s">
        <v>758</v>
      </c>
      <c r="H1696" s="88" t="s">
        <v>596</v>
      </c>
    </row>
    <row r="1697" spans="1:8" ht="28.8" x14ac:dyDescent="0.3">
      <c r="A1697" s="88" t="s">
        <v>716</v>
      </c>
      <c r="B1697" s="88">
        <v>52</v>
      </c>
      <c r="C1697" s="88">
        <v>38</v>
      </c>
      <c r="D1697" s="88" t="s">
        <v>136</v>
      </c>
      <c r="E1697" s="88" t="s">
        <v>1622</v>
      </c>
      <c r="F1697" s="88" t="s">
        <v>964</v>
      </c>
      <c r="G1697" s="88" t="s">
        <v>719</v>
      </c>
      <c r="H1697" s="88" t="s">
        <v>596</v>
      </c>
    </row>
    <row r="1698" spans="1:8" ht="28.8" x14ac:dyDescent="0.3">
      <c r="A1698" s="88" t="s">
        <v>716</v>
      </c>
      <c r="B1698" s="88">
        <v>52</v>
      </c>
      <c r="C1698" s="88">
        <v>39</v>
      </c>
      <c r="D1698" s="88" t="s">
        <v>136</v>
      </c>
      <c r="E1698" s="88" t="s">
        <v>963</v>
      </c>
      <c r="F1698" s="88" t="s">
        <v>666</v>
      </c>
      <c r="G1698" s="88" t="s">
        <v>724</v>
      </c>
      <c r="H1698" s="88" t="s">
        <v>596</v>
      </c>
    </row>
    <row r="1699" spans="1:8" x14ac:dyDescent="0.3">
      <c r="A1699" s="88" t="s">
        <v>716</v>
      </c>
      <c r="B1699" s="88">
        <v>53</v>
      </c>
      <c r="C1699" s="88">
        <v>32</v>
      </c>
      <c r="D1699" s="88" t="s">
        <v>137</v>
      </c>
      <c r="E1699" s="88" t="s">
        <v>1623</v>
      </c>
      <c r="F1699" s="88" t="s">
        <v>926</v>
      </c>
      <c r="G1699" s="88" t="s">
        <v>749</v>
      </c>
      <c r="H1699" s="88" t="s">
        <v>596</v>
      </c>
    </row>
    <row r="1700" spans="1:8" x14ac:dyDescent="0.3">
      <c r="A1700" s="88" t="s">
        <v>716</v>
      </c>
      <c r="B1700" s="88">
        <v>53</v>
      </c>
      <c r="C1700" s="88">
        <v>33</v>
      </c>
      <c r="D1700" s="88" t="s">
        <v>137</v>
      </c>
      <c r="E1700" s="88" t="s">
        <v>966</v>
      </c>
      <c r="F1700" s="88" t="s">
        <v>810</v>
      </c>
      <c r="G1700" s="88" t="s">
        <v>752</v>
      </c>
      <c r="H1700" s="88" t="s">
        <v>596</v>
      </c>
    </row>
    <row r="1701" spans="1:8" x14ac:dyDescent="0.3">
      <c r="A1701" s="88" t="s">
        <v>716</v>
      </c>
      <c r="B1701" s="88">
        <v>53</v>
      </c>
      <c r="C1701" s="88">
        <v>34</v>
      </c>
      <c r="D1701" s="88" t="s">
        <v>137</v>
      </c>
      <c r="E1701" s="88" t="s">
        <v>967</v>
      </c>
      <c r="F1701" s="88" t="s">
        <v>652</v>
      </c>
      <c r="G1701" s="88" t="s">
        <v>755</v>
      </c>
      <c r="H1701" s="88" t="s">
        <v>596</v>
      </c>
    </row>
    <row r="1702" spans="1:8" x14ac:dyDescent="0.3">
      <c r="A1702" s="88" t="s">
        <v>716</v>
      </c>
      <c r="B1702" s="88">
        <v>53</v>
      </c>
      <c r="C1702" s="88">
        <v>35</v>
      </c>
      <c r="D1702" s="88" t="s">
        <v>137</v>
      </c>
      <c r="E1702" s="88" t="s">
        <v>968</v>
      </c>
      <c r="F1702" s="88" t="s">
        <v>939</v>
      </c>
      <c r="G1702" s="88" t="s">
        <v>758</v>
      </c>
      <c r="H1702" s="88" t="s">
        <v>596</v>
      </c>
    </row>
    <row r="1703" spans="1:8" ht="28.8" x14ac:dyDescent="0.3">
      <c r="A1703" s="88" t="s">
        <v>716</v>
      </c>
      <c r="B1703" s="88">
        <v>53</v>
      </c>
      <c r="C1703" s="88">
        <v>38</v>
      </c>
      <c r="D1703" s="88" t="s">
        <v>137</v>
      </c>
      <c r="E1703" s="88" t="s">
        <v>1624</v>
      </c>
      <c r="F1703" s="88" t="s">
        <v>969</v>
      </c>
      <c r="G1703" s="88" t="s">
        <v>719</v>
      </c>
      <c r="H1703" s="88" t="s">
        <v>596</v>
      </c>
    </row>
    <row r="1704" spans="1:8" ht="28.8" x14ac:dyDescent="0.3">
      <c r="A1704" s="88" t="s">
        <v>716</v>
      </c>
      <c r="B1704" s="88">
        <v>53</v>
      </c>
      <c r="C1704" s="88">
        <v>39</v>
      </c>
      <c r="D1704" s="88" t="s">
        <v>137</v>
      </c>
      <c r="E1704" s="88" t="s">
        <v>910</v>
      </c>
      <c r="F1704" s="88" t="s">
        <v>1625</v>
      </c>
      <c r="G1704" s="88" t="s">
        <v>724</v>
      </c>
      <c r="H1704" s="88" t="s">
        <v>596</v>
      </c>
    </row>
    <row r="1705" spans="1:8" x14ac:dyDescent="0.3">
      <c r="A1705" s="88" t="s">
        <v>716</v>
      </c>
      <c r="B1705" s="88">
        <v>54</v>
      </c>
      <c r="C1705" s="88">
        <v>32</v>
      </c>
      <c r="D1705" s="88" t="s">
        <v>138</v>
      </c>
      <c r="E1705" s="88" t="s">
        <v>1626</v>
      </c>
      <c r="F1705" s="88" t="s">
        <v>923</v>
      </c>
      <c r="G1705" s="88" t="s">
        <v>749</v>
      </c>
      <c r="H1705" s="88" t="s">
        <v>596</v>
      </c>
    </row>
    <row r="1706" spans="1:8" x14ac:dyDescent="0.3">
      <c r="A1706" s="88" t="s">
        <v>716</v>
      </c>
      <c r="B1706" s="88">
        <v>54</v>
      </c>
      <c r="C1706" s="88">
        <v>33</v>
      </c>
      <c r="D1706" s="88" t="s">
        <v>138</v>
      </c>
      <c r="E1706" s="88" t="s">
        <v>970</v>
      </c>
      <c r="F1706" s="88" t="s">
        <v>942</v>
      </c>
      <c r="G1706" s="88" t="s">
        <v>752</v>
      </c>
      <c r="H1706" s="88" t="s">
        <v>596</v>
      </c>
    </row>
    <row r="1707" spans="1:8" x14ac:dyDescent="0.3">
      <c r="A1707" s="88" t="s">
        <v>716</v>
      </c>
      <c r="B1707" s="88">
        <v>54</v>
      </c>
      <c r="C1707" s="88">
        <v>34</v>
      </c>
      <c r="D1707" s="88" t="s">
        <v>138</v>
      </c>
      <c r="E1707" s="88" t="s">
        <v>971</v>
      </c>
      <c r="F1707" s="88" t="s">
        <v>943</v>
      </c>
      <c r="G1707" s="88" t="s">
        <v>755</v>
      </c>
      <c r="H1707" s="88" t="s">
        <v>596</v>
      </c>
    </row>
    <row r="1708" spans="1:8" x14ac:dyDescent="0.3">
      <c r="A1708" s="88" t="s">
        <v>716</v>
      </c>
      <c r="B1708" s="88">
        <v>54</v>
      </c>
      <c r="C1708" s="88">
        <v>35</v>
      </c>
      <c r="D1708" s="88" t="s">
        <v>138</v>
      </c>
      <c r="E1708" s="88" t="s">
        <v>972</v>
      </c>
      <c r="F1708" s="88" t="s">
        <v>944</v>
      </c>
      <c r="G1708" s="88" t="s">
        <v>758</v>
      </c>
      <c r="H1708" s="88" t="s">
        <v>596</v>
      </c>
    </row>
    <row r="1709" spans="1:8" ht="28.8" x14ac:dyDescent="0.3">
      <c r="A1709" s="88" t="s">
        <v>716</v>
      </c>
      <c r="B1709" s="88">
        <v>54</v>
      </c>
      <c r="C1709" s="88">
        <v>38</v>
      </c>
      <c r="D1709" s="88" t="s">
        <v>138</v>
      </c>
      <c r="E1709" s="88" t="s">
        <v>1627</v>
      </c>
      <c r="F1709" s="88" t="s">
        <v>974</v>
      </c>
      <c r="G1709" s="88" t="s">
        <v>719</v>
      </c>
      <c r="H1709" s="88" t="s">
        <v>596</v>
      </c>
    </row>
    <row r="1710" spans="1:8" ht="28.8" x14ac:dyDescent="0.3">
      <c r="A1710" s="88" t="s">
        <v>716</v>
      </c>
      <c r="B1710" s="88">
        <v>54</v>
      </c>
      <c r="C1710" s="88">
        <v>39</v>
      </c>
      <c r="D1710" s="88" t="s">
        <v>138</v>
      </c>
      <c r="E1710" s="88" t="s">
        <v>973</v>
      </c>
      <c r="F1710" s="88" t="s">
        <v>976</v>
      </c>
      <c r="G1710" s="88" t="s">
        <v>724</v>
      </c>
      <c r="H1710" s="88" t="s">
        <v>596</v>
      </c>
    </row>
    <row r="1711" spans="1:8" x14ac:dyDescent="0.3">
      <c r="A1711" s="88" t="s">
        <v>716</v>
      </c>
      <c r="B1711" s="88">
        <v>55</v>
      </c>
      <c r="C1711" s="88">
        <v>32</v>
      </c>
      <c r="D1711" s="88" t="s">
        <v>139</v>
      </c>
      <c r="E1711" s="88" t="s">
        <v>1628</v>
      </c>
      <c r="F1711" s="88" t="s">
        <v>951</v>
      </c>
      <c r="G1711" s="88" t="s">
        <v>749</v>
      </c>
      <c r="H1711" s="88" t="s">
        <v>596</v>
      </c>
    </row>
    <row r="1712" spans="1:8" x14ac:dyDescent="0.3">
      <c r="A1712" s="88" t="s">
        <v>716</v>
      </c>
      <c r="B1712" s="88">
        <v>55</v>
      </c>
      <c r="C1712" s="88">
        <v>33</v>
      </c>
      <c r="D1712" s="88" t="s">
        <v>139</v>
      </c>
      <c r="E1712" s="88" t="s">
        <v>977</v>
      </c>
      <c r="F1712" s="88" t="s">
        <v>952</v>
      </c>
      <c r="G1712" s="88" t="s">
        <v>752</v>
      </c>
      <c r="H1712" s="88" t="s">
        <v>596</v>
      </c>
    </row>
    <row r="1713" spans="1:8" x14ac:dyDescent="0.3">
      <c r="A1713" s="88" t="s">
        <v>716</v>
      </c>
      <c r="B1713" s="88">
        <v>55</v>
      </c>
      <c r="C1713" s="88">
        <v>34</v>
      </c>
      <c r="D1713" s="88" t="s">
        <v>139</v>
      </c>
      <c r="E1713" s="88" t="s">
        <v>978</v>
      </c>
      <c r="F1713" s="88" t="s">
        <v>953</v>
      </c>
      <c r="G1713" s="88" t="s">
        <v>755</v>
      </c>
      <c r="H1713" s="88" t="s">
        <v>596</v>
      </c>
    </row>
    <row r="1714" spans="1:8" x14ac:dyDescent="0.3">
      <c r="A1714" s="88" t="s">
        <v>716</v>
      </c>
      <c r="B1714" s="88">
        <v>55</v>
      </c>
      <c r="C1714" s="88">
        <v>35</v>
      </c>
      <c r="D1714" s="88" t="s">
        <v>139</v>
      </c>
      <c r="E1714" s="88" t="s">
        <v>979</v>
      </c>
      <c r="F1714" s="88" t="s">
        <v>954</v>
      </c>
      <c r="G1714" s="88" t="s">
        <v>758</v>
      </c>
      <c r="H1714" s="88" t="s">
        <v>596</v>
      </c>
    </row>
    <row r="1715" spans="1:8" ht="28.8" x14ac:dyDescent="0.3">
      <c r="A1715" s="88" t="s">
        <v>716</v>
      </c>
      <c r="B1715" s="88">
        <v>55</v>
      </c>
      <c r="C1715" s="88">
        <v>38</v>
      </c>
      <c r="D1715" s="88" t="s">
        <v>139</v>
      </c>
      <c r="E1715" s="88" t="s">
        <v>1629</v>
      </c>
      <c r="F1715" s="88" t="s">
        <v>982</v>
      </c>
      <c r="G1715" s="88" t="s">
        <v>719</v>
      </c>
      <c r="H1715" s="88" t="s">
        <v>596</v>
      </c>
    </row>
    <row r="1716" spans="1:8" ht="28.8" x14ac:dyDescent="0.3">
      <c r="A1716" s="88" t="s">
        <v>716</v>
      </c>
      <c r="B1716" s="88">
        <v>55</v>
      </c>
      <c r="C1716" s="88">
        <v>39</v>
      </c>
      <c r="D1716" s="88" t="s">
        <v>139</v>
      </c>
      <c r="E1716" s="88" t="s">
        <v>981</v>
      </c>
      <c r="F1716" s="88" t="s">
        <v>1630</v>
      </c>
      <c r="G1716" s="88" t="s">
        <v>724</v>
      </c>
      <c r="H1716" s="88" t="s">
        <v>596</v>
      </c>
    </row>
    <row r="1717" spans="1:8" x14ac:dyDescent="0.3">
      <c r="A1717" s="88" t="s">
        <v>716</v>
      </c>
      <c r="B1717" s="88">
        <v>56</v>
      </c>
      <c r="C1717" s="88">
        <v>32</v>
      </c>
      <c r="D1717" s="88" t="s">
        <v>140</v>
      </c>
      <c r="E1717" s="88" t="s">
        <v>1631</v>
      </c>
      <c r="F1717" s="88" t="s">
        <v>784</v>
      </c>
      <c r="G1717" s="88" t="s">
        <v>749</v>
      </c>
      <c r="H1717" s="88" t="s">
        <v>596</v>
      </c>
    </row>
    <row r="1718" spans="1:8" x14ac:dyDescent="0.3">
      <c r="A1718" s="88" t="s">
        <v>716</v>
      </c>
      <c r="B1718" s="88">
        <v>56</v>
      </c>
      <c r="C1718" s="88">
        <v>33</v>
      </c>
      <c r="D1718" s="88" t="s">
        <v>140</v>
      </c>
      <c r="E1718" s="88" t="s">
        <v>983</v>
      </c>
      <c r="F1718" s="88" t="s">
        <v>958</v>
      </c>
      <c r="G1718" s="88" t="s">
        <v>752</v>
      </c>
      <c r="H1718" s="88" t="s">
        <v>596</v>
      </c>
    </row>
    <row r="1719" spans="1:8" x14ac:dyDescent="0.3">
      <c r="A1719" s="88" t="s">
        <v>716</v>
      </c>
      <c r="B1719" s="88">
        <v>56</v>
      </c>
      <c r="C1719" s="88">
        <v>34</v>
      </c>
      <c r="D1719" s="88" t="s">
        <v>140</v>
      </c>
      <c r="E1719" s="88" t="s">
        <v>984</v>
      </c>
      <c r="F1719" s="88" t="s">
        <v>960</v>
      </c>
      <c r="G1719" s="88" t="s">
        <v>755</v>
      </c>
      <c r="H1719" s="88" t="s">
        <v>596</v>
      </c>
    </row>
    <row r="1720" spans="1:8" x14ac:dyDescent="0.3">
      <c r="A1720" s="88" t="s">
        <v>716</v>
      </c>
      <c r="B1720" s="88">
        <v>56</v>
      </c>
      <c r="C1720" s="88">
        <v>35</v>
      </c>
      <c r="D1720" s="88" t="s">
        <v>140</v>
      </c>
      <c r="E1720" s="88" t="s">
        <v>985</v>
      </c>
      <c r="F1720" s="88" t="s">
        <v>962</v>
      </c>
      <c r="G1720" s="88" t="s">
        <v>758</v>
      </c>
      <c r="H1720" s="88" t="s">
        <v>596</v>
      </c>
    </row>
    <row r="1721" spans="1:8" ht="28.8" x14ac:dyDescent="0.3">
      <c r="A1721" s="88" t="s">
        <v>716</v>
      </c>
      <c r="B1721" s="88">
        <v>56</v>
      </c>
      <c r="C1721" s="88">
        <v>38</v>
      </c>
      <c r="D1721" s="88" t="s">
        <v>140</v>
      </c>
      <c r="E1721" s="88" t="s">
        <v>1632</v>
      </c>
      <c r="F1721" s="88" t="s">
        <v>988</v>
      </c>
      <c r="G1721" s="88" t="s">
        <v>719</v>
      </c>
      <c r="H1721" s="88" t="s">
        <v>596</v>
      </c>
    </row>
    <row r="1722" spans="1:8" ht="28.8" x14ac:dyDescent="0.3">
      <c r="A1722" s="88" t="s">
        <v>716</v>
      </c>
      <c r="B1722" s="88">
        <v>56</v>
      </c>
      <c r="C1722" s="88">
        <v>39</v>
      </c>
      <c r="D1722" s="88" t="s">
        <v>140</v>
      </c>
      <c r="E1722" s="88" t="s">
        <v>987</v>
      </c>
      <c r="F1722" s="88" t="s">
        <v>990</v>
      </c>
      <c r="G1722" s="88" t="s">
        <v>724</v>
      </c>
      <c r="H1722" s="88" t="s">
        <v>596</v>
      </c>
    </row>
    <row r="1723" spans="1:8" ht="28.8" x14ac:dyDescent="0.3">
      <c r="A1723" s="88" t="s">
        <v>716</v>
      </c>
      <c r="B1723" s="88">
        <v>57</v>
      </c>
      <c r="C1723" s="88">
        <v>32</v>
      </c>
      <c r="D1723" s="88" t="s">
        <v>141</v>
      </c>
      <c r="E1723" s="88" t="s">
        <v>1633</v>
      </c>
      <c r="F1723" s="88" t="s">
        <v>966</v>
      </c>
      <c r="G1723" s="88" t="s">
        <v>749</v>
      </c>
      <c r="H1723" s="88" t="s">
        <v>596</v>
      </c>
    </row>
    <row r="1724" spans="1:8" x14ac:dyDescent="0.3">
      <c r="A1724" s="88" t="s">
        <v>716</v>
      </c>
      <c r="B1724" s="88">
        <v>57</v>
      </c>
      <c r="C1724" s="88">
        <v>33</v>
      </c>
      <c r="D1724" s="88" t="s">
        <v>141</v>
      </c>
      <c r="E1724" s="88" t="s">
        <v>991</v>
      </c>
      <c r="F1724" s="88" t="s">
        <v>967</v>
      </c>
      <c r="G1724" s="88" t="s">
        <v>752</v>
      </c>
      <c r="H1724" s="88" t="s">
        <v>596</v>
      </c>
    </row>
    <row r="1725" spans="1:8" x14ac:dyDescent="0.3">
      <c r="A1725" s="88" t="s">
        <v>716</v>
      </c>
      <c r="B1725" s="88">
        <v>57</v>
      </c>
      <c r="C1725" s="88">
        <v>34</v>
      </c>
      <c r="D1725" s="88" t="s">
        <v>141</v>
      </c>
      <c r="E1725" s="88" t="s">
        <v>992</v>
      </c>
      <c r="F1725" s="88" t="s">
        <v>968</v>
      </c>
      <c r="G1725" s="88" t="s">
        <v>755</v>
      </c>
      <c r="H1725" s="88" t="s">
        <v>596</v>
      </c>
    </row>
    <row r="1726" spans="1:8" x14ac:dyDescent="0.3">
      <c r="A1726" s="88" t="s">
        <v>716</v>
      </c>
      <c r="B1726" s="88">
        <v>57</v>
      </c>
      <c r="C1726" s="88">
        <v>35</v>
      </c>
      <c r="D1726" s="88" t="s">
        <v>141</v>
      </c>
      <c r="E1726" s="88" t="s">
        <v>993</v>
      </c>
      <c r="F1726" s="88" t="s">
        <v>826</v>
      </c>
      <c r="G1726" s="88" t="s">
        <v>758</v>
      </c>
      <c r="H1726" s="88" t="s">
        <v>596</v>
      </c>
    </row>
    <row r="1727" spans="1:8" ht="28.8" x14ac:dyDescent="0.3">
      <c r="A1727" s="88" t="s">
        <v>716</v>
      </c>
      <c r="B1727" s="88">
        <v>57</v>
      </c>
      <c r="C1727" s="88">
        <v>38</v>
      </c>
      <c r="D1727" s="88" t="s">
        <v>141</v>
      </c>
      <c r="E1727" s="88" t="s">
        <v>1634</v>
      </c>
      <c r="F1727" s="88" t="s">
        <v>996</v>
      </c>
      <c r="G1727" s="88" t="s">
        <v>719</v>
      </c>
      <c r="H1727" s="88" t="s">
        <v>596</v>
      </c>
    </row>
    <row r="1728" spans="1:8" ht="28.8" x14ac:dyDescent="0.3">
      <c r="A1728" s="88" t="s">
        <v>716</v>
      </c>
      <c r="B1728" s="88">
        <v>57</v>
      </c>
      <c r="C1728" s="88">
        <v>39</v>
      </c>
      <c r="D1728" s="88" t="s">
        <v>141</v>
      </c>
      <c r="E1728" s="88" t="s">
        <v>995</v>
      </c>
      <c r="F1728" s="88" t="s">
        <v>1635</v>
      </c>
      <c r="G1728" s="88" t="s">
        <v>724</v>
      </c>
      <c r="H1728" s="88" t="s">
        <v>596</v>
      </c>
    </row>
    <row r="1729" spans="1:8" x14ac:dyDescent="0.3">
      <c r="A1729" s="88" t="s">
        <v>716</v>
      </c>
      <c r="B1729" s="88">
        <v>58</v>
      </c>
      <c r="C1729" s="88">
        <v>32</v>
      </c>
      <c r="D1729" s="88" t="s">
        <v>142</v>
      </c>
      <c r="E1729" s="88" t="s">
        <v>1636</v>
      </c>
      <c r="F1729" s="88" t="s">
        <v>970</v>
      </c>
      <c r="G1729" s="88" t="s">
        <v>749</v>
      </c>
      <c r="H1729" s="88" t="s">
        <v>596</v>
      </c>
    </row>
    <row r="1730" spans="1:8" x14ac:dyDescent="0.3">
      <c r="A1730" s="88" t="s">
        <v>716</v>
      </c>
      <c r="B1730" s="88">
        <v>58</v>
      </c>
      <c r="C1730" s="88">
        <v>33</v>
      </c>
      <c r="D1730" s="88" t="s">
        <v>142</v>
      </c>
      <c r="E1730" s="88" t="s">
        <v>753</v>
      </c>
      <c r="F1730" s="88" t="s">
        <v>971</v>
      </c>
      <c r="G1730" s="88" t="s">
        <v>752</v>
      </c>
      <c r="H1730" s="88" t="s">
        <v>596</v>
      </c>
    </row>
    <row r="1731" spans="1:8" x14ac:dyDescent="0.3">
      <c r="A1731" s="88" t="s">
        <v>716</v>
      </c>
      <c r="B1731" s="88">
        <v>58</v>
      </c>
      <c r="C1731" s="88">
        <v>34</v>
      </c>
      <c r="D1731" s="88" t="s">
        <v>142</v>
      </c>
      <c r="E1731" s="88" t="s">
        <v>997</v>
      </c>
      <c r="F1731" s="88" t="s">
        <v>972</v>
      </c>
      <c r="G1731" s="88" t="s">
        <v>755</v>
      </c>
      <c r="H1731" s="88" t="s">
        <v>596</v>
      </c>
    </row>
    <row r="1732" spans="1:8" x14ac:dyDescent="0.3">
      <c r="A1732" s="88" t="s">
        <v>716</v>
      </c>
      <c r="B1732" s="88">
        <v>58</v>
      </c>
      <c r="C1732" s="88">
        <v>35</v>
      </c>
      <c r="D1732" s="88" t="s">
        <v>142</v>
      </c>
      <c r="E1732" s="88" t="s">
        <v>756</v>
      </c>
      <c r="F1732" s="88" t="s">
        <v>935</v>
      </c>
      <c r="G1732" s="88" t="s">
        <v>758</v>
      </c>
      <c r="H1732" s="88" t="s">
        <v>596</v>
      </c>
    </row>
    <row r="1733" spans="1:8" ht="28.8" x14ac:dyDescent="0.3">
      <c r="A1733" s="88" t="s">
        <v>716</v>
      </c>
      <c r="B1733" s="88">
        <v>58</v>
      </c>
      <c r="C1733" s="88">
        <v>38</v>
      </c>
      <c r="D1733" s="88" t="s">
        <v>142</v>
      </c>
      <c r="E1733" s="88" t="s">
        <v>1637</v>
      </c>
      <c r="F1733" s="88" t="s">
        <v>999</v>
      </c>
      <c r="G1733" s="88" t="s">
        <v>719</v>
      </c>
      <c r="H1733" s="88" t="s">
        <v>596</v>
      </c>
    </row>
    <row r="1734" spans="1:8" ht="28.8" x14ac:dyDescent="0.3">
      <c r="A1734" s="88" t="s">
        <v>716</v>
      </c>
      <c r="B1734" s="88">
        <v>58</v>
      </c>
      <c r="C1734" s="88">
        <v>39</v>
      </c>
      <c r="D1734" s="88" t="s">
        <v>142</v>
      </c>
      <c r="E1734" s="88" t="s">
        <v>887</v>
      </c>
      <c r="F1734" s="88" t="s">
        <v>666</v>
      </c>
      <c r="G1734" s="88" t="s">
        <v>724</v>
      </c>
      <c r="H1734" s="88" t="s">
        <v>596</v>
      </c>
    </row>
    <row r="1735" spans="1:8" x14ac:dyDescent="0.3">
      <c r="A1735" s="88" t="s">
        <v>716</v>
      </c>
      <c r="B1735" s="88">
        <v>59</v>
      </c>
      <c r="C1735" s="88">
        <v>32</v>
      </c>
      <c r="D1735" s="88" t="s">
        <v>143</v>
      </c>
      <c r="E1735" s="88" t="s">
        <v>1638</v>
      </c>
      <c r="F1735" s="88" t="s">
        <v>977</v>
      </c>
      <c r="G1735" s="88" t="s">
        <v>749</v>
      </c>
      <c r="H1735" s="88" t="s">
        <v>596</v>
      </c>
    </row>
    <row r="1736" spans="1:8" x14ac:dyDescent="0.3">
      <c r="A1736" s="88" t="s">
        <v>716</v>
      </c>
      <c r="B1736" s="88">
        <v>59</v>
      </c>
      <c r="C1736" s="88">
        <v>33</v>
      </c>
      <c r="D1736" s="88" t="s">
        <v>143</v>
      </c>
      <c r="E1736" s="88" t="s">
        <v>1000</v>
      </c>
      <c r="F1736" s="88" t="s">
        <v>978</v>
      </c>
      <c r="G1736" s="88" t="s">
        <v>752</v>
      </c>
      <c r="H1736" s="88" t="s">
        <v>596</v>
      </c>
    </row>
    <row r="1737" spans="1:8" x14ac:dyDescent="0.3">
      <c r="A1737" s="88" t="s">
        <v>716</v>
      </c>
      <c r="B1737" s="88">
        <v>59</v>
      </c>
      <c r="C1737" s="88">
        <v>34</v>
      </c>
      <c r="D1737" s="88" t="s">
        <v>143</v>
      </c>
      <c r="E1737" s="88" t="s">
        <v>1001</v>
      </c>
      <c r="F1737" s="88" t="s">
        <v>979</v>
      </c>
      <c r="G1737" s="88" t="s">
        <v>755</v>
      </c>
      <c r="H1737" s="88" t="s">
        <v>596</v>
      </c>
    </row>
    <row r="1738" spans="1:8" x14ac:dyDescent="0.3">
      <c r="A1738" s="88" t="s">
        <v>716</v>
      </c>
      <c r="B1738" s="88">
        <v>59</v>
      </c>
      <c r="C1738" s="88">
        <v>35</v>
      </c>
      <c r="D1738" s="88" t="s">
        <v>143</v>
      </c>
      <c r="E1738" s="88" t="s">
        <v>872</v>
      </c>
      <c r="F1738" s="88" t="s">
        <v>980</v>
      </c>
      <c r="G1738" s="88" t="s">
        <v>758</v>
      </c>
      <c r="H1738" s="88" t="s">
        <v>596</v>
      </c>
    </row>
    <row r="1739" spans="1:8" ht="28.8" x14ac:dyDescent="0.3">
      <c r="A1739" s="88" t="s">
        <v>716</v>
      </c>
      <c r="B1739" s="88">
        <v>59</v>
      </c>
      <c r="C1739" s="88">
        <v>38</v>
      </c>
      <c r="D1739" s="88" t="s">
        <v>143</v>
      </c>
      <c r="E1739" s="88" t="s">
        <v>1639</v>
      </c>
      <c r="F1739" s="88" t="s">
        <v>1004</v>
      </c>
      <c r="G1739" s="88" t="s">
        <v>719</v>
      </c>
      <c r="H1739" s="88" t="s">
        <v>596</v>
      </c>
    </row>
    <row r="1740" spans="1:8" ht="28.8" x14ac:dyDescent="0.3">
      <c r="A1740" s="88" t="s">
        <v>716</v>
      </c>
      <c r="B1740" s="88">
        <v>59</v>
      </c>
      <c r="C1740" s="88">
        <v>39</v>
      </c>
      <c r="D1740" s="88" t="s">
        <v>143</v>
      </c>
      <c r="E1740" s="88" t="s">
        <v>1003</v>
      </c>
      <c r="F1740" s="88" t="s">
        <v>666</v>
      </c>
      <c r="G1740" s="88" t="s">
        <v>724</v>
      </c>
      <c r="H1740" s="88" t="s">
        <v>596</v>
      </c>
    </row>
    <row r="1741" spans="1:8" x14ac:dyDescent="0.3">
      <c r="A1741" s="88" t="s">
        <v>716</v>
      </c>
      <c r="B1741" s="88">
        <v>60</v>
      </c>
      <c r="C1741" s="88">
        <v>32</v>
      </c>
      <c r="D1741" s="88" t="s">
        <v>144</v>
      </c>
      <c r="E1741" s="88" t="s">
        <v>1640</v>
      </c>
      <c r="F1741" s="88" t="s">
        <v>1005</v>
      </c>
      <c r="G1741" s="88" t="s">
        <v>749</v>
      </c>
      <c r="H1741" s="88" t="s">
        <v>596</v>
      </c>
    </row>
    <row r="1742" spans="1:8" x14ac:dyDescent="0.3">
      <c r="A1742" s="88" t="s">
        <v>716</v>
      </c>
      <c r="B1742" s="88">
        <v>60</v>
      </c>
      <c r="C1742" s="88">
        <v>33</v>
      </c>
      <c r="D1742" s="88" t="s">
        <v>144</v>
      </c>
      <c r="E1742" s="88" t="s">
        <v>764</v>
      </c>
      <c r="F1742" s="88" t="s">
        <v>791</v>
      </c>
      <c r="G1742" s="88" t="s">
        <v>752</v>
      </c>
      <c r="H1742" s="88" t="s">
        <v>596</v>
      </c>
    </row>
    <row r="1743" spans="1:8" x14ac:dyDescent="0.3">
      <c r="A1743" s="88" t="s">
        <v>716</v>
      </c>
      <c r="B1743" s="88">
        <v>60</v>
      </c>
      <c r="C1743" s="88">
        <v>34</v>
      </c>
      <c r="D1743" s="88" t="s">
        <v>144</v>
      </c>
      <c r="E1743" s="88" t="s">
        <v>1006</v>
      </c>
      <c r="F1743" s="88" t="s">
        <v>972</v>
      </c>
      <c r="G1743" s="88" t="s">
        <v>755</v>
      </c>
      <c r="H1743" s="88" t="s">
        <v>596</v>
      </c>
    </row>
    <row r="1744" spans="1:8" x14ac:dyDescent="0.3">
      <c r="A1744" s="88" t="s">
        <v>716</v>
      </c>
      <c r="B1744" s="88">
        <v>60</v>
      </c>
      <c r="C1744" s="88">
        <v>35</v>
      </c>
      <c r="D1744" s="88" t="s">
        <v>144</v>
      </c>
      <c r="E1744" s="88" t="s">
        <v>656</v>
      </c>
      <c r="F1744" s="88" t="s">
        <v>1007</v>
      </c>
      <c r="G1744" s="88" t="s">
        <v>758</v>
      </c>
      <c r="H1744" s="88" t="s">
        <v>596</v>
      </c>
    </row>
    <row r="1745" spans="1:8" ht="28.8" x14ac:dyDescent="0.3">
      <c r="A1745" s="88" t="s">
        <v>716</v>
      </c>
      <c r="B1745" s="88">
        <v>60</v>
      </c>
      <c r="C1745" s="88">
        <v>38</v>
      </c>
      <c r="D1745" s="88" t="s">
        <v>144</v>
      </c>
      <c r="E1745" s="88" t="s">
        <v>1641</v>
      </c>
      <c r="F1745" s="88" t="s">
        <v>1009</v>
      </c>
      <c r="G1745" s="88" t="s">
        <v>719</v>
      </c>
      <c r="H1745" s="88" t="s">
        <v>596</v>
      </c>
    </row>
    <row r="1746" spans="1:8" ht="28.8" x14ac:dyDescent="0.3">
      <c r="A1746" s="88" t="s">
        <v>716</v>
      </c>
      <c r="B1746" s="88">
        <v>60</v>
      </c>
      <c r="C1746" s="88">
        <v>39</v>
      </c>
      <c r="D1746" s="88" t="s">
        <v>144</v>
      </c>
      <c r="E1746" s="88" t="s">
        <v>1008</v>
      </c>
      <c r="F1746" s="88" t="s">
        <v>1011</v>
      </c>
      <c r="G1746" s="88" t="s">
        <v>724</v>
      </c>
      <c r="H1746" s="88" t="s">
        <v>596</v>
      </c>
    </row>
    <row r="1747" spans="1:8" ht="28.8" x14ac:dyDescent="0.3">
      <c r="A1747" s="88" t="s">
        <v>716</v>
      </c>
      <c r="B1747" s="88">
        <v>61</v>
      </c>
      <c r="C1747" s="88">
        <v>32</v>
      </c>
      <c r="D1747" s="88" t="s">
        <v>145</v>
      </c>
      <c r="E1747" s="88" t="s">
        <v>1642</v>
      </c>
      <c r="F1747" s="88" t="s">
        <v>983</v>
      </c>
      <c r="G1747" s="88" t="s">
        <v>749</v>
      </c>
      <c r="H1747" s="88" t="s">
        <v>596</v>
      </c>
    </row>
    <row r="1748" spans="1:8" x14ac:dyDescent="0.3">
      <c r="A1748" s="88" t="s">
        <v>716</v>
      </c>
      <c r="B1748" s="88">
        <v>61</v>
      </c>
      <c r="C1748" s="88">
        <v>33</v>
      </c>
      <c r="D1748" s="88" t="s">
        <v>145</v>
      </c>
      <c r="E1748" s="88" t="s">
        <v>1012</v>
      </c>
      <c r="F1748" s="88" t="s">
        <v>984</v>
      </c>
      <c r="G1748" s="88" t="s">
        <v>752</v>
      </c>
      <c r="H1748" s="88" t="s">
        <v>596</v>
      </c>
    </row>
    <row r="1749" spans="1:8" x14ac:dyDescent="0.3">
      <c r="A1749" s="88" t="s">
        <v>716</v>
      </c>
      <c r="B1749" s="88">
        <v>61</v>
      </c>
      <c r="C1749" s="88">
        <v>34</v>
      </c>
      <c r="D1749" s="88" t="s">
        <v>145</v>
      </c>
      <c r="E1749" s="88" t="s">
        <v>1013</v>
      </c>
      <c r="F1749" s="88" t="s">
        <v>985</v>
      </c>
      <c r="G1749" s="88" t="s">
        <v>755</v>
      </c>
      <c r="H1749" s="88" t="s">
        <v>596</v>
      </c>
    </row>
    <row r="1750" spans="1:8" x14ac:dyDescent="0.3">
      <c r="A1750" s="88" t="s">
        <v>716</v>
      </c>
      <c r="B1750" s="88">
        <v>61</v>
      </c>
      <c r="C1750" s="88">
        <v>35</v>
      </c>
      <c r="D1750" s="88" t="s">
        <v>145</v>
      </c>
      <c r="E1750" s="88" t="s">
        <v>1014</v>
      </c>
      <c r="F1750" s="88" t="s">
        <v>986</v>
      </c>
      <c r="G1750" s="88" t="s">
        <v>758</v>
      </c>
      <c r="H1750" s="88" t="s">
        <v>596</v>
      </c>
    </row>
    <row r="1751" spans="1:8" ht="28.8" x14ac:dyDescent="0.3">
      <c r="A1751" s="88" t="s">
        <v>716</v>
      </c>
      <c r="B1751" s="88">
        <v>61</v>
      </c>
      <c r="C1751" s="88">
        <v>38</v>
      </c>
      <c r="D1751" s="88" t="s">
        <v>145</v>
      </c>
      <c r="E1751" s="88" t="s">
        <v>1235</v>
      </c>
      <c r="F1751" s="88" t="s">
        <v>1016</v>
      </c>
      <c r="G1751" s="88" t="s">
        <v>719</v>
      </c>
      <c r="H1751" s="88" t="s">
        <v>596</v>
      </c>
    </row>
    <row r="1752" spans="1:8" ht="28.8" x14ac:dyDescent="0.3">
      <c r="A1752" s="88" t="s">
        <v>716</v>
      </c>
      <c r="B1752" s="88">
        <v>61</v>
      </c>
      <c r="C1752" s="88">
        <v>39</v>
      </c>
      <c r="D1752" s="88" t="s">
        <v>145</v>
      </c>
      <c r="E1752" s="88" t="s">
        <v>745</v>
      </c>
      <c r="F1752" s="88" t="s">
        <v>1643</v>
      </c>
      <c r="G1752" s="88" t="s">
        <v>724</v>
      </c>
      <c r="H1752" s="88" t="s">
        <v>596</v>
      </c>
    </row>
    <row r="1753" spans="1:8" x14ac:dyDescent="0.3">
      <c r="A1753" s="88" t="s">
        <v>716</v>
      </c>
      <c r="B1753" s="88">
        <v>62</v>
      </c>
      <c r="C1753" s="88">
        <v>32</v>
      </c>
      <c r="D1753" s="88" t="s">
        <v>146</v>
      </c>
      <c r="E1753" s="88" t="s">
        <v>1644</v>
      </c>
      <c r="F1753" s="88" t="s">
        <v>991</v>
      </c>
      <c r="G1753" s="88" t="s">
        <v>749</v>
      </c>
      <c r="H1753" s="88" t="s">
        <v>596</v>
      </c>
    </row>
    <row r="1754" spans="1:8" x14ac:dyDescent="0.3">
      <c r="A1754" s="88" t="s">
        <v>716</v>
      </c>
      <c r="B1754" s="88">
        <v>62</v>
      </c>
      <c r="C1754" s="88">
        <v>33</v>
      </c>
      <c r="D1754" s="88" t="s">
        <v>146</v>
      </c>
      <c r="E1754" s="88" t="s">
        <v>968</v>
      </c>
      <c r="F1754" s="88" t="s">
        <v>992</v>
      </c>
      <c r="G1754" s="88" t="s">
        <v>752</v>
      </c>
      <c r="H1754" s="88" t="s">
        <v>596</v>
      </c>
    </row>
    <row r="1755" spans="1:8" x14ac:dyDescent="0.3">
      <c r="A1755" s="88" t="s">
        <v>716</v>
      </c>
      <c r="B1755" s="88">
        <v>62</v>
      </c>
      <c r="C1755" s="88">
        <v>34</v>
      </c>
      <c r="D1755" s="88" t="s">
        <v>146</v>
      </c>
      <c r="E1755" s="88" t="s">
        <v>953</v>
      </c>
      <c r="F1755" s="88" t="s">
        <v>993</v>
      </c>
      <c r="G1755" s="88" t="s">
        <v>755</v>
      </c>
      <c r="H1755" s="88" t="s">
        <v>596</v>
      </c>
    </row>
    <row r="1756" spans="1:8" x14ac:dyDescent="0.3">
      <c r="A1756" s="88" t="s">
        <v>716</v>
      </c>
      <c r="B1756" s="88">
        <v>62</v>
      </c>
      <c r="C1756" s="88">
        <v>35</v>
      </c>
      <c r="D1756" s="88" t="s">
        <v>146</v>
      </c>
      <c r="E1756" s="88" t="s">
        <v>1017</v>
      </c>
      <c r="F1756" s="88" t="s">
        <v>994</v>
      </c>
      <c r="G1756" s="88" t="s">
        <v>758</v>
      </c>
      <c r="H1756" s="88" t="s">
        <v>596</v>
      </c>
    </row>
    <row r="1757" spans="1:8" ht="28.8" x14ac:dyDescent="0.3">
      <c r="A1757" s="88" t="s">
        <v>716</v>
      </c>
      <c r="B1757" s="88">
        <v>62</v>
      </c>
      <c r="C1757" s="88">
        <v>38</v>
      </c>
      <c r="D1757" s="88" t="s">
        <v>146</v>
      </c>
      <c r="E1757" s="88" t="s">
        <v>1645</v>
      </c>
      <c r="F1757" s="88" t="s">
        <v>1019</v>
      </c>
      <c r="G1757" s="88" t="s">
        <v>719</v>
      </c>
      <c r="H1757" s="88" t="s">
        <v>596</v>
      </c>
    </row>
    <row r="1758" spans="1:8" ht="28.8" x14ac:dyDescent="0.3">
      <c r="A1758" s="88" t="s">
        <v>716</v>
      </c>
      <c r="B1758" s="88">
        <v>62</v>
      </c>
      <c r="C1758" s="88">
        <v>39</v>
      </c>
      <c r="D1758" s="88" t="s">
        <v>146</v>
      </c>
      <c r="E1758" s="88" t="s">
        <v>1018</v>
      </c>
      <c r="F1758" s="88" t="s">
        <v>1021</v>
      </c>
      <c r="G1758" s="88" t="s">
        <v>724</v>
      </c>
      <c r="H1758" s="88" t="s">
        <v>596</v>
      </c>
    </row>
    <row r="1759" spans="1:8" x14ac:dyDescent="0.3">
      <c r="A1759" s="88" t="s">
        <v>716</v>
      </c>
      <c r="B1759" s="88">
        <v>63</v>
      </c>
      <c r="C1759" s="88">
        <v>32</v>
      </c>
      <c r="D1759" s="88" t="s">
        <v>147</v>
      </c>
      <c r="E1759" s="88" t="s">
        <v>1646</v>
      </c>
      <c r="F1759" s="88" t="s">
        <v>1022</v>
      </c>
      <c r="G1759" s="88" t="s">
        <v>749</v>
      </c>
      <c r="H1759" s="88" t="s">
        <v>596</v>
      </c>
    </row>
    <row r="1760" spans="1:8" x14ac:dyDescent="0.3">
      <c r="A1760" s="88" t="s">
        <v>716</v>
      </c>
      <c r="B1760" s="88">
        <v>63</v>
      </c>
      <c r="C1760" s="88">
        <v>33</v>
      </c>
      <c r="D1760" s="88" t="s">
        <v>147</v>
      </c>
      <c r="E1760" s="88" t="s">
        <v>641</v>
      </c>
      <c r="F1760" s="88" t="s">
        <v>1007</v>
      </c>
      <c r="G1760" s="88" t="s">
        <v>752</v>
      </c>
      <c r="H1760" s="88" t="s">
        <v>596</v>
      </c>
    </row>
    <row r="1761" spans="1:8" x14ac:dyDescent="0.3">
      <c r="A1761" s="88" t="s">
        <v>716</v>
      </c>
      <c r="B1761" s="88">
        <v>63</v>
      </c>
      <c r="C1761" s="88">
        <v>34</v>
      </c>
      <c r="D1761" s="88" t="s">
        <v>147</v>
      </c>
      <c r="E1761" s="88" t="s">
        <v>1023</v>
      </c>
      <c r="F1761" s="88" t="s">
        <v>1024</v>
      </c>
      <c r="G1761" s="88" t="s">
        <v>755</v>
      </c>
      <c r="H1761" s="88" t="s">
        <v>596</v>
      </c>
    </row>
    <row r="1762" spans="1:8" x14ac:dyDescent="0.3">
      <c r="A1762" s="88" t="s">
        <v>716</v>
      </c>
      <c r="B1762" s="88">
        <v>63</v>
      </c>
      <c r="C1762" s="88">
        <v>35</v>
      </c>
      <c r="D1762" s="88" t="s">
        <v>147</v>
      </c>
      <c r="E1762" s="88" t="s">
        <v>876</v>
      </c>
      <c r="F1762" s="88" t="s">
        <v>1026</v>
      </c>
      <c r="G1762" s="88" t="s">
        <v>758</v>
      </c>
      <c r="H1762" s="88" t="s">
        <v>596</v>
      </c>
    </row>
    <row r="1763" spans="1:8" ht="28.8" x14ac:dyDescent="0.3">
      <c r="A1763" s="88" t="s">
        <v>716</v>
      </c>
      <c r="B1763" s="88">
        <v>63</v>
      </c>
      <c r="C1763" s="88">
        <v>38</v>
      </c>
      <c r="D1763" s="88" t="s">
        <v>147</v>
      </c>
      <c r="E1763" s="88" t="s">
        <v>1647</v>
      </c>
      <c r="F1763" s="88" t="s">
        <v>1028</v>
      </c>
      <c r="G1763" s="88" t="s">
        <v>719</v>
      </c>
      <c r="H1763" s="88" t="s">
        <v>596</v>
      </c>
    </row>
    <row r="1764" spans="1:8" ht="28.8" x14ac:dyDescent="0.3">
      <c r="A1764" s="88" t="s">
        <v>716</v>
      </c>
      <c r="B1764" s="88">
        <v>63</v>
      </c>
      <c r="C1764" s="88">
        <v>39</v>
      </c>
      <c r="D1764" s="88" t="s">
        <v>147</v>
      </c>
      <c r="E1764" s="88" t="s">
        <v>1027</v>
      </c>
      <c r="F1764" s="88" t="s">
        <v>1648</v>
      </c>
      <c r="G1764" s="88" t="s">
        <v>724</v>
      </c>
      <c r="H1764" s="88" t="s">
        <v>596</v>
      </c>
    </row>
    <row r="1765" spans="1:8" x14ac:dyDescent="0.3">
      <c r="A1765" s="88" t="s">
        <v>716</v>
      </c>
      <c r="B1765" s="88">
        <v>64</v>
      </c>
      <c r="C1765" s="88">
        <v>32</v>
      </c>
      <c r="D1765" s="88" t="s">
        <v>148</v>
      </c>
      <c r="E1765" s="88" t="s">
        <v>1649</v>
      </c>
      <c r="F1765" s="88" t="s">
        <v>753</v>
      </c>
      <c r="G1765" s="88" t="s">
        <v>749</v>
      </c>
      <c r="H1765" s="88" t="s">
        <v>596</v>
      </c>
    </row>
    <row r="1766" spans="1:8" x14ac:dyDescent="0.3">
      <c r="A1766" s="88" t="s">
        <v>716</v>
      </c>
      <c r="B1766" s="88">
        <v>64</v>
      </c>
      <c r="C1766" s="88">
        <v>33</v>
      </c>
      <c r="D1766" s="88" t="s">
        <v>148</v>
      </c>
      <c r="E1766" s="88" t="s">
        <v>1029</v>
      </c>
      <c r="F1766" s="88" t="s">
        <v>997</v>
      </c>
      <c r="G1766" s="88" t="s">
        <v>752</v>
      </c>
      <c r="H1766" s="88" t="s">
        <v>596</v>
      </c>
    </row>
    <row r="1767" spans="1:8" x14ac:dyDescent="0.3">
      <c r="A1767" s="88" t="s">
        <v>716</v>
      </c>
      <c r="B1767" s="88">
        <v>64</v>
      </c>
      <c r="C1767" s="88">
        <v>34</v>
      </c>
      <c r="D1767" s="88" t="s">
        <v>148</v>
      </c>
      <c r="E1767" s="88" t="s">
        <v>1030</v>
      </c>
      <c r="F1767" s="88" t="s">
        <v>756</v>
      </c>
      <c r="G1767" s="88" t="s">
        <v>755</v>
      </c>
      <c r="H1767" s="88" t="s">
        <v>596</v>
      </c>
    </row>
    <row r="1768" spans="1:8" x14ac:dyDescent="0.3">
      <c r="A1768" s="88" t="s">
        <v>716</v>
      </c>
      <c r="B1768" s="88">
        <v>64</v>
      </c>
      <c r="C1768" s="88">
        <v>35</v>
      </c>
      <c r="D1768" s="88" t="s">
        <v>148</v>
      </c>
      <c r="E1768" s="88" t="s">
        <v>831</v>
      </c>
      <c r="F1768" s="88" t="s">
        <v>998</v>
      </c>
      <c r="G1768" s="88" t="s">
        <v>758</v>
      </c>
      <c r="H1768" s="88" t="s">
        <v>596</v>
      </c>
    </row>
    <row r="1769" spans="1:8" ht="28.8" x14ac:dyDescent="0.3">
      <c r="A1769" s="88" t="s">
        <v>716</v>
      </c>
      <c r="B1769" s="88">
        <v>64</v>
      </c>
      <c r="C1769" s="88">
        <v>38</v>
      </c>
      <c r="D1769" s="88" t="s">
        <v>148</v>
      </c>
      <c r="E1769" s="88" t="s">
        <v>1650</v>
      </c>
      <c r="F1769" s="88" t="s">
        <v>1033</v>
      </c>
      <c r="G1769" s="88" t="s">
        <v>719</v>
      </c>
      <c r="H1769" s="88" t="s">
        <v>596</v>
      </c>
    </row>
    <row r="1770" spans="1:8" ht="28.8" x14ac:dyDescent="0.3">
      <c r="A1770" s="88" t="s">
        <v>716</v>
      </c>
      <c r="B1770" s="88">
        <v>64</v>
      </c>
      <c r="C1770" s="88">
        <v>39</v>
      </c>
      <c r="D1770" s="88" t="s">
        <v>148</v>
      </c>
      <c r="E1770" s="88" t="s">
        <v>1032</v>
      </c>
      <c r="F1770" s="88" t="s">
        <v>1035</v>
      </c>
      <c r="G1770" s="88" t="s">
        <v>724</v>
      </c>
      <c r="H1770" s="88" t="s">
        <v>596</v>
      </c>
    </row>
    <row r="1771" spans="1:8" x14ac:dyDescent="0.3">
      <c r="A1771" s="88" t="s">
        <v>716</v>
      </c>
      <c r="B1771" s="88">
        <v>65</v>
      </c>
      <c r="C1771" s="88">
        <v>32</v>
      </c>
      <c r="D1771" s="88" t="s">
        <v>149</v>
      </c>
      <c r="E1771" s="88" t="s">
        <v>1651</v>
      </c>
      <c r="F1771" s="88" t="s">
        <v>1000</v>
      </c>
      <c r="G1771" s="88" t="s">
        <v>749</v>
      </c>
      <c r="H1771" s="88" t="s">
        <v>596</v>
      </c>
    </row>
    <row r="1772" spans="1:8" x14ac:dyDescent="0.3">
      <c r="A1772" s="88" t="s">
        <v>716</v>
      </c>
      <c r="B1772" s="88">
        <v>65</v>
      </c>
      <c r="C1772" s="88">
        <v>33</v>
      </c>
      <c r="D1772" s="88" t="s">
        <v>149</v>
      </c>
      <c r="E1772" s="88" t="s">
        <v>1036</v>
      </c>
      <c r="F1772" s="88" t="s">
        <v>1001</v>
      </c>
      <c r="G1772" s="88" t="s">
        <v>752</v>
      </c>
      <c r="H1772" s="88" t="s">
        <v>596</v>
      </c>
    </row>
    <row r="1773" spans="1:8" x14ac:dyDescent="0.3">
      <c r="A1773" s="88" t="s">
        <v>716</v>
      </c>
      <c r="B1773" s="88">
        <v>65</v>
      </c>
      <c r="C1773" s="88">
        <v>34</v>
      </c>
      <c r="D1773" s="88" t="s">
        <v>149</v>
      </c>
      <c r="E1773" s="88" t="s">
        <v>1037</v>
      </c>
      <c r="F1773" s="88" t="s">
        <v>872</v>
      </c>
      <c r="G1773" s="88" t="s">
        <v>755</v>
      </c>
      <c r="H1773" s="88" t="s">
        <v>596</v>
      </c>
    </row>
    <row r="1774" spans="1:8" x14ac:dyDescent="0.3">
      <c r="A1774" s="88" t="s">
        <v>716</v>
      </c>
      <c r="B1774" s="88">
        <v>65</v>
      </c>
      <c r="C1774" s="88">
        <v>35</v>
      </c>
      <c r="D1774" s="88" t="s">
        <v>149</v>
      </c>
      <c r="E1774" s="88" t="s">
        <v>771</v>
      </c>
      <c r="F1774" s="88" t="s">
        <v>1002</v>
      </c>
      <c r="G1774" s="88" t="s">
        <v>758</v>
      </c>
      <c r="H1774" s="88" t="s">
        <v>596</v>
      </c>
    </row>
    <row r="1775" spans="1:8" ht="28.8" x14ac:dyDescent="0.3">
      <c r="A1775" s="88" t="s">
        <v>716</v>
      </c>
      <c r="B1775" s="88">
        <v>65</v>
      </c>
      <c r="C1775" s="88">
        <v>38</v>
      </c>
      <c r="D1775" s="88" t="s">
        <v>149</v>
      </c>
      <c r="E1775" s="88" t="s">
        <v>1652</v>
      </c>
      <c r="F1775" s="88" t="s">
        <v>1039</v>
      </c>
      <c r="G1775" s="88" t="s">
        <v>719</v>
      </c>
      <c r="H1775" s="88" t="s">
        <v>596</v>
      </c>
    </row>
    <row r="1776" spans="1:8" ht="28.8" x14ac:dyDescent="0.3">
      <c r="A1776" s="88" t="s">
        <v>716</v>
      </c>
      <c r="B1776" s="88">
        <v>65</v>
      </c>
      <c r="C1776" s="88">
        <v>39</v>
      </c>
      <c r="D1776" s="88" t="s">
        <v>149</v>
      </c>
      <c r="E1776" s="88" t="s">
        <v>1038</v>
      </c>
      <c r="F1776" s="88" t="s">
        <v>1041</v>
      </c>
      <c r="G1776" s="88" t="s">
        <v>724</v>
      </c>
      <c r="H1776" s="88" t="s">
        <v>596</v>
      </c>
    </row>
    <row r="1777" spans="1:8" x14ac:dyDescent="0.3">
      <c r="A1777" s="88" t="s">
        <v>716</v>
      </c>
      <c r="B1777" s="88">
        <v>66</v>
      </c>
      <c r="C1777" s="88">
        <v>32</v>
      </c>
      <c r="D1777" s="88" t="s">
        <v>150</v>
      </c>
      <c r="E1777" s="88" t="s">
        <v>1653</v>
      </c>
      <c r="F1777" s="88" t="s">
        <v>764</v>
      </c>
      <c r="G1777" s="88" t="s">
        <v>749</v>
      </c>
      <c r="H1777" s="88" t="s">
        <v>596</v>
      </c>
    </row>
    <row r="1778" spans="1:8" x14ac:dyDescent="0.3">
      <c r="A1778" s="88" t="s">
        <v>716</v>
      </c>
      <c r="B1778" s="88">
        <v>66</v>
      </c>
      <c r="C1778" s="88">
        <v>33</v>
      </c>
      <c r="D1778" s="88" t="s">
        <v>150</v>
      </c>
      <c r="E1778" s="88" t="s">
        <v>1042</v>
      </c>
      <c r="F1778" s="88" t="s">
        <v>1006</v>
      </c>
      <c r="G1778" s="88" t="s">
        <v>752</v>
      </c>
      <c r="H1778" s="88" t="s">
        <v>596</v>
      </c>
    </row>
    <row r="1779" spans="1:8" x14ac:dyDescent="0.3">
      <c r="A1779" s="88" t="s">
        <v>716</v>
      </c>
      <c r="B1779" s="88">
        <v>66</v>
      </c>
      <c r="C1779" s="88">
        <v>34</v>
      </c>
      <c r="D1779" s="88" t="s">
        <v>150</v>
      </c>
      <c r="E1779" s="88" t="s">
        <v>1043</v>
      </c>
      <c r="F1779" s="88" t="s">
        <v>656</v>
      </c>
      <c r="G1779" s="88" t="s">
        <v>755</v>
      </c>
      <c r="H1779" s="88" t="s">
        <v>596</v>
      </c>
    </row>
    <row r="1780" spans="1:8" x14ac:dyDescent="0.3">
      <c r="A1780" s="88" t="s">
        <v>716</v>
      </c>
      <c r="B1780" s="88">
        <v>66</v>
      </c>
      <c r="C1780" s="88">
        <v>35</v>
      </c>
      <c r="D1780" s="88" t="s">
        <v>150</v>
      </c>
      <c r="E1780" s="88" t="s">
        <v>904</v>
      </c>
      <c r="F1780" s="88" t="s">
        <v>799</v>
      </c>
      <c r="G1780" s="88" t="s">
        <v>758</v>
      </c>
      <c r="H1780" s="88" t="s">
        <v>596</v>
      </c>
    </row>
    <row r="1781" spans="1:8" ht="28.8" x14ac:dyDescent="0.3">
      <c r="A1781" s="88" t="s">
        <v>716</v>
      </c>
      <c r="B1781" s="88">
        <v>66</v>
      </c>
      <c r="C1781" s="88">
        <v>38</v>
      </c>
      <c r="D1781" s="88" t="s">
        <v>150</v>
      </c>
      <c r="E1781" s="88" t="s">
        <v>1654</v>
      </c>
      <c r="F1781" s="88" t="s">
        <v>1046</v>
      </c>
      <c r="G1781" s="88" t="s">
        <v>719</v>
      </c>
      <c r="H1781" s="88" t="s">
        <v>596</v>
      </c>
    </row>
    <row r="1782" spans="1:8" ht="28.8" x14ac:dyDescent="0.3">
      <c r="A1782" s="88" t="s">
        <v>716</v>
      </c>
      <c r="B1782" s="88">
        <v>66</v>
      </c>
      <c r="C1782" s="88">
        <v>39</v>
      </c>
      <c r="D1782" s="88" t="s">
        <v>150</v>
      </c>
      <c r="E1782" s="88" t="s">
        <v>1045</v>
      </c>
      <c r="F1782" s="88" t="s">
        <v>1655</v>
      </c>
      <c r="G1782" s="88" t="s">
        <v>724</v>
      </c>
      <c r="H1782" s="88" t="s">
        <v>596</v>
      </c>
    </row>
    <row r="1783" spans="1:8" x14ac:dyDescent="0.3">
      <c r="A1783" s="88" t="s">
        <v>716</v>
      </c>
      <c r="B1783" s="88">
        <v>67</v>
      </c>
      <c r="C1783" s="88">
        <v>18</v>
      </c>
      <c r="D1783" s="88" t="s">
        <v>151</v>
      </c>
      <c r="E1783" s="88" t="s">
        <v>1047</v>
      </c>
      <c r="F1783" s="88" t="s">
        <v>692</v>
      </c>
      <c r="G1783" s="88" t="s">
        <v>896</v>
      </c>
      <c r="H1783" s="88" t="s">
        <v>596</v>
      </c>
    </row>
    <row r="1784" spans="1:8" x14ac:dyDescent="0.3">
      <c r="A1784" s="88" t="s">
        <v>716</v>
      </c>
      <c r="B1784" s="88">
        <v>67</v>
      </c>
      <c r="C1784" s="88">
        <v>32</v>
      </c>
      <c r="D1784" s="88" t="s">
        <v>151</v>
      </c>
      <c r="E1784" s="88" t="s">
        <v>1656</v>
      </c>
      <c r="F1784" s="88" t="s">
        <v>641</v>
      </c>
      <c r="G1784" s="88" t="s">
        <v>749</v>
      </c>
      <c r="H1784" s="88" t="s">
        <v>596</v>
      </c>
    </row>
    <row r="1785" spans="1:8" x14ac:dyDescent="0.3">
      <c r="A1785" s="88" t="s">
        <v>716</v>
      </c>
      <c r="B1785" s="88">
        <v>67</v>
      </c>
      <c r="C1785" s="88">
        <v>33</v>
      </c>
      <c r="D1785" s="88" t="s">
        <v>151</v>
      </c>
      <c r="E1785" s="88" t="s">
        <v>698</v>
      </c>
      <c r="F1785" s="88" t="s">
        <v>1023</v>
      </c>
      <c r="G1785" s="88" t="s">
        <v>752</v>
      </c>
      <c r="H1785" s="88" t="s">
        <v>596</v>
      </c>
    </row>
    <row r="1786" spans="1:8" x14ac:dyDescent="0.3">
      <c r="A1786" s="88" t="s">
        <v>716</v>
      </c>
      <c r="B1786" s="88">
        <v>67</v>
      </c>
      <c r="C1786" s="88">
        <v>34</v>
      </c>
      <c r="D1786" s="88" t="s">
        <v>151</v>
      </c>
      <c r="E1786" s="88" t="s">
        <v>952</v>
      </c>
      <c r="F1786" s="88" t="s">
        <v>876</v>
      </c>
      <c r="G1786" s="88" t="s">
        <v>755</v>
      </c>
      <c r="H1786" s="88" t="s">
        <v>596</v>
      </c>
    </row>
    <row r="1787" spans="1:8" x14ac:dyDescent="0.3">
      <c r="A1787" s="88" t="s">
        <v>716</v>
      </c>
      <c r="B1787" s="88">
        <v>67</v>
      </c>
      <c r="C1787" s="88">
        <v>35</v>
      </c>
      <c r="D1787" s="88" t="s">
        <v>151</v>
      </c>
      <c r="E1787" s="88" t="s">
        <v>1048</v>
      </c>
      <c r="F1787" s="88" t="s">
        <v>1025</v>
      </c>
      <c r="G1787" s="88" t="s">
        <v>758</v>
      </c>
      <c r="H1787" s="88" t="s">
        <v>596</v>
      </c>
    </row>
    <row r="1788" spans="1:8" ht="28.8" x14ac:dyDescent="0.3">
      <c r="A1788" s="88" t="s">
        <v>716</v>
      </c>
      <c r="B1788" s="88">
        <v>67</v>
      </c>
      <c r="C1788" s="88">
        <v>38</v>
      </c>
      <c r="D1788" s="88" t="s">
        <v>151</v>
      </c>
      <c r="E1788" s="88" t="s">
        <v>1657</v>
      </c>
      <c r="F1788" s="88" t="s">
        <v>1050</v>
      </c>
      <c r="G1788" s="88" t="s">
        <v>719</v>
      </c>
      <c r="H1788" s="88" t="s">
        <v>596</v>
      </c>
    </row>
    <row r="1789" spans="1:8" ht="28.8" x14ac:dyDescent="0.3">
      <c r="A1789" s="88" t="s">
        <v>716</v>
      </c>
      <c r="B1789" s="88">
        <v>67</v>
      </c>
      <c r="C1789" s="88">
        <v>39</v>
      </c>
      <c r="D1789" s="88" t="s">
        <v>151</v>
      </c>
      <c r="E1789" s="88" t="s">
        <v>1049</v>
      </c>
      <c r="F1789" s="88" t="s">
        <v>1052</v>
      </c>
      <c r="G1789" s="88" t="s">
        <v>724</v>
      </c>
      <c r="H1789" s="88" t="s">
        <v>596</v>
      </c>
    </row>
    <row r="1790" spans="1:8" x14ac:dyDescent="0.3">
      <c r="A1790" s="88" t="s">
        <v>716</v>
      </c>
      <c r="B1790" s="88">
        <v>68</v>
      </c>
      <c r="C1790" s="88">
        <v>18</v>
      </c>
      <c r="D1790" s="88" t="s">
        <v>152</v>
      </c>
      <c r="E1790" s="88" t="s">
        <v>627</v>
      </c>
      <c r="F1790" s="88" t="s">
        <v>1047</v>
      </c>
      <c r="G1790" s="88" t="s">
        <v>896</v>
      </c>
      <c r="H1790" s="88" t="s">
        <v>596</v>
      </c>
    </row>
    <row r="1791" spans="1:8" x14ac:dyDescent="0.3">
      <c r="A1791" s="88" t="s">
        <v>716</v>
      </c>
      <c r="B1791" s="88">
        <v>68</v>
      </c>
      <c r="C1791" s="88">
        <v>32</v>
      </c>
      <c r="D1791" s="88" t="s">
        <v>152</v>
      </c>
      <c r="E1791" s="88" t="s">
        <v>1658</v>
      </c>
      <c r="F1791" s="88" t="s">
        <v>1012</v>
      </c>
      <c r="G1791" s="88" t="s">
        <v>749</v>
      </c>
      <c r="H1791" s="88" t="s">
        <v>596</v>
      </c>
    </row>
    <row r="1792" spans="1:8" x14ac:dyDescent="0.3">
      <c r="A1792" s="88" t="s">
        <v>716</v>
      </c>
      <c r="B1792" s="88">
        <v>68</v>
      </c>
      <c r="C1792" s="88">
        <v>33</v>
      </c>
      <c r="D1792" s="88" t="s">
        <v>152</v>
      </c>
      <c r="E1792" s="88" t="s">
        <v>649</v>
      </c>
      <c r="F1792" s="88" t="s">
        <v>1013</v>
      </c>
      <c r="G1792" s="88" t="s">
        <v>752</v>
      </c>
      <c r="H1792" s="88" t="s">
        <v>596</v>
      </c>
    </row>
    <row r="1793" spans="1:8" x14ac:dyDescent="0.3">
      <c r="A1793" s="88" t="s">
        <v>716</v>
      </c>
      <c r="B1793" s="88">
        <v>68</v>
      </c>
      <c r="C1793" s="88">
        <v>34</v>
      </c>
      <c r="D1793" s="88" t="s">
        <v>152</v>
      </c>
      <c r="E1793" s="88" t="s">
        <v>1053</v>
      </c>
      <c r="F1793" s="88" t="s">
        <v>1014</v>
      </c>
      <c r="G1793" s="88" t="s">
        <v>755</v>
      </c>
      <c r="H1793" s="88" t="s">
        <v>596</v>
      </c>
    </row>
    <row r="1794" spans="1:8" x14ac:dyDescent="0.3">
      <c r="A1794" s="88" t="s">
        <v>716</v>
      </c>
      <c r="B1794" s="88">
        <v>68</v>
      </c>
      <c r="C1794" s="88">
        <v>35</v>
      </c>
      <c r="D1794" s="88" t="s">
        <v>152</v>
      </c>
      <c r="E1794" s="88" t="s">
        <v>655</v>
      </c>
      <c r="F1794" s="88" t="s">
        <v>1015</v>
      </c>
      <c r="G1794" s="88" t="s">
        <v>758</v>
      </c>
      <c r="H1794" s="88" t="s">
        <v>596</v>
      </c>
    </row>
    <row r="1795" spans="1:8" ht="28.8" x14ac:dyDescent="0.3">
      <c r="A1795" s="88" t="s">
        <v>716</v>
      </c>
      <c r="B1795" s="88">
        <v>68</v>
      </c>
      <c r="C1795" s="88">
        <v>38</v>
      </c>
      <c r="D1795" s="88" t="s">
        <v>152</v>
      </c>
      <c r="E1795" s="88" t="s">
        <v>1659</v>
      </c>
      <c r="F1795" s="88" t="s">
        <v>1056</v>
      </c>
      <c r="G1795" s="88" t="s">
        <v>719</v>
      </c>
      <c r="H1795" s="88" t="s">
        <v>596</v>
      </c>
    </row>
    <row r="1796" spans="1:8" ht="28.8" x14ac:dyDescent="0.3">
      <c r="A1796" s="88" t="s">
        <v>716</v>
      </c>
      <c r="B1796" s="88">
        <v>68</v>
      </c>
      <c r="C1796" s="88">
        <v>39</v>
      </c>
      <c r="D1796" s="88" t="s">
        <v>152</v>
      </c>
      <c r="E1796" s="88" t="s">
        <v>1055</v>
      </c>
      <c r="F1796" s="88" t="s">
        <v>1058</v>
      </c>
      <c r="G1796" s="88" t="s">
        <v>724</v>
      </c>
      <c r="H1796" s="88" t="s">
        <v>596</v>
      </c>
    </row>
    <row r="1797" spans="1:8" x14ac:dyDescent="0.3">
      <c r="A1797" s="88" t="s">
        <v>716</v>
      </c>
      <c r="B1797" s="88">
        <v>69</v>
      </c>
      <c r="C1797" s="88">
        <v>18</v>
      </c>
      <c r="D1797" s="88" t="s">
        <v>153</v>
      </c>
      <c r="E1797" s="88" t="s">
        <v>692</v>
      </c>
      <c r="F1797" s="88" t="s">
        <v>627</v>
      </c>
      <c r="G1797" s="88" t="s">
        <v>896</v>
      </c>
      <c r="H1797" s="88" t="s">
        <v>596</v>
      </c>
    </row>
    <row r="1798" spans="1:8" x14ac:dyDescent="0.3">
      <c r="A1798" s="88" t="s">
        <v>716</v>
      </c>
      <c r="B1798" s="88">
        <v>69</v>
      </c>
      <c r="C1798" s="88">
        <v>32</v>
      </c>
      <c r="D1798" s="88" t="s">
        <v>153</v>
      </c>
      <c r="E1798" s="88" t="s">
        <v>1660</v>
      </c>
      <c r="F1798" s="88" t="s">
        <v>968</v>
      </c>
      <c r="G1798" s="88" t="s">
        <v>749</v>
      </c>
      <c r="H1798" s="88" t="s">
        <v>596</v>
      </c>
    </row>
    <row r="1799" spans="1:8" x14ac:dyDescent="0.3">
      <c r="A1799" s="88" t="s">
        <v>716</v>
      </c>
      <c r="B1799" s="88">
        <v>69</v>
      </c>
      <c r="C1799" s="88">
        <v>33</v>
      </c>
      <c r="D1799" s="88" t="s">
        <v>153</v>
      </c>
      <c r="E1799" s="88" t="s">
        <v>864</v>
      </c>
      <c r="F1799" s="88" t="s">
        <v>953</v>
      </c>
      <c r="G1799" s="88" t="s">
        <v>752</v>
      </c>
      <c r="H1799" s="88" t="s">
        <v>596</v>
      </c>
    </row>
    <row r="1800" spans="1:8" x14ac:dyDescent="0.3">
      <c r="A1800" s="88" t="s">
        <v>716</v>
      </c>
      <c r="B1800" s="88">
        <v>69</v>
      </c>
      <c r="C1800" s="88">
        <v>34</v>
      </c>
      <c r="D1800" s="88" t="s">
        <v>153</v>
      </c>
      <c r="E1800" s="88" t="s">
        <v>1059</v>
      </c>
      <c r="F1800" s="88" t="s">
        <v>1017</v>
      </c>
      <c r="G1800" s="88" t="s">
        <v>755</v>
      </c>
      <c r="H1800" s="88" t="s">
        <v>596</v>
      </c>
    </row>
    <row r="1801" spans="1:8" x14ac:dyDescent="0.3">
      <c r="A1801" s="88" t="s">
        <v>716</v>
      </c>
      <c r="B1801" s="88">
        <v>69</v>
      </c>
      <c r="C1801" s="88">
        <v>35</v>
      </c>
      <c r="D1801" s="88" t="s">
        <v>153</v>
      </c>
      <c r="E1801" s="88" t="s">
        <v>1013</v>
      </c>
      <c r="F1801" s="88" t="s">
        <v>805</v>
      </c>
      <c r="G1801" s="88" t="s">
        <v>758</v>
      </c>
      <c r="H1801" s="88" t="s">
        <v>596</v>
      </c>
    </row>
    <row r="1802" spans="1:8" ht="28.8" x14ac:dyDescent="0.3">
      <c r="A1802" s="88" t="s">
        <v>716</v>
      </c>
      <c r="B1802" s="88">
        <v>69</v>
      </c>
      <c r="C1802" s="88">
        <v>38</v>
      </c>
      <c r="D1802" s="88" t="s">
        <v>153</v>
      </c>
      <c r="E1802" s="88" t="s">
        <v>1661</v>
      </c>
      <c r="F1802" s="88"/>
      <c r="G1802" s="88" t="s">
        <v>719</v>
      </c>
      <c r="H1802" s="88" t="s">
        <v>596</v>
      </c>
    </row>
    <row r="1803" spans="1:8" ht="28.8" x14ac:dyDescent="0.3">
      <c r="A1803" s="88" t="s">
        <v>716</v>
      </c>
      <c r="B1803" s="88">
        <v>69</v>
      </c>
      <c r="C1803" s="88">
        <v>39</v>
      </c>
      <c r="D1803" s="88" t="s">
        <v>153</v>
      </c>
      <c r="E1803" s="88" t="s">
        <v>734</v>
      </c>
      <c r="F1803" s="88" t="s">
        <v>1060</v>
      </c>
      <c r="G1803" s="88" t="s">
        <v>724</v>
      </c>
      <c r="H1803" s="88" t="s">
        <v>596</v>
      </c>
    </row>
    <row r="1804" spans="1:8" ht="28.8" x14ac:dyDescent="0.3">
      <c r="A1804" s="88" t="s">
        <v>716</v>
      </c>
      <c r="B1804" s="88">
        <v>70</v>
      </c>
      <c r="C1804" s="88">
        <v>32</v>
      </c>
      <c r="D1804" s="88" t="s">
        <v>154</v>
      </c>
      <c r="E1804" s="88" t="s">
        <v>1662</v>
      </c>
      <c r="F1804" s="88" t="s">
        <v>1029</v>
      </c>
      <c r="G1804" s="88" t="s">
        <v>749</v>
      </c>
      <c r="H1804" s="88" t="s">
        <v>596</v>
      </c>
    </row>
    <row r="1805" spans="1:8" x14ac:dyDescent="0.3">
      <c r="A1805" s="88" t="s">
        <v>716</v>
      </c>
      <c r="B1805" s="88">
        <v>70</v>
      </c>
      <c r="C1805" s="88">
        <v>33</v>
      </c>
      <c r="D1805" s="88" t="s">
        <v>154</v>
      </c>
      <c r="E1805" s="88" t="s">
        <v>968</v>
      </c>
      <c r="F1805" s="88" t="s">
        <v>1030</v>
      </c>
      <c r="G1805" s="88" t="s">
        <v>752</v>
      </c>
      <c r="H1805" s="88" t="s">
        <v>596</v>
      </c>
    </row>
    <row r="1806" spans="1:8" x14ac:dyDescent="0.3">
      <c r="A1806" s="88" t="s">
        <v>716</v>
      </c>
      <c r="B1806" s="88">
        <v>70</v>
      </c>
      <c r="C1806" s="88">
        <v>34</v>
      </c>
      <c r="D1806" s="88" t="s">
        <v>154</v>
      </c>
      <c r="E1806" s="88" t="s">
        <v>842</v>
      </c>
      <c r="F1806" s="88" t="s">
        <v>831</v>
      </c>
      <c r="G1806" s="88" t="s">
        <v>755</v>
      </c>
      <c r="H1806" s="88" t="s">
        <v>596</v>
      </c>
    </row>
    <row r="1807" spans="1:8" x14ac:dyDescent="0.3">
      <c r="A1807" s="88" t="s">
        <v>716</v>
      </c>
      <c r="B1807" s="88">
        <v>70</v>
      </c>
      <c r="C1807" s="88">
        <v>35</v>
      </c>
      <c r="D1807" s="88" t="s">
        <v>154</v>
      </c>
      <c r="E1807" s="88" t="s">
        <v>1061</v>
      </c>
      <c r="F1807" s="88" t="s">
        <v>1031</v>
      </c>
      <c r="G1807" s="88" t="s">
        <v>758</v>
      </c>
      <c r="H1807" s="88" t="s">
        <v>596</v>
      </c>
    </row>
    <row r="1808" spans="1:8" ht="28.8" x14ac:dyDescent="0.3">
      <c r="A1808" s="88" t="s">
        <v>716</v>
      </c>
      <c r="B1808" s="88">
        <v>70</v>
      </c>
      <c r="C1808" s="88">
        <v>38</v>
      </c>
      <c r="D1808" s="88" t="s">
        <v>154</v>
      </c>
      <c r="E1808" s="88" t="s">
        <v>1663</v>
      </c>
      <c r="F1808" s="88" t="s">
        <v>1063</v>
      </c>
      <c r="G1808" s="88" t="s">
        <v>719</v>
      </c>
      <c r="H1808" s="88" t="s">
        <v>596</v>
      </c>
    </row>
    <row r="1809" spans="1:8" ht="28.8" x14ac:dyDescent="0.3">
      <c r="A1809" s="88" t="s">
        <v>716</v>
      </c>
      <c r="B1809" s="88">
        <v>70</v>
      </c>
      <c r="C1809" s="88">
        <v>39</v>
      </c>
      <c r="D1809" s="88" t="s">
        <v>154</v>
      </c>
      <c r="E1809" s="88" t="s">
        <v>1062</v>
      </c>
      <c r="F1809" s="88" t="s">
        <v>1065</v>
      </c>
      <c r="G1809" s="88" t="s">
        <v>724</v>
      </c>
      <c r="H1809" s="88" t="s">
        <v>596</v>
      </c>
    </row>
    <row r="1810" spans="1:8" x14ac:dyDescent="0.3">
      <c r="A1810" s="88" t="s">
        <v>716</v>
      </c>
      <c r="B1810" s="88">
        <v>71</v>
      </c>
      <c r="C1810" s="88">
        <v>32</v>
      </c>
      <c r="D1810" s="88" t="s">
        <v>155</v>
      </c>
      <c r="E1810" s="88" t="s">
        <v>1664</v>
      </c>
      <c r="F1810" s="88" t="s">
        <v>1053</v>
      </c>
      <c r="G1810" s="88" t="s">
        <v>749</v>
      </c>
      <c r="H1810" s="88" t="s">
        <v>596</v>
      </c>
    </row>
    <row r="1811" spans="1:8" x14ac:dyDescent="0.3">
      <c r="A1811" s="88" t="s">
        <v>716</v>
      </c>
      <c r="B1811" s="88">
        <v>71</v>
      </c>
      <c r="C1811" s="88">
        <v>33</v>
      </c>
      <c r="D1811" s="88" t="s">
        <v>155</v>
      </c>
      <c r="E1811" s="88" t="s">
        <v>879</v>
      </c>
      <c r="F1811" s="88" t="s">
        <v>1066</v>
      </c>
      <c r="G1811" s="88" t="s">
        <v>752</v>
      </c>
      <c r="H1811" s="88" t="s">
        <v>596</v>
      </c>
    </row>
    <row r="1812" spans="1:8" x14ac:dyDescent="0.3">
      <c r="A1812" s="88" t="s">
        <v>716</v>
      </c>
      <c r="B1812" s="88">
        <v>71</v>
      </c>
      <c r="C1812" s="88">
        <v>34</v>
      </c>
      <c r="D1812" s="88" t="s">
        <v>155</v>
      </c>
      <c r="E1812" s="88" t="s">
        <v>802</v>
      </c>
      <c r="F1812" s="88" t="s">
        <v>1068</v>
      </c>
      <c r="G1812" s="88" t="s">
        <v>755</v>
      </c>
      <c r="H1812" s="88" t="s">
        <v>596</v>
      </c>
    </row>
    <row r="1813" spans="1:8" x14ac:dyDescent="0.3">
      <c r="A1813" s="88" t="s">
        <v>716</v>
      </c>
      <c r="B1813" s="88">
        <v>71</v>
      </c>
      <c r="C1813" s="88">
        <v>35</v>
      </c>
      <c r="D1813" s="88" t="s">
        <v>155</v>
      </c>
      <c r="E1813" s="88" t="s">
        <v>1067</v>
      </c>
      <c r="F1813" s="88" t="s">
        <v>814</v>
      </c>
      <c r="G1813" s="88" t="s">
        <v>758</v>
      </c>
      <c r="H1813" s="88" t="s">
        <v>596</v>
      </c>
    </row>
    <row r="1814" spans="1:8" ht="28.8" x14ac:dyDescent="0.3">
      <c r="A1814" s="88" t="s">
        <v>716</v>
      </c>
      <c r="B1814" s="88">
        <v>71</v>
      </c>
      <c r="C1814" s="88">
        <v>38</v>
      </c>
      <c r="D1814" s="88" t="s">
        <v>155</v>
      </c>
      <c r="E1814" s="88" t="s">
        <v>1665</v>
      </c>
      <c r="F1814" s="88" t="s">
        <v>1069</v>
      </c>
      <c r="G1814" s="88" t="s">
        <v>719</v>
      </c>
      <c r="H1814" s="88" t="s">
        <v>596</v>
      </c>
    </row>
    <row r="1815" spans="1:8" ht="28.8" x14ac:dyDescent="0.3">
      <c r="A1815" s="88" t="s">
        <v>716</v>
      </c>
      <c r="B1815" s="88">
        <v>71</v>
      </c>
      <c r="C1815" s="88">
        <v>39</v>
      </c>
      <c r="D1815" s="88" t="s">
        <v>155</v>
      </c>
      <c r="E1815" s="88" t="s">
        <v>1027</v>
      </c>
      <c r="F1815" s="88" t="s">
        <v>1666</v>
      </c>
      <c r="G1815" s="88" t="s">
        <v>724</v>
      </c>
      <c r="H1815" s="88" t="s">
        <v>596</v>
      </c>
    </row>
    <row r="1816" spans="1:8" x14ac:dyDescent="0.3">
      <c r="A1816" s="88" t="s">
        <v>716</v>
      </c>
      <c r="B1816" s="88">
        <v>72</v>
      </c>
      <c r="C1816" s="88">
        <v>32</v>
      </c>
      <c r="D1816" s="88" t="s">
        <v>156</v>
      </c>
      <c r="E1816" s="88" t="s">
        <v>1667</v>
      </c>
      <c r="F1816" s="88" t="s">
        <v>1036</v>
      </c>
      <c r="G1816" s="88" t="s">
        <v>749</v>
      </c>
      <c r="H1816" s="88" t="s">
        <v>596</v>
      </c>
    </row>
    <row r="1817" spans="1:8" x14ac:dyDescent="0.3">
      <c r="A1817" s="88" t="s">
        <v>716</v>
      </c>
      <c r="B1817" s="88">
        <v>72</v>
      </c>
      <c r="C1817" s="88">
        <v>33</v>
      </c>
      <c r="D1817" s="88" t="s">
        <v>156</v>
      </c>
      <c r="E1817" s="88" t="s">
        <v>1070</v>
      </c>
      <c r="F1817" s="88" t="s">
        <v>1037</v>
      </c>
      <c r="G1817" s="88" t="s">
        <v>752</v>
      </c>
      <c r="H1817" s="88" t="s">
        <v>596</v>
      </c>
    </row>
    <row r="1818" spans="1:8" x14ac:dyDescent="0.3">
      <c r="A1818" s="88" t="s">
        <v>716</v>
      </c>
      <c r="B1818" s="88">
        <v>72</v>
      </c>
      <c r="C1818" s="88">
        <v>34</v>
      </c>
      <c r="D1818" s="88" t="s">
        <v>156</v>
      </c>
      <c r="E1818" s="88" t="s">
        <v>952</v>
      </c>
      <c r="F1818" s="88" t="s">
        <v>771</v>
      </c>
      <c r="G1818" s="88" t="s">
        <v>755</v>
      </c>
      <c r="H1818" s="88" t="s">
        <v>596</v>
      </c>
    </row>
    <row r="1819" spans="1:8" x14ac:dyDescent="0.3">
      <c r="A1819" s="88" t="s">
        <v>716</v>
      </c>
      <c r="B1819" s="88">
        <v>72</v>
      </c>
      <c r="C1819" s="88">
        <v>35</v>
      </c>
      <c r="D1819" s="88" t="s">
        <v>156</v>
      </c>
      <c r="E1819" s="88" t="s">
        <v>889</v>
      </c>
      <c r="F1819" s="88" t="s">
        <v>876</v>
      </c>
      <c r="G1819" s="88" t="s">
        <v>758</v>
      </c>
      <c r="H1819" s="88" t="s">
        <v>596</v>
      </c>
    </row>
    <row r="1820" spans="1:8" ht="28.8" x14ac:dyDescent="0.3">
      <c r="A1820" s="88" t="s">
        <v>716</v>
      </c>
      <c r="B1820" s="88">
        <v>72</v>
      </c>
      <c r="C1820" s="88">
        <v>38</v>
      </c>
      <c r="D1820" s="88" t="s">
        <v>156</v>
      </c>
      <c r="E1820" s="88" t="s">
        <v>1668</v>
      </c>
      <c r="F1820" s="88" t="s">
        <v>1073</v>
      </c>
      <c r="G1820" s="88" t="s">
        <v>719</v>
      </c>
      <c r="H1820" s="88" t="s">
        <v>596</v>
      </c>
    </row>
    <row r="1821" spans="1:8" ht="28.8" x14ac:dyDescent="0.3">
      <c r="A1821" s="88" t="s">
        <v>716</v>
      </c>
      <c r="B1821" s="88">
        <v>72</v>
      </c>
      <c r="C1821" s="88">
        <v>39</v>
      </c>
      <c r="D1821" s="88" t="s">
        <v>156</v>
      </c>
      <c r="E1821" s="88" t="s">
        <v>1072</v>
      </c>
      <c r="F1821" s="88" t="s">
        <v>1669</v>
      </c>
      <c r="G1821" s="88" t="s">
        <v>724</v>
      </c>
      <c r="H1821" s="88" t="s">
        <v>596</v>
      </c>
    </row>
    <row r="1822" spans="1:8" ht="28.8" x14ac:dyDescent="0.3">
      <c r="A1822" s="88" t="s">
        <v>716</v>
      </c>
      <c r="B1822" s="88">
        <v>73</v>
      </c>
      <c r="C1822" s="88">
        <v>32</v>
      </c>
      <c r="D1822" s="88" t="s">
        <v>157</v>
      </c>
      <c r="E1822" s="88" t="s">
        <v>1670</v>
      </c>
      <c r="F1822" s="88" t="s">
        <v>1042</v>
      </c>
      <c r="G1822" s="88" t="s">
        <v>749</v>
      </c>
      <c r="H1822" s="88" t="s">
        <v>596</v>
      </c>
    </row>
    <row r="1823" spans="1:8" x14ac:dyDescent="0.3">
      <c r="A1823" s="88" t="s">
        <v>716</v>
      </c>
      <c r="B1823" s="88">
        <v>73</v>
      </c>
      <c r="C1823" s="88">
        <v>33</v>
      </c>
      <c r="D1823" s="88" t="s">
        <v>157</v>
      </c>
      <c r="E1823" s="88" t="s">
        <v>1074</v>
      </c>
      <c r="F1823" s="88" t="s">
        <v>1043</v>
      </c>
      <c r="G1823" s="88" t="s">
        <v>752</v>
      </c>
      <c r="H1823" s="88" t="s">
        <v>596</v>
      </c>
    </row>
    <row r="1824" spans="1:8" x14ac:dyDescent="0.3">
      <c r="A1824" s="88" t="s">
        <v>716</v>
      </c>
      <c r="B1824" s="88">
        <v>73</v>
      </c>
      <c r="C1824" s="88">
        <v>34</v>
      </c>
      <c r="D1824" s="88" t="s">
        <v>157</v>
      </c>
      <c r="E1824" s="88" t="s">
        <v>1075</v>
      </c>
      <c r="F1824" s="88" t="s">
        <v>904</v>
      </c>
      <c r="G1824" s="88" t="s">
        <v>755</v>
      </c>
      <c r="H1824" s="88" t="s">
        <v>596</v>
      </c>
    </row>
    <row r="1825" spans="1:8" x14ac:dyDescent="0.3">
      <c r="A1825" s="88" t="s">
        <v>716</v>
      </c>
      <c r="B1825" s="88">
        <v>73</v>
      </c>
      <c r="C1825" s="88">
        <v>35</v>
      </c>
      <c r="D1825" s="88" t="s">
        <v>157</v>
      </c>
      <c r="E1825" s="88" t="s">
        <v>1076</v>
      </c>
      <c r="F1825" s="88" t="s">
        <v>1044</v>
      </c>
      <c r="G1825" s="88" t="s">
        <v>758</v>
      </c>
      <c r="H1825" s="88" t="s">
        <v>596</v>
      </c>
    </row>
    <row r="1826" spans="1:8" ht="28.8" x14ac:dyDescent="0.3">
      <c r="A1826" s="88" t="s">
        <v>716</v>
      </c>
      <c r="B1826" s="88">
        <v>73</v>
      </c>
      <c r="C1826" s="88">
        <v>38</v>
      </c>
      <c r="D1826" s="88" t="s">
        <v>157</v>
      </c>
      <c r="E1826" s="88" t="s">
        <v>1671</v>
      </c>
      <c r="F1826" s="88" t="s">
        <v>1078</v>
      </c>
      <c r="G1826" s="88" t="s">
        <v>719</v>
      </c>
      <c r="H1826" s="88" t="s">
        <v>596</v>
      </c>
    </row>
    <row r="1827" spans="1:8" ht="28.8" x14ac:dyDescent="0.3">
      <c r="A1827" s="88" t="s">
        <v>716</v>
      </c>
      <c r="B1827" s="88">
        <v>73</v>
      </c>
      <c r="C1827" s="88">
        <v>39</v>
      </c>
      <c r="D1827" s="88" t="s">
        <v>157</v>
      </c>
      <c r="E1827" s="88" t="s">
        <v>725</v>
      </c>
      <c r="F1827" s="88" t="s">
        <v>1672</v>
      </c>
      <c r="G1827" s="88" t="s">
        <v>724</v>
      </c>
      <c r="H1827" s="88" t="s">
        <v>596</v>
      </c>
    </row>
    <row r="1828" spans="1:8" x14ac:dyDescent="0.3">
      <c r="A1828" s="88" t="s">
        <v>716</v>
      </c>
      <c r="B1828" s="88">
        <v>74</v>
      </c>
      <c r="C1828" s="88">
        <v>32</v>
      </c>
      <c r="D1828" s="88" t="s">
        <v>158</v>
      </c>
      <c r="E1828" s="88" t="s">
        <v>1673</v>
      </c>
      <c r="F1828" s="88" t="s">
        <v>698</v>
      </c>
      <c r="G1828" s="88" t="s">
        <v>749</v>
      </c>
      <c r="H1828" s="88" t="s">
        <v>596</v>
      </c>
    </row>
    <row r="1829" spans="1:8" x14ac:dyDescent="0.3">
      <c r="A1829" s="88" t="s">
        <v>716</v>
      </c>
      <c r="B1829" s="88">
        <v>74</v>
      </c>
      <c r="C1829" s="88">
        <v>33</v>
      </c>
      <c r="D1829" s="88" t="s">
        <v>158</v>
      </c>
      <c r="E1829" s="88" t="s">
        <v>1079</v>
      </c>
      <c r="F1829" s="88" t="s">
        <v>952</v>
      </c>
      <c r="G1829" s="88" t="s">
        <v>752</v>
      </c>
      <c r="H1829" s="88" t="s">
        <v>596</v>
      </c>
    </row>
    <row r="1830" spans="1:8" x14ac:dyDescent="0.3">
      <c r="A1830" s="88" t="s">
        <v>716</v>
      </c>
      <c r="B1830" s="88">
        <v>74</v>
      </c>
      <c r="C1830" s="88">
        <v>34</v>
      </c>
      <c r="D1830" s="88" t="s">
        <v>158</v>
      </c>
      <c r="E1830" s="88" t="s">
        <v>1080</v>
      </c>
      <c r="F1830" s="88" t="s">
        <v>1048</v>
      </c>
      <c r="G1830" s="88" t="s">
        <v>755</v>
      </c>
      <c r="H1830" s="88" t="s">
        <v>596</v>
      </c>
    </row>
    <row r="1831" spans="1:8" x14ac:dyDescent="0.3">
      <c r="A1831" s="88" t="s">
        <v>716</v>
      </c>
      <c r="B1831" s="88">
        <v>74</v>
      </c>
      <c r="C1831" s="88">
        <v>35</v>
      </c>
      <c r="D1831" s="88" t="s">
        <v>158</v>
      </c>
      <c r="E1831" s="88" t="s">
        <v>1081</v>
      </c>
      <c r="F1831" s="88" t="s">
        <v>993</v>
      </c>
      <c r="G1831" s="88" t="s">
        <v>758</v>
      </c>
      <c r="H1831" s="88" t="s">
        <v>596</v>
      </c>
    </row>
    <row r="1832" spans="1:8" ht="28.8" x14ac:dyDescent="0.3">
      <c r="A1832" s="88" t="s">
        <v>716</v>
      </c>
      <c r="B1832" s="88">
        <v>74</v>
      </c>
      <c r="C1832" s="88">
        <v>38</v>
      </c>
      <c r="D1832" s="88" t="s">
        <v>158</v>
      </c>
      <c r="E1832" s="88" t="s">
        <v>1674</v>
      </c>
      <c r="F1832" s="88" t="s">
        <v>1084</v>
      </c>
      <c r="G1832" s="88" t="s">
        <v>719</v>
      </c>
      <c r="H1832" s="88" t="s">
        <v>596</v>
      </c>
    </row>
    <row r="1833" spans="1:8" ht="28.8" x14ac:dyDescent="0.3">
      <c r="A1833" s="88" t="s">
        <v>716</v>
      </c>
      <c r="B1833" s="88">
        <v>74</v>
      </c>
      <c r="C1833" s="88">
        <v>39</v>
      </c>
      <c r="D1833" s="88" t="s">
        <v>158</v>
      </c>
      <c r="E1833" s="88" t="s">
        <v>1083</v>
      </c>
      <c r="F1833" s="88" t="s">
        <v>1675</v>
      </c>
      <c r="G1833" s="88" t="s">
        <v>724</v>
      </c>
      <c r="H1833" s="88" t="s">
        <v>596</v>
      </c>
    </row>
    <row r="1834" spans="1:8" x14ac:dyDescent="0.3">
      <c r="A1834" s="88" t="s">
        <v>716</v>
      </c>
      <c r="B1834" s="88">
        <v>75</v>
      </c>
      <c r="C1834" s="88">
        <v>32</v>
      </c>
      <c r="D1834" s="88" t="s">
        <v>159</v>
      </c>
      <c r="E1834" s="88" t="s">
        <v>1676</v>
      </c>
      <c r="F1834" s="88" t="s">
        <v>1085</v>
      </c>
      <c r="G1834" s="88" t="s">
        <v>749</v>
      </c>
      <c r="H1834" s="88" t="s">
        <v>596</v>
      </c>
    </row>
    <row r="1835" spans="1:8" x14ac:dyDescent="0.3">
      <c r="A1835" s="88" t="s">
        <v>716</v>
      </c>
      <c r="B1835" s="88">
        <v>75</v>
      </c>
      <c r="C1835" s="88">
        <v>33</v>
      </c>
      <c r="D1835" s="88" t="s">
        <v>159</v>
      </c>
      <c r="E1835" s="88" t="s">
        <v>968</v>
      </c>
      <c r="F1835" s="88" t="s">
        <v>1087</v>
      </c>
      <c r="G1835" s="88" t="s">
        <v>752</v>
      </c>
      <c r="H1835" s="88" t="s">
        <v>596</v>
      </c>
    </row>
    <row r="1836" spans="1:8" x14ac:dyDescent="0.3">
      <c r="A1836" s="88" t="s">
        <v>716</v>
      </c>
      <c r="B1836" s="88">
        <v>75</v>
      </c>
      <c r="C1836" s="88">
        <v>34</v>
      </c>
      <c r="D1836" s="88" t="s">
        <v>159</v>
      </c>
      <c r="E1836" s="88" t="s">
        <v>1086</v>
      </c>
      <c r="F1836" s="88" t="s">
        <v>1081</v>
      </c>
      <c r="G1836" s="88" t="s">
        <v>755</v>
      </c>
      <c r="H1836" s="88" t="s">
        <v>596</v>
      </c>
    </row>
    <row r="1837" spans="1:8" x14ac:dyDescent="0.3">
      <c r="A1837" s="88" t="s">
        <v>716</v>
      </c>
      <c r="B1837" s="88">
        <v>75</v>
      </c>
      <c r="C1837" s="88">
        <v>35</v>
      </c>
      <c r="D1837" s="88" t="s">
        <v>159</v>
      </c>
      <c r="E1837" s="88" t="s">
        <v>1088</v>
      </c>
      <c r="F1837" s="88" t="s">
        <v>864</v>
      </c>
      <c r="G1837" s="88" t="s">
        <v>758</v>
      </c>
      <c r="H1837" s="88" t="s">
        <v>596</v>
      </c>
    </row>
    <row r="1838" spans="1:8" ht="28.8" x14ac:dyDescent="0.3">
      <c r="A1838" s="88" t="s">
        <v>716</v>
      </c>
      <c r="B1838" s="88">
        <v>75</v>
      </c>
      <c r="C1838" s="88">
        <v>38</v>
      </c>
      <c r="D1838" s="88" t="s">
        <v>159</v>
      </c>
      <c r="E1838" s="88" t="s">
        <v>1677</v>
      </c>
      <c r="F1838" s="88" t="s">
        <v>1090</v>
      </c>
      <c r="G1838" s="88" t="s">
        <v>719</v>
      </c>
      <c r="H1838" s="88" t="s">
        <v>596</v>
      </c>
    </row>
    <row r="1839" spans="1:8" ht="28.8" x14ac:dyDescent="0.3">
      <c r="A1839" s="88" t="s">
        <v>716</v>
      </c>
      <c r="B1839" s="88">
        <v>75</v>
      </c>
      <c r="C1839" s="88">
        <v>39</v>
      </c>
      <c r="D1839" s="88" t="s">
        <v>159</v>
      </c>
      <c r="E1839" s="88" t="s">
        <v>897</v>
      </c>
      <c r="F1839" s="88" t="s">
        <v>1092</v>
      </c>
      <c r="G1839" s="88" t="s">
        <v>724</v>
      </c>
      <c r="H1839" s="88" t="s">
        <v>596</v>
      </c>
    </row>
    <row r="1840" spans="1:8" x14ac:dyDescent="0.3">
      <c r="A1840" s="88" t="s">
        <v>716</v>
      </c>
      <c r="B1840" s="88">
        <v>76</v>
      </c>
      <c r="C1840" s="88">
        <v>32</v>
      </c>
      <c r="D1840" s="88" t="s">
        <v>160</v>
      </c>
      <c r="E1840" s="88" t="s">
        <v>1678</v>
      </c>
      <c r="F1840" s="88" t="s">
        <v>649</v>
      </c>
      <c r="G1840" s="88" t="s">
        <v>749</v>
      </c>
      <c r="H1840" s="88" t="s">
        <v>596</v>
      </c>
    </row>
    <row r="1841" spans="1:8" x14ac:dyDescent="0.3">
      <c r="A1841" s="88" t="s">
        <v>716</v>
      </c>
      <c r="B1841" s="88">
        <v>76</v>
      </c>
      <c r="C1841" s="88">
        <v>33</v>
      </c>
      <c r="D1841" s="88" t="s">
        <v>160</v>
      </c>
      <c r="E1841" s="88" t="s">
        <v>1093</v>
      </c>
      <c r="F1841" s="88" t="s">
        <v>1053</v>
      </c>
      <c r="G1841" s="88" t="s">
        <v>752</v>
      </c>
      <c r="H1841" s="88" t="s">
        <v>596</v>
      </c>
    </row>
    <row r="1842" spans="1:8" x14ac:dyDescent="0.3">
      <c r="A1842" s="88" t="s">
        <v>716</v>
      </c>
      <c r="B1842" s="88">
        <v>76</v>
      </c>
      <c r="C1842" s="88">
        <v>34</v>
      </c>
      <c r="D1842" s="88" t="s">
        <v>160</v>
      </c>
      <c r="E1842" s="88" t="s">
        <v>1094</v>
      </c>
      <c r="F1842" s="88" t="s">
        <v>655</v>
      </c>
      <c r="G1842" s="88" t="s">
        <v>755</v>
      </c>
      <c r="H1842" s="88" t="s">
        <v>596</v>
      </c>
    </row>
    <row r="1843" spans="1:8" x14ac:dyDescent="0.3">
      <c r="A1843" s="88" t="s">
        <v>716</v>
      </c>
      <c r="B1843" s="88">
        <v>76</v>
      </c>
      <c r="C1843" s="88">
        <v>35</v>
      </c>
      <c r="D1843" s="88" t="s">
        <v>160</v>
      </c>
      <c r="E1843" s="88" t="s">
        <v>765</v>
      </c>
      <c r="F1843" s="88" t="s">
        <v>1054</v>
      </c>
      <c r="G1843" s="88" t="s">
        <v>758</v>
      </c>
      <c r="H1843" s="88" t="s">
        <v>596</v>
      </c>
    </row>
    <row r="1844" spans="1:8" ht="28.8" x14ac:dyDescent="0.3">
      <c r="A1844" s="88" t="s">
        <v>716</v>
      </c>
      <c r="B1844" s="88">
        <v>76</v>
      </c>
      <c r="C1844" s="88">
        <v>38</v>
      </c>
      <c r="D1844" s="88" t="s">
        <v>160</v>
      </c>
      <c r="E1844" s="88" t="s">
        <v>1576</v>
      </c>
      <c r="F1844" s="88" t="s">
        <v>911</v>
      </c>
      <c r="G1844" s="88" t="s">
        <v>719</v>
      </c>
      <c r="H1844" s="88" t="s">
        <v>596</v>
      </c>
    </row>
    <row r="1845" spans="1:8" ht="28.8" x14ac:dyDescent="0.3">
      <c r="A1845" s="88" t="s">
        <v>716</v>
      </c>
      <c r="B1845" s="88">
        <v>76</v>
      </c>
      <c r="C1845" s="88">
        <v>39</v>
      </c>
      <c r="D1845" s="88" t="s">
        <v>160</v>
      </c>
      <c r="E1845" s="88" t="s">
        <v>910</v>
      </c>
      <c r="F1845" s="88" t="s">
        <v>1679</v>
      </c>
      <c r="G1845" s="88" t="s">
        <v>724</v>
      </c>
      <c r="H1845" s="88" t="s">
        <v>596</v>
      </c>
    </row>
    <row r="1846" spans="1:8" x14ac:dyDescent="0.3">
      <c r="A1846" s="88" t="s">
        <v>716</v>
      </c>
      <c r="B1846" s="88">
        <v>77</v>
      </c>
      <c r="C1846" s="88">
        <v>32</v>
      </c>
      <c r="D1846" s="88" t="s">
        <v>161</v>
      </c>
      <c r="E1846" s="88" t="s">
        <v>1680</v>
      </c>
      <c r="F1846" s="88" t="s">
        <v>864</v>
      </c>
      <c r="G1846" s="88" t="s">
        <v>749</v>
      </c>
      <c r="H1846" s="88" t="s">
        <v>596</v>
      </c>
    </row>
    <row r="1847" spans="1:8" x14ac:dyDescent="0.3">
      <c r="A1847" s="88" t="s">
        <v>716</v>
      </c>
      <c r="B1847" s="88">
        <v>77</v>
      </c>
      <c r="C1847" s="88">
        <v>33</v>
      </c>
      <c r="D1847" s="88" t="s">
        <v>161</v>
      </c>
      <c r="E1847" s="88" t="s">
        <v>1095</v>
      </c>
      <c r="F1847" s="88" t="s">
        <v>1059</v>
      </c>
      <c r="G1847" s="88" t="s">
        <v>752</v>
      </c>
      <c r="H1847" s="88" t="s">
        <v>596</v>
      </c>
    </row>
    <row r="1848" spans="1:8" x14ac:dyDescent="0.3">
      <c r="A1848" s="88" t="s">
        <v>716</v>
      </c>
      <c r="B1848" s="88">
        <v>77</v>
      </c>
      <c r="C1848" s="88">
        <v>34</v>
      </c>
      <c r="D1848" s="88" t="s">
        <v>161</v>
      </c>
      <c r="E1848" s="88" t="s">
        <v>1096</v>
      </c>
      <c r="F1848" s="88" t="s">
        <v>1013</v>
      </c>
      <c r="G1848" s="88" t="s">
        <v>755</v>
      </c>
      <c r="H1848" s="88" t="s">
        <v>596</v>
      </c>
    </row>
    <row r="1849" spans="1:8" x14ac:dyDescent="0.3">
      <c r="A1849" s="88" t="s">
        <v>716</v>
      </c>
      <c r="B1849" s="88">
        <v>77</v>
      </c>
      <c r="C1849" s="88">
        <v>35</v>
      </c>
      <c r="D1849" s="88" t="s">
        <v>161</v>
      </c>
      <c r="E1849" s="88" t="s">
        <v>1097</v>
      </c>
      <c r="F1849" s="88" t="s">
        <v>920</v>
      </c>
      <c r="G1849" s="88" t="s">
        <v>758</v>
      </c>
      <c r="H1849" s="88" t="s">
        <v>596</v>
      </c>
    </row>
    <row r="1850" spans="1:8" ht="28.8" x14ac:dyDescent="0.3">
      <c r="A1850" s="88" t="s">
        <v>716</v>
      </c>
      <c r="B1850" s="88">
        <v>77</v>
      </c>
      <c r="C1850" s="88">
        <v>38</v>
      </c>
      <c r="D1850" s="88" t="s">
        <v>161</v>
      </c>
      <c r="E1850" s="88" t="s">
        <v>1681</v>
      </c>
      <c r="F1850" s="88" t="s">
        <v>775</v>
      </c>
      <c r="G1850" s="88" t="s">
        <v>719</v>
      </c>
      <c r="H1850" s="88" t="s">
        <v>596</v>
      </c>
    </row>
    <row r="1851" spans="1:8" ht="28.8" x14ac:dyDescent="0.3">
      <c r="A1851" s="88" t="s">
        <v>716</v>
      </c>
      <c r="B1851" s="88">
        <v>77</v>
      </c>
      <c r="C1851" s="88">
        <v>39</v>
      </c>
      <c r="D1851" s="88" t="s">
        <v>161</v>
      </c>
      <c r="E1851" s="88" t="s">
        <v>775</v>
      </c>
      <c r="F1851" s="88" t="s">
        <v>1682</v>
      </c>
      <c r="G1851" s="88" t="s">
        <v>724</v>
      </c>
      <c r="H1851" s="88" t="s">
        <v>596</v>
      </c>
    </row>
    <row r="1852" spans="1:8" x14ac:dyDescent="0.3">
      <c r="A1852" s="88" t="s">
        <v>716</v>
      </c>
      <c r="B1852" s="88">
        <v>78</v>
      </c>
      <c r="C1852" s="88">
        <v>32</v>
      </c>
      <c r="D1852" s="88" t="s">
        <v>162</v>
      </c>
      <c r="E1852" s="88" t="s">
        <v>1683</v>
      </c>
      <c r="F1852" s="88" t="s">
        <v>968</v>
      </c>
      <c r="G1852" s="88" t="s">
        <v>749</v>
      </c>
      <c r="H1852" s="88" t="s">
        <v>596</v>
      </c>
    </row>
    <row r="1853" spans="1:8" x14ac:dyDescent="0.3">
      <c r="A1853" s="88" t="s">
        <v>716</v>
      </c>
      <c r="B1853" s="88">
        <v>78</v>
      </c>
      <c r="C1853" s="88">
        <v>33</v>
      </c>
      <c r="D1853" s="88" t="s">
        <v>162</v>
      </c>
      <c r="E1853" s="88" t="s">
        <v>1098</v>
      </c>
      <c r="F1853" s="88" t="s">
        <v>842</v>
      </c>
      <c r="G1853" s="88" t="s">
        <v>752</v>
      </c>
      <c r="H1853" s="88" t="s">
        <v>596</v>
      </c>
    </row>
    <row r="1854" spans="1:8" x14ac:dyDescent="0.3">
      <c r="A1854" s="88" t="s">
        <v>716</v>
      </c>
      <c r="B1854" s="88">
        <v>78</v>
      </c>
      <c r="C1854" s="88">
        <v>34</v>
      </c>
      <c r="D1854" s="88" t="s">
        <v>162</v>
      </c>
      <c r="E1854" s="88" t="s">
        <v>1099</v>
      </c>
      <c r="F1854" s="88" t="s">
        <v>1061</v>
      </c>
      <c r="G1854" s="88" t="s">
        <v>755</v>
      </c>
      <c r="H1854" s="88" t="s">
        <v>596</v>
      </c>
    </row>
    <row r="1855" spans="1:8" x14ac:dyDescent="0.3">
      <c r="A1855" s="88" t="s">
        <v>716</v>
      </c>
      <c r="B1855" s="88">
        <v>78</v>
      </c>
      <c r="C1855" s="88">
        <v>35</v>
      </c>
      <c r="D1855" s="88" t="s">
        <v>162</v>
      </c>
      <c r="E1855" s="88" t="s">
        <v>642</v>
      </c>
      <c r="F1855" s="88" t="s">
        <v>913</v>
      </c>
      <c r="G1855" s="88" t="s">
        <v>758</v>
      </c>
      <c r="H1855" s="88" t="s">
        <v>596</v>
      </c>
    </row>
    <row r="1856" spans="1:8" ht="28.8" x14ac:dyDescent="0.3">
      <c r="A1856" s="88" t="s">
        <v>716</v>
      </c>
      <c r="B1856" s="88">
        <v>78</v>
      </c>
      <c r="C1856" s="88">
        <v>38</v>
      </c>
      <c r="D1856" s="88" t="s">
        <v>162</v>
      </c>
      <c r="E1856" s="88" t="s">
        <v>1684</v>
      </c>
      <c r="F1856" s="88"/>
      <c r="G1856" s="88" t="s">
        <v>719</v>
      </c>
      <c r="H1856" s="88" t="s">
        <v>596</v>
      </c>
    </row>
    <row r="1857" spans="1:8" ht="28.8" x14ac:dyDescent="0.3">
      <c r="A1857" s="88" t="s">
        <v>716</v>
      </c>
      <c r="B1857" s="88">
        <v>78</v>
      </c>
      <c r="C1857" s="88">
        <v>39</v>
      </c>
      <c r="D1857" s="88" t="s">
        <v>162</v>
      </c>
      <c r="E1857" s="88" t="s">
        <v>734</v>
      </c>
      <c r="F1857" s="88" t="s">
        <v>1102</v>
      </c>
      <c r="G1857" s="88" t="s">
        <v>724</v>
      </c>
      <c r="H1857" s="88" t="s">
        <v>596</v>
      </c>
    </row>
    <row r="1858" spans="1:8" x14ac:dyDescent="0.3">
      <c r="A1858" s="88" t="s">
        <v>716</v>
      </c>
      <c r="B1858" s="88">
        <v>79</v>
      </c>
      <c r="C1858" s="88">
        <v>32</v>
      </c>
      <c r="D1858" s="88" t="s">
        <v>163</v>
      </c>
      <c r="E1858" s="88" t="s">
        <v>1685</v>
      </c>
      <c r="F1858" s="88" t="s">
        <v>879</v>
      </c>
      <c r="G1858" s="88" t="s">
        <v>749</v>
      </c>
      <c r="H1858" s="88" t="s">
        <v>596</v>
      </c>
    </row>
    <row r="1859" spans="1:8" x14ac:dyDescent="0.3">
      <c r="A1859" s="88" t="s">
        <v>716</v>
      </c>
      <c r="B1859" s="88">
        <v>79</v>
      </c>
      <c r="C1859" s="88">
        <v>33</v>
      </c>
      <c r="D1859" s="88" t="s">
        <v>163</v>
      </c>
      <c r="E1859" s="88" t="s">
        <v>1103</v>
      </c>
      <c r="F1859" s="88" t="s">
        <v>802</v>
      </c>
      <c r="G1859" s="88" t="s">
        <v>752</v>
      </c>
      <c r="H1859" s="88" t="s">
        <v>596</v>
      </c>
    </row>
    <row r="1860" spans="1:8" x14ac:dyDescent="0.3">
      <c r="A1860" s="88" t="s">
        <v>716</v>
      </c>
      <c r="B1860" s="88">
        <v>79</v>
      </c>
      <c r="C1860" s="88">
        <v>34</v>
      </c>
      <c r="D1860" s="88" t="s">
        <v>163</v>
      </c>
      <c r="E1860" s="88" t="s">
        <v>1104</v>
      </c>
      <c r="F1860" s="88" t="s">
        <v>1067</v>
      </c>
      <c r="G1860" s="88" t="s">
        <v>755</v>
      </c>
      <c r="H1860" s="88" t="s">
        <v>596</v>
      </c>
    </row>
    <row r="1861" spans="1:8" x14ac:dyDescent="0.3">
      <c r="A1861" s="88" t="s">
        <v>716</v>
      </c>
      <c r="B1861" s="88">
        <v>79</v>
      </c>
      <c r="C1861" s="88">
        <v>35</v>
      </c>
      <c r="D1861" s="88" t="s">
        <v>163</v>
      </c>
      <c r="E1861" s="88" t="s">
        <v>706</v>
      </c>
      <c r="F1861" s="88" t="s">
        <v>875</v>
      </c>
      <c r="G1861" s="88" t="s">
        <v>758</v>
      </c>
      <c r="H1861" s="88" t="s">
        <v>596</v>
      </c>
    </row>
    <row r="1862" spans="1:8" ht="28.8" x14ac:dyDescent="0.3">
      <c r="A1862" s="88" t="s">
        <v>716</v>
      </c>
      <c r="B1862" s="88">
        <v>79</v>
      </c>
      <c r="C1862" s="88">
        <v>38</v>
      </c>
      <c r="D1862" s="88" t="s">
        <v>163</v>
      </c>
      <c r="E1862" s="88" t="s">
        <v>1686</v>
      </c>
      <c r="F1862" s="88" t="s">
        <v>1106</v>
      </c>
      <c r="G1862" s="88" t="s">
        <v>719</v>
      </c>
      <c r="H1862" s="88" t="s">
        <v>596</v>
      </c>
    </row>
    <row r="1863" spans="1:8" ht="28.8" x14ac:dyDescent="0.3">
      <c r="A1863" s="88" t="s">
        <v>716</v>
      </c>
      <c r="B1863" s="88">
        <v>79</v>
      </c>
      <c r="C1863" s="88">
        <v>39</v>
      </c>
      <c r="D1863" s="88" t="s">
        <v>163</v>
      </c>
      <c r="E1863" s="88" t="s">
        <v>1105</v>
      </c>
      <c r="F1863" s="88" t="s">
        <v>1108</v>
      </c>
      <c r="G1863" s="88" t="s">
        <v>724</v>
      </c>
      <c r="H1863" s="88" t="s">
        <v>596</v>
      </c>
    </row>
    <row r="1864" spans="1:8" x14ac:dyDescent="0.3">
      <c r="A1864" s="88" t="s">
        <v>716</v>
      </c>
      <c r="B1864" s="88">
        <v>80</v>
      </c>
      <c r="C1864" s="88">
        <v>32</v>
      </c>
      <c r="D1864" s="88" t="s">
        <v>164</v>
      </c>
      <c r="E1864" s="88" t="s">
        <v>1687</v>
      </c>
      <c r="F1864" s="88" t="s">
        <v>1070</v>
      </c>
      <c r="G1864" s="88" t="s">
        <v>749</v>
      </c>
      <c r="H1864" s="88" t="s">
        <v>596</v>
      </c>
    </row>
    <row r="1865" spans="1:8" x14ac:dyDescent="0.3">
      <c r="A1865" s="88" t="s">
        <v>716</v>
      </c>
      <c r="B1865" s="88">
        <v>80</v>
      </c>
      <c r="C1865" s="88">
        <v>33</v>
      </c>
      <c r="D1865" s="88" t="s">
        <v>164</v>
      </c>
      <c r="E1865" s="88" t="s">
        <v>654</v>
      </c>
      <c r="F1865" s="88" t="s">
        <v>952</v>
      </c>
      <c r="G1865" s="88" t="s">
        <v>752</v>
      </c>
      <c r="H1865" s="88" t="s">
        <v>596</v>
      </c>
    </row>
    <row r="1866" spans="1:8" x14ac:dyDescent="0.3">
      <c r="A1866" s="88" t="s">
        <v>716</v>
      </c>
      <c r="B1866" s="88">
        <v>80</v>
      </c>
      <c r="C1866" s="88">
        <v>34</v>
      </c>
      <c r="D1866" s="88" t="s">
        <v>164</v>
      </c>
      <c r="E1866" s="88" t="s">
        <v>1109</v>
      </c>
      <c r="F1866" s="88" t="s">
        <v>889</v>
      </c>
      <c r="G1866" s="88" t="s">
        <v>755</v>
      </c>
      <c r="H1866" s="88" t="s">
        <v>596</v>
      </c>
    </row>
    <row r="1867" spans="1:8" x14ac:dyDescent="0.3">
      <c r="A1867" s="88" t="s">
        <v>716</v>
      </c>
      <c r="B1867" s="88">
        <v>80</v>
      </c>
      <c r="C1867" s="88">
        <v>35</v>
      </c>
      <c r="D1867" s="88" t="s">
        <v>164</v>
      </c>
      <c r="E1867" s="88" t="s">
        <v>1110</v>
      </c>
      <c r="F1867" s="88" t="s">
        <v>1071</v>
      </c>
      <c r="G1867" s="88" t="s">
        <v>758</v>
      </c>
      <c r="H1867" s="88" t="s">
        <v>596</v>
      </c>
    </row>
    <row r="1868" spans="1:8" ht="28.8" x14ac:dyDescent="0.3">
      <c r="A1868" s="88" t="s">
        <v>716</v>
      </c>
      <c r="B1868" s="88">
        <v>80</v>
      </c>
      <c r="C1868" s="88">
        <v>38</v>
      </c>
      <c r="D1868" s="88" t="s">
        <v>164</v>
      </c>
      <c r="E1868" s="88" t="s">
        <v>1688</v>
      </c>
      <c r="F1868" s="88" t="s">
        <v>1112</v>
      </c>
      <c r="G1868" s="88" t="s">
        <v>719</v>
      </c>
      <c r="H1868" s="88" t="s">
        <v>596</v>
      </c>
    </row>
    <row r="1869" spans="1:8" ht="28.8" x14ac:dyDescent="0.3">
      <c r="A1869" s="88" t="s">
        <v>716</v>
      </c>
      <c r="B1869" s="88">
        <v>80</v>
      </c>
      <c r="C1869" s="88">
        <v>39</v>
      </c>
      <c r="D1869" s="88" t="s">
        <v>164</v>
      </c>
      <c r="E1869" s="88" t="s">
        <v>717</v>
      </c>
      <c r="F1869" s="88" t="s">
        <v>1114</v>
      </c>
      <c r="G1869" s="88" t="s">
        <v>724</v>
      </c>
      <c r="H1869" s="88" t="s">
        <v>596</v>
      </c>
    </row>
    <row r="1870" spans="1:8" x14ac:dyDescent="0.3">
      <c r="A1870" s="88" t="s">
        <v>716</v>
      </c>
      <c r="B1870" s="88">
        <v>81</v>
      </c>
      <c r="C1870" s="88">
        <v>32</v>
      </c>
      <c r="D1870" s="88" t="s">
        <v>165</v>
      </c>
      <c r="E1870" s="88" t="s">
        <v>1689</v>
      </c>
      <c r="F1870" s="88" t="s">
        <v>1074</v>
      </c>
      <c r="G1870" s="88" t="s">
        <v>749</v>
      </c>
      <c r="H1870" s="88" t="s">
        <v>596</v>
      </c>
    </row>
    <row r="1871" spans="1:8" x14ac:dyDescent="0.3">
      <c r="A1871" s="88" t="s">
        <v>716</v>
      </c>
      <c r="B1871" s="88">
        <v>81</v>
      </c>
      <c r="C1871" s="88">
        <v>33</v>
      </c>
      <c r="D1871" s="88" t="s">
        <v>165</v>
      </c>
      <c r="E1871" s="88" t="s">
        <v>1115</v>
      </c>
      <c r="F1871" s="88" t="s">
        <v>1075</v>
      </c>
      <c r="G1871" s="88" t="s">
        <v>752</v>
      </c>
      <c r="H1871" s="88" t="s">
        <v>596</v>
      </c>
    </row>
    <row r="1872" spans="1:8" x14ac:dyDescent="0.3">
      <c r="A1872" s="88" t="s">
        <v>716</v>
      </c>
      <c r="B1872" s="88">
        <v>81</v>
      </c>
      <c r="C1872" s="88">
        <v>34</v>
      </c>
      <c r="D1872" s="88" t="s">
        <v>165</v>
      </c>
      <c r="E1872" s="88" t="s">
        <v>1116</v>
      </c>
      <c r="F1872" s="88" t="s">
        <v>1076</v>
      </c>
      <c r="G1872" s="88" t="s">
        <v>755</v>
      </c>
      <c r="H1872" s="88" t="s">
        <v>596</v>
      </c>
    </row>
    <row r="1873" spans="1:8" x14ac:dyDescent="0.3">
      <c r="A1873" s="88" t="s">
        <v>716</v>
      </c>
      <c r="B1873" s="88">
        <v>81</v>
      </c>
      <c r="C1873" s="88">
        <v>35</v>
      </c>
      <c r="D1873" s="88" t="s">
        <v>165</v>
      </c>
      <c r="E1873" s="88" t="s">
        <v>1117</v>
      </c>
      <c r="F1873" s="88" t="s">
        <v>1077</v>
      </c>
      <c r="G1873" s="88" t="s">
        <v>758</v>
      </c>
      <c r="H1873" s="88" t="s">
        <v>596</v>
      </c>
    </row>
    <row r="1874" spans="1:8" ht="28.8" x14ac:dyDescent="0.3">
      <c r="A1874" s="88" t="s">
        <v>716</v>
      </c>
      <c r="B1874" s="88">
        <v>81</v>
      </c>
      <c r="C1874" s="88">
        <v>38</v>
      </c>
      <c r="D1874" s="88" t="s">
        <v>165</v>
      </c>
      <c r="E1874" s="88" t="s">
        <v>1690</v>
      </c>
      <c r="F1874" s="88" t="s">
        <v>1119</v>
      </c>
      <c r="G1874" s="88" t="s">
        <v>719</v>
      </c>
      <c r="H1874" s="88" t="s">
        <v>596</v>
      </c>
    </row>
    <row r="1875" spans="1:8" ht="28.8" x14ac:dyDescent="0.3">
      <c r="A1875" s="88" t="s">
        <v>716</v>
      </c>
      <c r="B1875" s="88">
        <v>81</v>
      </c>
      <c r="C1875" s="88">
        <v>39</v>
      </c>
      <c r="D1875" s="88" t="s">
        <v>165</v>
      </c>
      <c r="E1875" s="88" t="s">
        <v>1118</v>
      </c>
      <c r="F1875" s="88" t="s">
        <v>1121</v>
      </c>
      <c r="G1875" s="88" t="s">
        <v>724</v>
      </c>
      <c r="H1875" s="88" t="s">
        <v>596</v>
      </c>
    </row>
    <row r="1876" spans="1:8" x14ac:dyDescent="0.3">
      <c r="A1876" s="88" t="s">
        <v>716</v>
      </c>
      <c r="B1876" s="88">
        <v>82</v>
      </c>
      <c r="C1876" s="88">
        <v>32</v>
      </c>
      <c r="D1876" s="88" t="s">
        <v>166</v>
      </c>
      <c r="E1876" s="88" t="s">
        <v>1691</v>
      </c>
      <c r="F1876" s="88" t="s">
        <v>1079</v>
      </c>
      <c r="G1876" s="88" t="s">
        <v>749</v>
      </c>
      <c r="H1876" s="88" t="s">
        <v>596</v>
      </c>
    </row>
    <row r="1877" spans="1:8" x14ac:dyDescent="0.3">
      <c r="A1877" s="88" t="s">
        <v>716</v>
      </c>
      <c r="B1877" s="88">
        <v>82</v>
      </c>
      <c r="C1877" s="88">
        <v>33</v>
      </c>
      <c r="D1877" s="88" t="s">
        <v>166</v>
      </c>
      <c r="E1877" s="88" t="s">
        <v>871</v>
      </c>
      <c r="F1877" s="88" t="s">
        <v>1080</v>
      </c>
      <c r="G1877" s="88" t="s">
        <v>752</v>
      </c>
      <c r="H1877" s="88" t="s">
        <v>596</v>
      </c>
    </row>
    <row r="1878" spans="1:8" x14ac:dyDescent="0.3">
      <c r="A1878" s="88" t="s">
        <v>716</v>
      </c>
      <c r="B1878" s="88">
        <v>82</v>
      </c>
      <c r="C1878" s="88">
        <v>34</v>
      </c>
      <c r="D1878" s="88" t="s">
        <v>166</v>
      </c>
      <c r="E1878" s="88" t="s">
        <v>1122</v>
      </c>
      <c r="F1878" s="88" t="s">
        <v>1081</v>
      </c>
      <c r="G1878" s="88" t="s">
        <v>755</v>
      </c>
      <c r="H1878" s="88" t="s">
        <v>596</v>
      </c>
    </row>
    <row r="1879" spans="1:8" x14ac:dyDescent="0.3">
      <c r="A1879" s="88" t="s">
        <v>716</v>
      </c>
      <c r="B1879" s="88">
        <v>82</v>
      </c>
      <c r="C1879" s="88">
        <v>35</v>
      </c>
      <c r="D1879" s="88" t="s">
        <v>166</v>
      </c>
      <c r="E1879" s="88" t="s">
        <v>1123</v>
      </c>
      <c r="F1879" s="88" t="s">
        <v>1082</v>
      </c>
      <c r="G1879" s="88" t="s">
        <v>758</v>
      </c>
      <c r="H1879" s="88" t="s">
        <v>596</v>
      </c>
    </row>
    <row r="1880" spans="1:8" ht="28.8" x14ac:dyDescent="0.3">
      <c r="A1880" s="88" t="s">
        <v>716</v>
      </c>
      <c r="B1880" s="88">
        <v>82</v>
      </c>
      <c r="C1880" s="88">
        <v>38</v>
      </c>
      <c r="D1880" s="88" t="s">
        <v>166</v>
      </c>
      <c r="E1880" s="88" t="s">
        <v>1692</v>
      </c>
      <c r="F1880" s="88" t="s">
        <v>1125</v>
      </c>
      <c r="G1880" s="88" t="s">
        <v>719</v>
      </c>
      <c r="H1880" s="88" t="s">
        <v>596</v>
      </c>
    </row>
    <row r="1881" spans="1:8" ht="28.8" x14ac:dyDescent="0.3">
      <c r="A1881" s="88" t="s">
        <v>716</v>
      </c>
      <c r="B1881" s="88">
        <v>82</v>
      </c>
      <c r="C1881" s="88">
        <v>39</v>
      </c>
      <c r="D1881" s="88" t="s">
        <v>166</v>
      </c>
      <c r="E1881" s="88" t="s">
        <v>1124</v>
      </c>
      <c r="F1881" s="88" t="s">
        <v>1127</v>
      </c>
      <c r="G1881" s="88" t="s">
        <v>724</v>
      </c>
      <c r="H1881" s="88" t="s">
        <v>596</v>
      </c>
    </row>
    <row r="1882" spans="1:8" x14ac:dyDescent="0.3">
      <c r="A1882" s="88" t="s">
        <v>716</v>
      </c>
      <c r="B1882" s="88">
        <v>83</v>
      </c>
      <c r="C1882" s="88">
        <v>32</v>
      </c>
      <c r="D1882" s="88" t="s">
        <v>167</v>
      </c>
      <c r="E1882" s="88" t="s">
        <v>1693</v>
      </c>
      <c r="F1882" s="88" t="s">
        <v>968</v>
      </c>
      <c r="G1882" s="88" t="s">
        <v>749</v>
      </c>
      <c r="H1882" s="88" t="s">
        <v>596</v>
      </c>
    </row>
    <row r="1883" spans="1:8" x14ac:dyDescent="0.3">
      <c r="A1883" s="88" t="s">
        <v>716</v>
      </c>
      <c r="B1883" s="88">
        <v>83</v>
      </c>
      <c r="C1883" s="88">
        <v>33</v>
      </c>
      <c r="D1883" s="88" t="s">
        <v>167</v>
      </c>
      <c r="E1883" s="88" t="s">
        <v>1128</v>
      </c>
      <c r="F1883" s="88" t="s">
        <v>1086</v>
      </c>
      <c r="G1883" s="88" t="s">
        <v>752</v>
      </c>
      <c r="H1883" s="88" t="s">
        <v>596</v>
      </c>
    </row>
    <row r="1884" spans="1:8" x14ac:dyDescent="0.3">
      <c r="A1884" s="88" t="s">
        <v>716</v>
      </c>
      <c r="B1884" s="88">
        <v>83</v>
      </c>
      <c r="C1884" s="88">
        <v>34</v>
      </c>
      <c r="D1884" s="88" t="s">
        <v>167</v>
      </c>
      <c r="E1884" s="88" t="s">
        <v>1129</v>
      </c>
      <c r="F1884" s="88" t="s">
        <v>1088</v>
      </c>
      <c r="G1884" s="88" t="s">
        <v>755</v>
      </c>
      <c r="H1884" s="88" t="s">
        <v>596</v>
      </c>
    </row>
    <row r="1885" spans="1:8" x14ac:dyDescent="0.3">
      <c r="A1885" s="88" t="s">
        <v>716</v>
      </c>
      <c r="B1885" s="88">
        <v>83</v>
      </c>
      <c r="C1885" s="88">
        <v>35</v>
      </c>
      <c r="D1885" s="88" t="s">
        <v>167</v>
      </c>
      <c r="E1885" s="88" t="s">
        <v>849</v>
      </c>
      <c r="F1885" s="88" t="s">
        <v>1089</v>
      </c>
      <c r="G1885" s="88" t="s">
        <v>758</v>
      </c>
      <c r="H1885" s="88" t="s">
        <v>596</v>
      </c>
    </row>
    <row r="1886" spans="1:8" ht="28.8" x14ac:dyDescent="0.3">
      <c r="A1886" s="88" t="s">
        <v>716</v>
      </c>
      <c r="B1886" s="88">
        <v>83</v>
      </c>
      <c r="C1886" s="88">
        <v>38</v>
      </c>
      <c r="D1886" s="88" t="s">
        <v>167</v>
      </c>
      <c r="E1886" s="88" t="s">
        <v>1694</v>
      </c>
      <c r="F1886" s="88"/>
      <c r="G1886" s="88" t="s">
        <v>719</v>
      </c>
      <c r="H1886" s="88" t="s">
        <v>596</v>
      </c>
    </row>
    <row r="1887" spans="1:8" ht="28.8" x14ac:dyDescent="0.3">
      <c r="A1887" s="88" t="s">
        <v>716</v>
      </c>
      <c r="B1887" s="88">
        <v>83</v>
      </c>
      <c r="C1887" s="88">
        <v>39</v>
      </c>
      <c r="D1887" s="88" t="s">
        <v>167</v>
      </c>
      <c r="E1887" s="88" t="s">
        <v>734</v>
      </c>
      <c r="F1887" s="88" t="s">
        <v>1695</v>
      </c>
      <c r="G1887" s="88" t="s">
        <v>724</v>
      </c>
      <c r="H1887" s="88" t="s">
        <v>596</v>
      </c>
    </row>
    <row r="1888" spans="1:8" x14ac:dyDescent="0.3">
      <c r="A1888" s="88" t="s">
        <v>716</v>
      </c>
      <c r="B1888" s="88">
        <v>84</v>
      </c>
      <c r="C1888" s="88">
        <v>32</v>
      </c>
      <c r="D1888" s="88" t="s">
        <v>168</v>
      </c>
      <c r="E1888" s="88" t="s">
        <v>1696</v>
      </c>
      <c r="F1888" s="88" t="s">
        <v>1093</v>
      </c>
      <c r="G1888" s="88" t="s">
        <v>749</v>
      </c>
      <c r="H1888" s="88" t="s">
        <v>596</v>
      </c>
    </row>
    <row r="1889" spans="1:8" x14ac:dyDescent="0.3">
      <c r="A1889" s="88" t="s">
        <v>716</v>
      </c>
      <c r="B1889" s="88">
        <v>84</v>
      </c>
      <c r="C1889" s="88">
        <v>33</v>
      </c>
      <c r="D1889" s="88" t="s">
        <v>168</v>
      </c>
      <c r="E1889" s="88" t="s">
        <v>811</v>
      </c>
      <c r="F1889" s="88" t="s">
        <v>1094</v>
      </c>
      <c r="G1889" s="88" t="s">
        <v>752</v>
      </c>
      <c r="H1889" s="88" t="s">
        <v>596</v>
      </c>
    </row>
    <row r="1890" spans="1:8" x14ac:dyDescent="0.3">
      <c r="A1890" s="88" t="s">
        <v>716</v>
      </c>
      <c r="B1890" s="88">
        <v>84</v>
      </c>
      <c r="C1890" s="88">
        <v>34</v>
      </c>
      <c r="D1890" s="88" t="s">
        <v>168</v>
      </c>
      <c r="E1890" s="88" t="s">
        <v>1130</v>
      </c>
      <c r="F1890" s="88" t="s">
        <v>765</v>
      </c>
      <c r="G1890" s="88" t="s">
        <v>755</v>
      </c>
      <c r="H1890" s="88" t="s">
        <v>596</v>
      </c>
    </row>
    <row r="1891" spans="1:8" x14ac:dyDescent="0.3">
      <c r="A1891" s="88" t="s">
        <v>716</v>
      </c>
      <c r="B1891" s="88">
        <v>84</v>
      </c>
      <c r="C1891" s="88">
        <v>35</v>
      </c>
      <c r="D1891" s="88" t="s">
        <v>168</v>
      </c>
      <c r="E1891" s="88" t="s">
        <v>1088</v>
      </c>
      <c r="F1891" s="88" t="s">
        <v>787</v>
      </c>
      <c r="G1891" s="88" t="s">
        <v>758</v>
      </c>
      <c r="H1891" s="88" t="s">
        <v>596</v>
      </c>
    </row>
    <row r="1892" spans="1:8" ht="28.8" x14ac:dyDescent="0.3">
      <c r="A1892" s="88" t="s">
        <v>716</v>
      </c>
      <c r="B1892" s="88">
        <v>84</v>
      </c>
      <c r="C1892" s="88">
        <v>38</v>
      </c>
      <c r="D1892" s="88" t="s">
        <v>168</v>
      </c>
      <c r="E1892" s="88" t="s">
        <v>1697</v>
      </c>
      <c r="F1892" s="88" t="s">
        <v>1132</v>
      </c>
      <c r="G1892" s="88" t="s">
        <v>719</v>
      </c>
      <c r="H1892" s="88" t="s">
        <v>596</v>
      </c>
    </row>
    <row r="1893" spans="1:8" ht="28.8" x14ac:dyDescent="0.3">
      <c r="A1893" s="88" t="s">
        <v>716</v>
      </c>
      <c r="B1893" s="88">
        <v>84</v>
      </c>
      <c r="C1893" s="88">
        <v>39</v>
      </c>
      <c r="D1893" s="88" t="s">
        <v>168</v>
      </c>
      <c r="E1893" s="88" t="s">
        <v>1131</v>
      </c>
      <c r="F1893" s="88" t="s">
        <v>1698</v>
      </c>
      <c r="G1893" s="88" t="s">
        <v>724</v>
      </c>
      <c r="H1893" s="88" t="s">
        <v>596</v>
      </c>
    </row>
    <row r="1894" spans="1:8" x14ac:dyDescent="0.3">
      <c r="A1894" s="88" t="s">
        <v>716</v>
      </c>
      <c r="B1894" s="88">
        <v>85</v>
      </c>
      <c r="C1894" s="88">
        <v>32</v>
      </c>
      <c r="D1894" s="88" t="s">
        <v>169</v>
      </c>
      <c r="E1894" s="88" t="s">
        <v>1699</v>
      </c>
      <c r="F1894" s="88" t="s">
        <v>1095</v>
      </c>
      <c r="G1894" s="88" t="s">
        <v>749</v>
      </c>
      <c r="H1894" s="88" t="s">
        <v>596</v>
      </c>
    </row>
    <row r="1895" spans="1:8" x14ac:dyDescent="0.3">
      <c r="A1895" s="88" t="s">
        <v>716</v>
      </c>
      <c r="B1895" s="88">
        <v>85</v>
      </c>
      <c r="C1895" s="88">
        <v>33</v>
      </c>
      <c r="D1895" s="88" t="s">
        <v>169</v>
      </c>
      <c r="E1895" s="88" t="s">
        <v>817</v>
      </c>
      <c r="F1895" s="88" t="s">
        <v>1096</v>
      </c>
      <c r="G1895" s="88" t="s">
        <v>752</v>
      </c>
      <c r="H1895" s="88" t="s">
        <v>596</v>
      </c>
    </row>
    <row r="1896" spans="1:8" x14ac:dyDescent="0.3">
      <c r="A1896" s="88" t="s">
        <v>716</v>
      </c>
      <c r="B1896" s="88">
        <v>85</v>
      </c>
      <c r="C1896" s="88">
        <v>34</v>
      </c>
      <c r="D1896" s="88" t="s">
        <v>169</v>
      </c>
      <c r="E1896" s="88" t="s">
        <v>786</v>
      </c>
      <c r="F1896" s="88" t="s">
        <v>1097</v>
      </c>
      <c r="G1896" s="88" t="s">
        <v>755</v>
      </c>
      <c r="H1896" s="88" t="s">
        <v>596</v>
      </c>
    </row>
    <row r="1897" spans="1:8" x14ac:dyDescent="0.3">
      <c r="A1897" s="88" t="s">
        <v>716</v>
      </c>
      <c r="B1897" s="88">
        <v>85</v>
      </c>
      <c r="C1897" s="88">
        <v>35</v>
      </c>
      <c r="D1897" s="88" t="s">
        <v>169</v>
      </c>
      <c r="E1897" s="88" t="s">
        <v>658</v>
      </c>
      <c r="F1897" s="88" t="s">
        <v>832</v>
      </c>
      <c r="G1897" s="88" t="s">
        <v>758</v>
      </c>
      <c r="H1897" s="88" t="s">
        <v>596</v>
      </c>
    </row>
    <row r="1898" spans="1:8" ht="28.8" x14ac:dyDescent="0.3">
      <c r="A1898" s="88" t="s">
        <v>716</v>
      </c>
      <c r="B1898" s="88">
        <v>85</v>
      </c>
      <c r="C1898" s="88">
        <v>38</v>
      </c>
      <c r="D1898" s="88" t="s">
        <v>169</v>
      </c>
      <c r="E1898" s="88" t="s">
        <v>1700</v>
      </c>
      <c r="F1898" s="88" t="s">
        <v>1134</v>
      </c>
      <c r="G1898" s="88" t="s">
        <v>719</v>
      </c>
      <c r="H1898" s="88" t="s">
        <v>596</v>
      </c>
    </row>
    <row r="1899" spans="1:8" ht="28.8" x14ac:dyDescent="0.3">
      <c r="A1899" s="88" t="s">
        <v>716</v>
      </c>
      <c r="B1899" s="88">
        <v>85</v>
      </c>
      <c r="C1899" s="88">
        <v>39</v>
      </c>
      <c r="D1899" s="88" t="s">
        <v>169</v>
      </c>
      <c r="E1899" s="88" t="s">
        <v>1133</v>
      </c>
      <c r="F1899" s="88" t="s">
        <v>1136</v>
      </c>
      <c r="G1899" s="88" t="s">
        <v>724</v>
      </c>
      <c r="H1899" s="88" t="s">
        <v>596</v>
      </c>
    </row>
    <row r="1900" spans="1:8" x14ac:dyDescent="0.3">
      <c r="A1900" s="88" t="s">
        <v>716</v>
      </c>
      <c r="B1900" s="88">
        <v>86</v>
      </c>
      <c r="C1900" s="88">
        <v>32</v>
      </c>
      <c r="D1900" s="88" t="s">
        <v>170</v>
      </c>
      <c r="E1900" s="88" t="s">
        <v>1701</v>
      </c>
      <c r="F1900" s="88" t="s">
        <v>1098</v>
      </c>
      <c r="G1900" s="88" t="s">
        <v>749</v>
      </c>
      <c r="H1900" s="88" t="s">
        <v>596</v>
      </c>
    </row>
    <row r="1901" spans="1:8" x14ac:dyDescent="0.3">
      <c r="A1901" s="88" t="s">
        <v>716</v>
      </c>
      <c r="B1901" s="88">
        <v>86</v>
      </c>
      <c r="C1901" s="88">
        <v>33</v>
      </c>
      <c r="D1901" s="88" t="s">
        <v>170</v>
      </c>
      <c r="E1901" s="88" t="s">
        <v>655</v>
      </c>
      <c r="F1901" s="88" t="s">
        <v>1099</v>
      </c>
      <c r="G1901" s="88" t="s">
        <v>752</v>
      </c>
      <c r="H1901" s="88" t="s">
        <v>596</v>
      </c>
    </row>
    <row r="1902" spans="1:8" x14ac:dyDescent="0.3">
      <c r="A1902" s="88" t="s">
        <v>716</v>
      </c>
      <c r="B1902" s="88">
        <v>86</v>
      </c>
      <c r="C1902" s="88">
        <v>34</v>
      </c>
      <c r="D1902" s="88" t="s">
        <v>170</v>
      </c>
      <c r="E1902" s="88" t="s">
        <v>920</v>
      </c>
      <c r="F1902" s="88" t="s">
        <v>642</v>
      </c>
      <c r="G1902" s="88" t="s">
        <v>755</v>
      </c>
      <c r="H1902" s="88" t="s">
        <v>596</v>
      </c>
    </row>
    <row r="1903" spans="1:8" x14ac:dyDescent="0.3">
      <c r="A1903" s="88" t="s">
        <v>716</v>
      </c>
      <c r="B1903" s="88">
        <v>86</v>
      </c>
      <c r="C1903" s="88">
        <v>35</v>
      </c>
      <c r="D1903" s="88" t="s">
        <v>170</v>
      </c>
      <c r="E1903" s="88" t="s">
        <v>1137</v>
      </c>
      <c r="F1903" s="88" t="s">
        <v>1100</v>
      </c>
      <c r="G1903" s="88" t="s">
        <v>758</v>
      </c>
      <c r="H1903" s="88" t="s">
        <v>596</v>
      </c>
    </row>
    <row r="1904" spans="1:8" ht="28.8" x14ac:dyDescent="0.3">
      <c r="A1904" s="88" t="s">
        <v>716</v>
      </c>
      <c r="B1904" s="88">
        <v>86</v>
      </c>
      <c r="C1904" s="88">
        <v>38</v>
      </c>
      <c r="D1904" s="88" t="s">
        <v>170</v>
      </c>
      <c r="E1904" s="88" t="s">
        <v>1143</v>
      </c>
      <c r="F1904" s="88" t="s">
        <v>1140</v>
      </c>
      <c r="G1904" s="88" t="s">
        <v>719</v>
      </c>
      <c r="H1904" s="88" t="s">
        <v>596</v>
      </c>
    </row>
    <row r="1905" spans="1:8" ht="28.8" x14ac:dyDescent="0.3">
      <c r="A1905" s="88" t="s">
        <v>716</v>
      </c>
      <c r="B1905" s="88">
        <v>86</v>
      </c>
      <c r="C1905" s="88">
        <v>39</v>
      </c>
      <c r="D1905" s="88" t="s">
        <v>170</v>
      </c>
      <c r="E1905" s="88" t="s">
        <v>1139</v>
      </c>
      <c r="F1905" s="88" t="s">
        <v>1702</v>
      </c>
      <c r="G1905" s="88" t="s">
        <v>724</v>
      </c>
      <c r="H1905" s="88" t="s">
        <v>596</v>
      </c>
    </row>
    <row r="1906" spans="1:8" x14ac:dyDescent="0.3">
      <c r="A1906" s="88" t="s">
        <v>716</v>
      </c>
      <c r="B1906" s="88">
        <v>87</v>
      </c>
      <c r="C1906" s="88">
        <v>32</v>
      </c>
      <c r="D1906" s="88" t="s">
        <v>171</v>
      </c>
      <c r="E1906" s="88" t="s">
        <v>1703</v>
      </c>
      <c r="F1906" s="88" t="s">
        <v>1103</v>
      </c>
      <c r="G1906" s="88" t="s">
        <v>749</v>
      </c>
      <c r="H1906" s="88" t="s">
        <v>596</v>
      </c>
    </row>
    <row r="1907" spans="1:8" x14ac:dyDescent="0.3">
      <c r="A1907" s="88" t="s">
        <v>716</v>
      </c>
      <c r="B1907" s="88">
        <v>87</v>
      </c>
      <c r="C1907" s="88">
        <v>33</v>
      </c>
      <c r="D1907" s="88" t="s">
        <v>171</v>
      </c>
      <c r="E1907" s="88" t="s">
        <v>970</v>
      </c>
      <c r="F1907" s="88" t="s">
        <v>1104</v>
      </c>
      <c r="G1907" s="88" t="s">
        <v>752</v>
      </c>
      <c r="H1907" s="88" t="s">
        <v>596</v>
      </c>
    </row>
    <row r="1908" spans="1:8" x14ac:dyDescent="0.3">
      <c r="A1908" s="88" t="s">
        <v>716</v>
      </c>
      <c r="B1908" s="88">
        <v>87</v>
      </c>
      <c r="C1908" s="88">
        <v>34</v>
      </c>
      <c r="D1908" s="88" t="s">
        <v>171</v>
      </c>
      <c r="E1908" s="88" t="s">
        <v>1141</v>
      </c>
      <c r="F1908" s="88" t="s">
        <v>706</v>
      </c>
      <c r="G1908" s="88" t="s">
        <v>755</v>
      </c>
      <c r="H1908" s="88" t="s">
        <v>596</v>
      </c>
    </row>
    <row r="1909" spans="1:8" x14ac:dyDescent="0.3">
      <c r="A1909" s="88" t="s">
        <v>716</v>
      </c>
      <c r="B1909" s="88">
        <v>87</v>
      </c>
      <c r="C1909" s="88">
        <v>35</v>
      </c>
      <c r="D1909" s="88" t="s">
        <v>171</v>
      </c>
      <c r="E1909" s="88" t="s">
        <v>1142</v>
      </c>
      <c r="F1909" s="88" t="s">
        <v>1071</v>
      </c>
      <c r="G1909" s="88" t="s">
        <v>758</v>
      </c>
      <c r="H1909" s="88" t="s">
        <v>596</v>
      </c>
    </row>
    <row r="1910" spans="1:8" ht="28.8" x14ac:dyDescent="0.3">
      <c r="A1910" s="88" t="s">
        <v>716</v>
      </c>
      <c r="B1910" s="88">
        <v>87</v>
      </c>
      <c r="C1910" s="88">
        <v>38</v>
      </c>
      <c r="D1910" s="88" t="s">
        <v>171</v>
      </c>
      <c r="E1910" s="88" t="s">
        <v>1704</v>
      </c>
      <c r="F1910" s="88" t="s">
        <v>730</v>
      </c>
      <c r="G1910" s="88" t="s">
        <v>719</v>
      </c>
      <c r="H1910" s="88" t="s">
        <v>596</v>
      </c>
    </row>
    <row r="1911" spans="1:8" ht="28.8" x14ac:dyDescent="0.3">
      <c r="A1911" s="88" t="s">
        <v>716</v>
      </c>
      <c r="B1911" s="88">
        <v>87</v>
      </c>
      <c r="C1911" s="88">
        <v>39</v>
      </c>
      <c r="D1911" s="88" t="s">
        <v>171</v>
      </c>
      <c r="E1911" s="88" t="s">
        <v>729</v>
      </c>
      <c r="F1911" s="88" t="s">
        <v>666</v>
      </c>
      <c r="G1911" s="88" t="s">
        <v>724</v>
      </c>
      <c r="H1911" s="88" t="s">
        <v>596</v>
      </c>
    </row>
    <row r="1912" spans="1:8" x14ac:dyDescent="0.3">
      <c r="A1912" s="88" t="s">
        <v>716</v>
      </c>
      <c r="B1912" s="88">
        <v>88</v>
      </c>
      <c r="C1912" s="88">
        <v>32</v>
      </c>
      <c r="D1912" s="88" t="s">
        <v>172</v>
      </c>
      <c r="E1912" s="88" t="s">
        <v>1705</v>
      </c>
      <c r="F1912" s="88" t="s">
        <v>654</v>
      </c>
      <c r="G1912" s="88" t="s">
        <v>749</v>
      </c>
      <c r="H1912" s="88" t="s">
        <v>596</v>
      </c>
    </row>
    <row r="1913" spans="1:8" x14ac:dyDescent="0.3">
      <c r="A1913" s="88" t="s">
        <v>716</v>
      </c>
      <c r="B1913" s="88">
        <v>88</v>
      </c>
      <c r="C1913" s="88">
        <v>33</v>
      </c>
      <c r="D1913" s="88" t="s">
        <v>172</v>
      </c>
      <c r="E1913" s="88" t="s">
        <v>1143</v>
      </c>
      <c r="F1913" s="88" t="s">
        <v>1109</v>
      </c>
      <c r="G1913" s="88" t="s">
        <v>752</v>
      </c>
      <c r="H1913" s="88" t="s">
        <v>596</v>
      </c>
    </row>
    <row r="1914" spans="1:8" x14ac:dyDescent="0.3">
      <c r="A1914" s="88" t="s">
        <v>716</v>
      </c>
      <c r="B1914" s="88">
        <v>88</v>
      </c>
      <c r="C1914" s="88">
        <v>34</v>
      </c>
      <c r="D1914" s="88" t="s">
        <v>172</v>
      </c>
      <c r="E1914" s="88" t="s">
        <v>1144</v>
      </c>
      <c r="F1914" s="88" t="s">
        <v>1110</v>
      </c>
      <c r="G1914" s="88" t="s">
        <v>755</v>
      </c>
      <c r="H1914" s="88" t="s">
        <v>596</v>
      </c>
    </row>
    <row r="1915" spans="1:8" x14ac:dyDescent="0.3">
      <c r="A1915" s="88" t="s">
        <v>716</v>
      </c>
      <c r="B1915" s="88">
        <v>88</v>
      </c>
      <c r="C1915" s="88">
        <v>35</v>
      </c>
      <c r="D1915" s="88" t="s">
        <v>172</v>
      </c>
      <c r="E1915" s="88" t="s">
        <v>904</v>
      </c>
      <c r="F1915" s="88" t="s">
        <v>1111</v>
      </c>
      <c r="G1915" s="88" t="s">
        <v>758</v>
      </c>
      <c r="H1915" s="88" t="s">
        <v>596</v>
      </c>
    </row>
    <row r="1916" spans="1:8" ht="28.8" x14ac:dyDescent="0.3">
      <c r="A1916" s="88" t="s">
        <v>716</v>
      </c>
      <c r="B1916" s="88">
        <v>88</v>
      </c>
      <c r="C1916" s="88">
        <v>38</v>
      </c>
      <c r="D1916" s="88" t="s">
        <v>172</v>
      </c>
      <c r="E1916" s="88" t="s">
        <v>1706</v>
      </c>
      <c r="F1916" s="88" t="s">
        <v>1146</v>
      </c>
      <c r="G1916" s="88" t="s">
        <v>719</v>
      </c>
      <c r="H1916" s="88" t="s">
        <v>596</v>
      </c>
    </row>
    <row r="1917" spans="1:8" ht="28.8" x14ac:dyDescent="0.3">
      <c r="A1917" s="88" t="s">
        <v>716</v>
      </c>
      <c r="B1917" s="88">
        <v>88</v>
      </c>
      <c r="C1917" s="88">
        <v>39</v>
      </c>
      <c r="D1917" s="88" t="s">
        <v>172</v>
      </c>
      <c r="E1917" s="88" t="s">
        <v>1145</v>
      </c>
      <c r="F1917" s="88" t="s">
        <v>1148</v>
      </c>
      <c r="G1917" s="88" t="s">
        <v>724</v>
      </c>
      <c r="H1917" s="88" t="s">
        <v>596</v>
      </c>
    </row>
    <row r="1918" spans="1:8" x14ac:dyDescent="0.3">
      <c r="A1918" s="88" t="s">
        <v>716</v>
      </c>
      <c r="B1918" s="88">
        <v>89</v>
      </c>
      <c r="C1918" s="88">
        <v>18</v>
      </c>
      <c r="D1918" s="88" t="s">
        <v>173</v>
      </c>
      <c r="E1918" s="88" t="s">
        <v>894</v>
      </c>
      <c r="F1918" s="88" t="s">
        <v>1049</v>
      </c>
      <c r="G1918" s="88" t="s">
        <v>896</v>
      </c>
      <c r="H1918" s="88" t="s">
        <v>596</v>
      </c>
    </row>
    <row r="1919" spans="1:8" x14ac:dyDescent="0.3">
      <c r="A1919" s="88" t="s">
        <v>716</v>
      </c>
      <c r="B1919" s="88">
        <v>89</v>
      </c>
      <c r="C1919" s="88">
        <v>32</v>
      </c>
      <c r="D1919" s="88" t="s">
        <v>173</v>
      </c>
      <c r="E1919" s="88" t="s">
        <v>1707</v>
      </c>
      <c r="F1919" s="88" t="s">
        <v>1115</v>
      </c>
      <c r="G1919" s="88" t="s">
        <v>749</v>
      </c>
      <c r="H1919" s="88" t="s">
        <v>596</v>
      </c>
    </row>
    <row r="1920" spans="1:8" x14ac:dyDescent="0.3">
      <c r="A1920" s="88" t="s">
        <v>716</v>
      </c>
      <c r="B1920" s="88">
        <v>89</v>
      </c>
      <c r="C1920" s="88">
        <v>33</v>
      </c>
      <c r="D1920" s="88" t="s">
        <v>173</v>
      </c>
      <c r="E1920" s="88" t="s">
        <v>1149</v>
      </c>
      <c r="F1920" s="88" t="s">
        <v>1116</v>
      </c>
      <c r="G1920" s="88" t="s">
        <v>752</v>
      </c>
      <c r="H1920" s="88" t="s">
        <v>596</v>
      </c>
    </row>
    <row r="1921" spans="1:8" x14ac:dyDescent="0.3">
      <c r="A1921" s="88" t="s">
        <v>716</v>
      </c>
      <c r="B1921" s="88">
        <v>89</v>
      </c>
      <c r="C1921" s="88">
        <v>34</v>
      </c>
      <c r="D1921" s="88" t="s">
        <v>173</v>
      </c>
      <c r="E1921" s="88" t="s">
        <v>1150</v>
      </c>
      <c r="F1921" s="88" t="s">
        <v>1117</v>
      </c>
      <c r="G1921" s="88" t="s">
        <v>755</v>
      </c>
      <c r="H1921" s="88" t="s">
        <v>596</v>
      </c>
    </row>
    <row r="1922" spans="1:8" x14ac:dyDescent="0.3">
      <c r="A1922" s="88" t="s">
        <v>716</v>
      </c>
      <c r="B1922" s="88">
        <v>89</v>
      </c>
      <c r="C1922" s="88">
        <v>35</v>
      </c>
      <c r="D1922" s="88" t="s">
        <v>173</v>
      </c>
      <c r="E1922" s="88" t="s">
        <v>1071</v>
      </c>
      <c r="F1922" s="88" t="s">
        <v>826</v>
      </c>
      <c r="G1922" s="88" t="s">
        <v>758</v>
      </c>
      <c r="H1922" s="88" t="s">
        <v>596</v>
      </c>
    </row>
    <row r="1923" spans="1:8" ht="28.8" x14ac:dyDescent="0.3">
      <c r="A1923" s="88" t="s">
        <v>716</v>
      </c>
      <c r="B1923" s="88">
        <v>89</v>
      </c>
      <c r="C1923" s="88">
        <v>38</v>
      </c>
      <c r="D1923" s="88" t="s">
        <v>173</v>
      </c>
      <c r="E1923" s="88" t="s">
        <v>1708</v>
      </c>
      <c r="F1923" s="88" t="s">
        <v>1152</v>
      </c>
      <c r="G1923" s="88" t="s">
        <v>719</v>
      </c>
      <c r="H1923" s="88" t="s">
        <v>596</v>
      </c>
    </row>
    <row r="1924" spans="1:8" ht="28.8" x14ac:dyDescent="0.3">
      <c r="A1924" s="88" t="s">
        <v>716</v>
      </c>
      <c r="B1924" s="88">
        <v>89</v>
      </c>
      <c r="C1924" s="88">
        <v>39</v>
      </c>
      <c r="D1924" s="88" t="s">
        <v>173</v>
      </c>
      <c r="E1924" s="88" t="s">
        <v>1151</v>
      </c>
      <c r="F1924" s="88" t="s">
        <v>1154</v>
      </c>
      <c r="G1924" s="88" t="s">
        <v>724</v>
      </c>
      <c r="H1924" s="88" t="s">
        <v>596</v>
      </c>
    </row>
    <row r="1925" spans="1:8" x14ac:dyDescent="0.3">
      <c r="A1925" s="88" t="s">
        <v>716</v>
      </c>
      <c r="B1925" s="88">
        <v>90</v>
      </c>
      <c r="C1925" s="88">
        <v>18</v>
      </c>
      <c r="D1925" s="88" t="s">
        <v>174</v>
      </c>
      <c r="E1925" s="88" t="s">
        <v>1049</v>
      </c>
      <c r="F1925" s="88" t="s">
        <v>894</v>
      </c>
      <c r="G1925" s="88" t="s">
        <v>896</v>
      </c>
      <c r="H1925" s="88" t="s">
        <v>596</v>
      </c>
    </row>
    <row r="1926" spans="1:8" x14ac:dyDescent="0.3">
      <c r="A1926" s="88" t="s">
        <v>716</v>
      </c>
      <c r="B1926" s="88">
        <v>90</v>
      </c>
      <c r="C1926" s="88">
        <v>32</v>
      </c>
      <c r="D1926" s="88" t="s">
        <v>174</v>
      </c>
      <c r="E1926" s="88" t="s">
        <v>1709</v>
      </c>
      <c r="F1926" s="88" t="s">
        <v>705</v>
      </c>
      <c r="G1926" s="88" t="s">
        <v>749</v>
      </c>
      <c r="H1926" s="88" t="s">
        <v>596</v>
      </c>
    </row>
    <row r="1927" spans="1:8" x14ac:dyDescent="0.3">
      <c r="A1927" s="88" t="s">
        <v>716</v>
      </c>
      <c r="B1927" s="88">
        <v>90</v>
      </c>
      <c r="C1927" s="88">
        <v>33</v>
      </c>
      <c r="D1927" s="88" t="s">
        <v>174</v>
      </c>
      <c r="E1927" s="88" t="s">
        <v>1155</v>
      </c>
      <c r="F1927" s="88" t="s">
        <v>994</v>
      </c>
      <c r="G1927" s="88" t="s">
        <v>752</v>
      </c>
      <c r="H1927" s="88" t="s">
        <v>596</v>
      </c>
    </row>
    <row r="1928" spans="1:8" x14ac:dyDescent="0.3">
      <c r="A1928" s="88" t="s">
        <v>716</v>
      </c>
      <c r="B1928" s="88">
        <v>90</v>
      </c>
      <c r="C1928" s="88">
        <v>34</v>
      </c>
      <c r="D1928" s="88" t="s">
        <v>174</v>
      </c>
      <c r="E1928" s="88" t="s">
        <v>1156</v>
      </c>
      <c r="F1928" s="88" t="s">
        <v>872</v>
      </c>
      <c r="G1928" s="88" t="s">
        <v>755</v>
      </c>
      <c r="H1928" s="88" t="s">
        <v>596</v>
      </c>
    </row>
    <row r="1929" spans="1:8" x14ac:dyDescent="0.3">
      <c r="A1929" s="88" t="s">
        <v>716</v>
      </c>
      <c r="B1929" s="88">
        <v>90</v>
      </c>
      <c r="C1929" s="88">
        <v>35</v>
      </c>
      <c r="D1929" s="88" t="s">
        <v>174</v>
      </c>
      <c r="E1929" s="88" t="s">
        <v>1081</v>
      </c>
      <c r="F1929" s="88" t="s">
        <v>1128</v>
      </c>
      <c r="G1929" s="88" t="s">
        <v>758</v>
      </c>
      <c r="H1929" s="88" t="s">
        <v>596</v>
      </c>
    </row>
    <row r="1930" spans="1:8" ht="28.8" x14ac:dyDescent="0.3">
      <c r="A1930" s="88" t="s">
        <v>716</v>
      </c>
      <c r="B1930" s="88">
        <v>90</v>
      </c>
      <c r="C1930" s="88">
        <v>38</v>
      </c>
      <c r="D1930" s="88" t="s">
        <v>174</v>
      </c>
      <c r="E1930" s="88" t="s">
        <v>1710</v>
      </c>
      <c r="F1930" s="88" t="s">
        <v>1158</v>
      </c>
      <c r="G1930" s="88" t="s">
        <v>719</v>
      </c>
      <c r="H1930" s="88" t="s">
        <v>596</v>
      </c>
    </row>
    <row r="1931" spans="1:8" ht="28.8" x14ac:dyDescent="0.3">
      <c r="A1931" s="88" t="s">
        <v>716</v>
      </c>
      <c r="B1931" s="88">
        <v>90</v>
      </c>
      <c r="C1931" s="88">
        <v>39</v>
      </c>
      <c r="D1931" s="88" t="s">
        <v>174</v>
      </c>
      <c r="E1931" s="88" t="s">
        <v>1157</v>
      </c>
      <c r="F1931" s="88" t="s">
        <v>1153</v>
      </c>
      <c r="G1931" s="88" t="s">
        <v>724</v>
      </c>
      <c r="H1931" s="88" t="s">
        <v>596</v>
      </c>
    </row>
    <row r="1932" spans="1:8" ht="28.8" x14ac:dyDescent="0.3">
      <c r="A1932" s="88" t="s">
        <v>716</v>
      </c>
      <c r="B1932" s="88">
        <v>91</v>
      </c>
      <c r="C1932" s="88">
        <v>38</v>
      </c>
      <c r="D1932" s="88" t="s">
        <v>175</v>
      </c>
      <c r="E1932" s="88" t="s">
        <v>1711</v>
      </c>
      <c r="F1932" s="88" t="s">
        <v>1161</v>
      </c>
      <c r="G1932" s="88" t="s">
        <v>719</v>
      </c>
      <c r="H1932" s="88" t="s">
        <v>596</v>
      </c>
    </row>
    <row r="1933" spans="1:8" ht="28.8" x14ac:dyDescent="0.3">
      <c r="A1933" s="88" t="s">
        <v>716</v>
      </c>
      <c r="B1933" s="88">
        <v>91</v>
      </c>
      <c r="C1933" s="88">
        <v>39</v>
      </c>
      <c r="D1933" s="88" t="s">
        <v>175</v>
      </c>
      <c r="E1933" s="88" t="s">
        <v>1160</v>
      </c>
      <c r="F1933" s="88" t="s">
        <v>1712</v>
      </c>
      <c r="G1933" s="88" t="s">
        <v>724</v>
      </c>
      <c r="H1933" s="88" t="s">
        <v>596</v>
      </c>
    </row>
    <row r="1934" spans="1:8" ht="28.8" x14ac:dyDescent="0.3">
      <c r="A1934" s="88" t="s">
        <v>716</v>
      </c>
      <c r="B1934" s="88">
        <v>92</v>
      </c>
      <c r="C1934" s="88">
        <v>32</v>
      </c>
      <c r="D1934" s="88" t="s">
        <v>176</v>
      </c>
      <c r="E1934" s="88" t="s">
        <v>1713</v>
      </c>
      <c r="F1934" s="88" t="s">
        <v>1128</v>
      </c>
      <c r="G1934" s="88" t="s">
        <v>749</v>
      </c>
      <c r="H1934" s="88" t="s">
        <v>596</v>
      </c>
    </row>
    <row r="1935" spans="1:8" x14ac:dyDescent="0.3">
      <c r="A1935" s="88" t="s">
        <v>716</v>
      </c>
      <c r="B1935" s="88">
        <v>92</v>
      </c>
      <c r="C1935" s="88">
        <v>33</v>
      </c>
      <c r="D1935" s="88" t="s">
        <v>176</v>
      </c>
      <c r="E1935" s="88" t="s">
        <v>927</v>
      </c>
      <c r="F1935" s="88" t="s">
        <v>1129</v>
      </c>
      <c r="G1935" s="88" t="s">
        <v>752</v>
      </c>
      <c r="H1935" s="88" t="s">
        <v>596</v>
      </c>
    </row>
    <row r="1936" spans="1:8" x14ac:dyDescent="0.3">
      <c r="A1936" s="88" t="s">
        <v>716</v>
      </c>
      <c r="B1936" s="88">
        <v>92</v>
      </c>
      <c r="C1936" s="88">
        <v>34</v>
      </c>
      <c r="D1936" s="88" t="s">
        <v>176</v>
      </c>
      <c r="E1936" s="88" t="s">
        <v>1162</v>
      </c>
      <c r="F1936" s="88" t="s">
        <v>849</v>
      </c>
      <c r="G1936" s="88" t="s">
        <v>755</v>
      </c>
      <c r="H1936" s="88" t="s">
        <v>596</v>
      </c>
    </row>
    <row r="1937" spans="1:8" x14ac:dyDescent="0.3">
      <c r="A1937" s="88" t="s">
        <v>716</v>
      </c>
      <c r="B1937" s="88">
        <v>92</v>
      </c>
      <c r="C1937" s="88">
        <v>35</v>
      </c>
      <c r="D1937" s="88" t="s">
        <v>176</v>
      </c>
      <c r="E1937" s="88" t="s">
        <v>1163</v>
      </c>
      <c r="F1937" s="88" t="s">
        <v>655</v>
      </c>
      <c r="G1937" s="88" t="s">
        <v>758</v>
      </c>
      <c r="H1937" s="88" t="s">
        <v>596</v>
      </c>
    </row>
    <row r="1938" spans="1:8" ht="28.8" x14ac:dyDescent="0.3">
      <c r="A1938" s="88" t="s">
        <v>716</v>
      </c>
      <c r="B1938" s="88">
        <v>92</v>
      </c>
      <c r="C1938" s="88">
        <v>38</v>
      </c>
      <c r="D1938" s="88" t="s">
        <v>176</v>
      </c>
      <c r="E1938" s="88" t="s">
        <v>1714</v>
      </c>
      <c r="F1938" s="88" t="s">
        <v>1164</v>
      </c>
      <c r="G1938" s="88" t="s">
        <v>719</v>
      </c>
      <c r="H1938" s="88" t="s">
        <v>596</v>
      </c>
    </row>
    <row r="1939" spans="1:8" ht="28.8" x14ac:dyDescent="0.3">
      <c r="A1939" s="88" t="s">
        <v>716</v>
      </c>
      <c r="B1939" s="88">
        <v>92</v>
      </c>
      <c r="C1939" s="88">
        <v>39</v>
      </c>
      <c r="D1939" s="88" t="s">
        <v>176</v>
      </c>
      <c r="E1939" s="88" t="s">
        <v>1032</v>
      </c>
      <c r="F1939" s="88" t="s">
        <v>1715</v>
      </c>
      <c r="G1939" s="88" t="s">
        <v>724</v>
      </c>
      <c r="H1939" s="88" t="s">
        <v>596</v>
      </c>
    </row>
    <row r="1940" spans="1:8" x14ac:dyDescent="0.3">
      <c r="A1940" s="88" t="s">
        <v>716</v>
      </c>
      <c r="B1940" s="88">
        <v>93</v>
      </c>
      <c r="C1940" s="88">
        <v>32</v>
      </c>
      <c r="D1940" s="88" t="s">
        <v>177</v>
      </c>
      <c r="E1940" s="88" t="s">
        <v>1716</v>
      </c>
      <c r="F1940" s="88" t="s">
        <v>811</v>
      </c>
      <c r="G1940" s="88" t="s">
        <v>749</v>
      </c>
      <c r="H1940" s="88" t="s">
        <v>596</v>
      </c>
    </row>
    <row r="1941" spans="1:8" x14ac:dyDescent="0.3">
      <c r="A1941" s="88" t="s">
        <v>716</v>
      </c>
      <c r="B1941" s="88">
        <v>93</v>
      </c>
      <c r="C1941" s="88">
        <v>33</v>
      </c>
      <c r="D1941" s="88" t="s">
        <v>177</v>
      </c>
      <c r="E1941" s="88" t="s">
        <v>1165</v>
      </c>
      <c r="F1941" s="88" t="s">
        <v>1130</v>
      </c>
      <c r="G1941" s="88" t="s">
        <v>752</v>
      </c>
      <c r="H1941" s="88" t="s">
        <v>596</v>
      </c>
    </row>
    <row r="1942" spans="1:8" x14ac:dyDescent="0.3">
      <c r="A1942" s="88" t="s">
        <v>716</v>
      </c>
      <c r="B1942" s="88">
        <v>93</v>
      </c>
      <c r="C1942" s="88">
        <v>34</v>
      </c>
      <c r="D1942" s="88" t="s">
        <v>177</v>
      </c>
      <c r="E1942" s="88" t="s">
        <v>1166</v>
      </c>
      <c r="F1942" s="88" t="s">
        <v>1088</v>
      </c>
      <c r="G1942" s="88" t="s">
        <v>755</v>
      </c>
      <c r="H1942" s="88" t="s">
        <v>596</v>
      </c>
    </row>
    <row r="1943" spans="1:8" x14ac:dyDescent="0.3">
      <c r="A1943" s="88" t="s">
        <v>716</v>
      </c>
      <c r="B1943" s="88">
        <v>93</v>
      </c>
      <c r="C1943" s="88">
        <v>35</v>
      </c>
      <c r="D1943" s="88" t="s">
        <v>177</v>
      </c>
      <c r="E1943" s="88" t="s">
        <v>1167</v>
      </c>
      <c r="F1943" s="88" t="s">
        <v>854</v>
      </c>
      <c r="G1943" s="88" t="s">
        <v>758</v>
      </c>
      <c r="H1943" s="88" t="s">
        <v>596</v>
      </c>
    </row>
    <row r="1944" spans="1:8" ht="28.8" x14ac:dyDescent="0.3">
      <c r="A1944" s="88" t="s">
        <v>716</v>
      </c>
      <c r="B1944" s="88">
        <v>93</v>
      </c>
      <c r="C1944" s="88">
        <v>38</v>
      </c>
      <c r="D1944" s="88" t="s">
        <v>177</v>
      </c>
      <c r="E1944" s="88" t="s">
        <v>1717</v>
      </c>
      <c r="F1944" s="88" t="s">
        <v>1169</v>
      </c>
      <c r="G1944" s="88" t="s">
        <v>719</v>
      </c>
      <c r="H1944" s="88" t="s">
        <v>596</v>
      </c>
    </row>
    <row r="1945" spans="1:8" ht="28.8" x14ac:dyDescent="0.3">
      <c r="A1945" s="88" t="s">
        <v>716</v>
      </c>
      <c r="B1945" s="88">
        <v>93</v>
      </c>
      <c r="C1945" s="88">
        <v>39</v>
      </c>
      <c r="D1945" s="88" t="s">
        <v>177</v>
      </c>
      <c r="E1945" s="88" t="s">
        <v>1168</v>
      </c>
      <c r="F1945" s="88" t="s">
        <v>1171</v>
      </c>
      <c r="G1945" s="88" t="s">
        <v>724</v>
      </c>
      <c r="H1945" s="88" t="s">
        <v>596</v>
      </c>
    </row>
    <row r="1946" spans="1:8" ht="28.8" x14ac:dyDescent="0.3">
      <c r="A1946" s="88" t="s">
        <v>716</v>
      </c>
      <c r="B1946" s="88">
        <v>94</v>
      </c>
      <c r="C1946" s="88">
        <v>32</v>
      </c>
      <c r="D1946" s="88" t="s">
        <v>178</v>
      </c>
      <c r="E1946" s="88" t="s">
        <v>1575</v>
      </c>
      <c r="F1946" s="88" t="s">
        <v>817</v>
      </c>
      <c r="G1946" s="88" t="s">
        <v>749</v>
      </c>
      <c r="H1946" s="88" t="s">
        <v>596</v>
      </c>
    </row>
    <row r="1947" spans="1:8" x14ac:dyDescent="0.3">
      <c r="A1947" s="88" t="s">
        <v>716</v>
      </c>
      <c r="B1947" s="88">
        <v>94</v>
      </c>
      <c r="C1947" s="88">
        <v>33</v>
      </c>
      <c r="D1947" s="88" t="s">
        <v>178</v>
      </c>
      <c r="E1947" s="88" t="s">
        <v>1172</v>
      </c>
      <c r="F1947" s="88" t="s">
        <v>786</v>
      </c>
      <c r="G1947" s="88" t="s">
        <v>752</v>
      </c>
      <c r="H1947" s="88" t="s">
        <v>596</v>
      </c>
    </row>
    <row r="1948" spans="1:8" x14ac:dyDescent="0.3">
      <c r="A1948" s="88" t="s">
        <v>716</v>
      </c>
      <c r="B1948" s="88">
        <v>94</v>
      </c>
      <c r="C1948" s="88">
        <v>34</v>
      </c>
      <c r="D1948" s="88" t="s">
        <v>178</v>
      </c>
      <c r="E1948" s="88" t="s">
        <v>1173</v>
      </c>
      <c r="F1948" s="88" t="s">
        <v>658</v>
      </c>
      <c r="G1948" s="88" t="s">
        <v>755</v>
      </c>
      <c r="H1948" s="88" t="s">
        <v>596</v>
      </c>
    </row>
    <row r="1949" spans="1:8" x14ac:dyDescent="0.3">
      <c r="A1949" s="88" t="s">
        <v>716</v>
      </c>
      <c r="B1949" s="88">
        <v>94</v>
      </c>
      <c r="C1949" s="88">
        <v>35</v>
      </c>
      <c r="D1949" s="88" t="s">
        <v>178</v>
      </c>
      <c r="E1949" s="88" t="s">
        <v>864</v>
      </c>
      <c r="F1949" s="88" t="s">
        <v>793</v>
      </c>
      <c r="G1949" s="88" t="s">
        <v>758</v>
      </c>
      <c r="H1949" s="88" t="s">
        <v>596</v>
      </c>
    </row>
    <row r="1950" spans="1:8" ht="28.8" x14ac:dyDescent="0.3">
      <c r="A1950" s="88" t="s">
        <v>716</v>
      </c>
      <c r="B1950" s="88">
        <v>94</v>
      </c>
      <c r="C1950" s="88">
        <v>38</v>
      </c>
      <c r="D1950" s="88" t="s">
        <v>178</v>
      </c>
      <c r="E1950" s="88" t="s">
        <v>1718</v>
      </c>
      <c r="F1950" s="88" t="s">
        <v>1175</v>
      </c>
      <c r="G1950" s="88" t="s">
        <v>719</v>
      </c>
      <c r="H1950" s="88" t="s">
        <v>596</v>
      </c>
    </row>
    <row r="1951" spans="1:8" ht="28.8" x14ac:dyDescent="0.3">
      <c r="A1951" s="88" t="s">
        <v>716</v>
      </c>
      <c r="B1951" s="88">
        <v>94</v>
      </c>
      <c r="C1951" s="88">
        <v>39</v>
      </c>
      <c r="D1951" s="88" t="s">
        <v>178</v>
      </c>
      <c r="E1951" s="88" t="s">
        <v>1174</v>
      </c>
      <c r="F1951" s="88" t="s">
        <v>1177</v>
      </c>
      <c r="G1951" s="88" t="s">
        <v>724</v>
      </c>
      <c r="H1951" s="88" t="s">
        <v>596</v>
      </c>
    </row>
    <row r="1952" spans="1:8" x14ac:dyDescent="0.3">
      <c r="A1952" s="88" t="s">
        <v>716</v>
      </c>
      <c r="B1952" s="88">
        <v>95</v>
      </c>
      <c r="C1952" s="88">
        <v>32</v>
      </c>
      <c r="D1952" s="88" t="s">
        <v>179</v>
      </c>
      <c r="E1952" s="88" t="s">
        <v>1719</v>
      </c>
      <c r="F1952" s="88" t="s">
        <v>655</v>
      </c>
      <c r="G1952" s="88" t="s">
        <v>749</v>
      </c>
      <c r="H1952" s="88" t="s">
        <v>596</v>
      </c>
    </row>
    <row r="1953" spans="1:8" x14ac:dyDescent="0.3">
      <c r="A1953" s="88" t="s">
        <v>716</v>
      </c>
      <c r="B1953" s="88">
        <v>95</v>
      </c>
      <c r="C1953" s="88">
        <v>33</v>
      </c>
      <c r="D1953" s="88" t="s">
        <v>179</v>
      </c>
      <c r="E1953" s="88" t="s">
        <v>822</v>
      </c>
      <c r="F1953" s="88" t="s">
        <v>920</v>
      </c>
      <c r="G1953" s="88" t="s">
        <v>752</v>
      </c>
      <c r="H1953" s="88" t="s">
        <v>596</v>
      </c>
    </row>
    <row r="1954" spans="1:8" x14ac:dyDescent="0.3">
      <c r="A1954" s="88" t="s">
        <v>716</v>
      </c>
      <c r="B1954" s="88">
        <v>95</v>
      </c>
      <c r="C1954" s="88">
        <v>34</v>
      </c>
      <c r="D1954" s="88" t="s">
        <v>179</v>
      </c>
      <c r="E1954" s="88" t="s">
        <v>1178</v>
      </c>
      <c r="F1954" s="88" t="s">
        <v>1137</v>
      </c>
      <c r="G1954" s="88" t="s">
        <v>755</v>
      </c>
      <c r="H1954" s="88" t="s">
        <v>596</v>
      </c>
    </row>
    <row r="1955" spans="1:8" x14ac:dyDescent="0.3">
      <c r="A1955" s="88" t="s">
        <v>716</v>
      </c>
      <c r="B1955" s="88">
        <v>95</v>
      </c>
      <c r="C1955" s="88">
        <v>35</v>
      </c>
      <c r="D1955" s="88" t="s">
        <v>179</v>
      </c>
      <c r="E1955" s="88" t="s">
        <v>1179</v>
      </c>
      <c r="F1955" s="88" t="s">
        <v>1138</v>
      </c>
      <c r="G1955" s="88" t="s">
        <v>758</v>
      </c>
      <c r="H1955" s="88" t="s">
        <v>596</v>
      </c>
    </row>
    <row r="1956" spans="1:8" ht="28.8" x14ac:dyDescent="0.3">
      <c r="A1956" s="88" t="s">
        <v>716</v>
      </c>
      <c r="B1956" s="88">
        <v>95</v>
      </c>
      <c r="C1956" s="88">
        <v>38</v>
      </c>
      <c r="D1956" s="88" t="s">
        <v>179</v>
      </c>
      <c r="E1956" s="88" t="s">
        <v>1720</v>
      </c>
      <c r="F1956" s="88" t="s">
        <v>1182</v>
      </c>
      <c r="G1956" s="88" t="s">
        <v>719</v>
      </c>
      <c r="H1956" s="88" t="s">
        <v>596</v>
      </c>
    </row>
    <row r="1957" spans="1:8" ht="28.8" x14ac:dyDescent="0.3">
      <c r="A1957" s="88" t="s">
        <v>716</v>
      </c>
      <c r="B1957" s="88">
        <v>95</v>
      </c>
      <c r="C1957" s="88">
        <v>39</v>
      </c>
      <c r="D1957" s="88" t="s">
        <v>179</v>
      </c>
      <c r="E1957" s="88" t="s">
        <v>1181</v>
      </c>
      <c r="F1957" s="88" t="s">
        <v>1184</v>
      </c>
      <c r="G1957" s="88" t="s">
        <v>724</v>
      </c>
      <c r="H1957" s="88" t="s">
        <v>596</v>
      </c>
    </row>
    <row r="1958" spans="1:8" ht="28.8" x14ac:dyDescent="0.3">
      <c r="A1958" s="88" t="s">
        <v>716</v>
      </c>
      <c r="B1958" s="88">
        <v>96</v>
      </c>
      <c r="C1958" s="88">
        <v>32</v>
      </c>
      <c r="D1958" s="88" t="s">
        <v>180</v>
      </c>
      <c r="E1958" s="88" t="s">
        <v>1721</v>
      </c>
      <c r="F1958" s="88" t="s">
        <v>970</v>
      </c>
      <c r="G1958" s="88" t="s">
        <v>749</v>
      </c>
      <c r="H1958" s="88" t="s">
        <v>596</v>
      </c>
    </row>
    <row r="1959" spans="1:8" x14ac:dyDescent="0.3">
      <c r="A1959" s="88" t="s">
        <v>716</v>
      </c>
      <c r="B1959" s="88">
        <v>96</v>
      </c>
      <c r="C1959" s="88">
        <v>33</v>
      </c>
      <c r="D1959" s="88" t="s">
        <v>180</v>
      </c>
      <c r="E1959" s="88" t="s">
        <v>841</v>
      </c>
      <c r="F1959" s="88" t="s">
        <v>1141</v>
      </c>
      <c r="G1959" s="88" t="s">
        <v>752</v>
      </c>
      <c r="H1959" s="88" t="s">
        <v>596</v>
      </c>
    </row>
    <row r="1960" spans="1:8" x14ac:dyDescent="0.3">
      <c r="A1960" s="88" t="s">
        <v>716</v>
      </c>
      <c r="B1960" s="88">
        <v>96</v>
      </c>
      <c r="C1960" s="88">
        <v>34</v>
      </c>
      <c r="D1960" s="88" t="s">
        <v>180</v>
      </c>
      <c r="E1960" s="88" t="s">
        <v>1185</v>
      </c>
      <c r="F1960" s="88" t="s">
        <v>1142</v>
      </c>
      <c r="G1960" s="88" t="s">
        <v>755</v>
      </c>
      <c r="H1960" s="88" t="s">
        <v>596</v>
      </c>
    </row>
    <row r="1961" spans="1:8" x14ac:dyDescent="0.3">
      <c r="A1961" s="88" t="s">
        <v>716</v>
      </c>
      <c r="B1961" s="88">
        <v>96</v>
      </c>
      <c r="C1961" s="88">
        <v>35</v>
      </c>
      <c r="D1961" s="88" t="s">
        <v>180</v>
      </c>
      <c r="E1961" s="88" t="s">
        <v>1097</v>
      </c>
      <c r="F1961" s="88" t="s">
        <v>651</v>
      </c>
      <c r="G1961" s="88" t="s">
        <v>758</v>
      </c>
      <c r="H1961" s="88" t="s">
        <v>596</v>
      </c>
    </row>
    <row r="1962" spans="1:8" ht="28.8" x14ac:dyDescent="0.3">
      <c r="A1962" s="88" t="s">
        <v>716</v>
      </c>
      <c r="B1962" s="88">
        <v>96</v>
      </c>
      <c r="C1962" s="88">
        <v>38</v>
      </c>
      <c r="D1962" s="88" t="s">
        <v>180</v>
      </c>
      <c r="E1962" s="88" t="s">
        <v>1525</v>
      </c>
      <c r="F1962" s="88" t="s">
        <v>1187</v>
      </c>
      <c r="G1962" s="88" t="s">
        <v>719</v>
      </c>
      <c r="H1962" s="88" t="s">
        <v>596</v>
      </c>
    </row>
    <row r="1963" spans="1:8" ht="28.8" x14ac:dyDescent="0.3">
      <c r="A1963" s="88" t="s">
        <v>716</v>
      </c>
      <c r="B1963" s="88">
        <v>96</v>
      </c>
      <c r="C1963" s="88">
        <v>39</v>
      </c>
      <c r="D1963" s="88" t="s">
        <v>180</v>
      </c>
      <c r="E1963" s="88" t="s">
        <v>1186</v>
      </c>
      <c r="F1963" s="88" t="s">
        <v>666</v>
      </c>
      <c r="G1963" s="88" t="s">
        <v>724</v>
      </c>
      <c r="H1963" s="88" t="s">
        <v>596</v>
      </c>
    </row>
    <row r="1964" spans="1:8" x14ac:dyDescent="0.3">
      <c r="A1964" s="88" t="s">
        <v>716</v>
      </c>
      <c r="B1964" s="88">
        <v>97</v>
      </c>
      <c r="C1964" s="88">
        <v>32</v>
      </c>
      <c r="D1964" s="88" t="s">
        <v>181</v>
      </c>
      <c r="E1964" s="88" t="s">
        <v>1722</v>
      </c>
      <c r="F1964" s="88" t="s">
        <v>1143</v>
      </c>
      <c r="G1964" s="88" t="s">
        <v>749</v>
      </c>
      <c r="H1964" s="88" t="s">
        <v>596</v>
      </c>
    </row>
    <row r="1965" spans="1:8" x14ac:dyDescent="0.3">
      <c r="A1965" s="88" t="s">
        <v>716</v>
      </c>
      <c r="B1965" s="88">
        <v>97</v>
      </c>
      <c r="C1965" s="88">
        <v>33</v>
      </c>
      <c r="D1965" s="88" t="s">
        <v>181</v>
      </c>
      <c r="E1965" s="88" t="s">
        <v>1188</v>
      </c>
      <c r="F1965" s="88" t="s">
        <v>1144</v>
      </c>
      <c r="G1965" s="88" t="s">
        <v>752</v>
      </c>
      <c r="H1965" s="88" t="s">
        <v>596</v>
      </c>
    </row>
    <row r="1966" spans="1:8" x14ac:dyDescent="0.3">
      <c r="A1966" s="88" t="s">
        <v>716</v>
      </c>
      <c r="B1966" s="88">
        <v>97</v>
      </c>
      <c r="C1966" s="88">
        <v>34</v>
      </c>
      <c r="D1966" s="88" t="s">
        <v>181</v>
      </c>
      <c r="E1966" s="88" t="s">
        <v>1189</v>
      </c>
      <c r="F1966" s="88" t="s">
        <v>904</v>
      </c>
      <c r="G1966" s="88" t="s">
        <v>755</v>
      </c>
      <c r="H1966" s="88" t="s">
        <v>596</v>
      </c>
    </row>
    <row r="1967" spans="1:8" x14ac:dyDescent="0.3">
      <c r="A1967" s="88" t="s">
        <v>716</v>
      </c>
      <c r="B1967" s="88">
        <v>97</v>
      </c>
      <c r="C1967" s="88">
        <v>35</v>
      </c>
      <c r="D1967" s="88" t="s">
        <v>181</v>
      </c>
      <c r="E1967" s="88" t="s">
        <v>937</v>
      </c>
      <c r="F1967" s="88" t="s">
        <v>1067</v>
      </c>
      <c r="G1967" s="88" t="s">
        <v>758</v>
      </c>
      <c r="H1967" s="88" t="s">
        <v>596</v>
      </c>
    </row>
    <row r="1968" spans="1:8" ht="28.8" x14ac:dyDescent="0.3">
      <c r="A1968" s="88" t="s">
        <v>716</v>
      </c>
      <c r="B1968" s="88">
        <v>97</v>
      </c>
      <c r="C1968" s="88">
        <v>38</v>
      </c>
      <c r="D1968" s="88" t="s">
        <v>181</v>
      </c>
      <c r="E1968" s="88" t="s">
        <v>1723</v>
      </c>
      <c r="F1968" s="88" t="s">
        <v>1191</v>
      </c>
      <c r="G1968" s="88" t="s">
        <v>719</v>
      </c>
      <c r="H1968" s="88" t="s">
        <v>596</v>
      </c>
    </row>
    <row r="1969" spans="1:8" ht="28.8" x14ac:dyDescent="0.3">
      <c r="A1969" s="88" t="s">
        <v>716</v>
      </c>
      <c r="B1969" s="88">
        <v>97</v>
      </c>
      <c r="C1969" s="88">
        <v>39</v>
      </c>
      <c r="D1969" s="88" t="s">
        <v>181</v>
      </c>
      <c r="E1969" s="88" t="s">
        <v>1190</v>
      </c>
      <c r="F1969" s="88" t="s">
        <v>1724</v>
      </c>
      <c r="G1969" s="88" t="s">
        <v>724</v>
      </c>
      <c r="H1969" s="88" t="s">
        <v>596</v>
      </c>
    </row>
    <row r="1970" spans="1:8" x14ac:dyDescent="0.3">
      <c r="A1970" s="88" t="s">
        <v>716</v>
      </c>
      <c r="B1970" s="88">
        <v>98</v>
      </c>
      <c r="C1970" s="88">
        <v>32</v>
      </c>
      <c r="D1970" s="88" t="s">
        <v>182</v>
      </c>
      <c r="E1970" s="88" t="s">
        <v>666</v>
      </c>
      <c r="F1970" s="88" t="s">
        <v>1149</v>
      </c>
      <c r="G1970" s="88" t="s">
        <v>749</v>
      </c>
      <c r="H1970" s="88" t="s">
        <v>596</v>
      </c>
    </row>
    <row r="1971" spans="1:8" x14ac:dyDescent="0.3">
      <c r="A1971" s="88" t="s">
        <v>716</v>
      </c>
      <c r="B1971" s="88">
        <v>98</v>
      </c>
      <c r="C1971" s="88">
        <v>33</v>
      </c>
      <c r="D1971" s="88" t="s">
        <v>182</v>
      </c>
      <c r="E1971" s="88" t="s">
        <v>1076</v>
      </c>
      <c r="F1971" s="88" t="s">
        <v>1150</v>
      </c>
      <c r="G1971" s="88" t="s">
        <v>752</v>
      </c>
      <c r="H1971" s="88" t="s">
        <v>596</v>
      </c>
    </row>
    <row r="1972" spans="1:8" x14ac:dyDescent="0.3">
      <c r="A1972" s="88" t="s">
        <v>716</v>
      </c>
      <c r="B1972" s="88">
        <v>98</v>
      </c>
      <c r="C1972" s="88">
        <v>34</v>
      </c>
      <c r="D1972" s="88" t="s">
        <v>182</v>
      </c>
      <c r="E1972" s="88" t="s">
        <v>1192</v>
      </c>
      <c r="F1972" s="88" t="s">
        <v>1071</v>
      </c>
      <c r="G1972" s="88" t="s">
        <v>755</v>
      </c>
      <c r="H1972" s="88" t="s">
        <v>596</v>
      </c>
    </row>
    <row r="1973" spans="1:8" x14ac:dyDescent="0.3">
      <c r="A1973" s="88" t="s">
        <v>716</v>
      </c>
      <c r="B1973" s="88">
        <v>98</v>
      </c>
      <c r="C1973" s="88">
        <v>35</v>
      </c>
      <c r="D1973" s="88" t="s">
        <v>182</v>
      </c>
      <c r="E1973" s="88" t="s">
        <v>993</v>
      </c>
      <c r="F1973" s="88" t="s">
        <v>903</v>
      </c>
      <c r="G1973" s="88" t="s">
        <v>758</v>
      </c>
      <c r="H1973" s="88" t="s">
        <v>596</v>
      </c>
    </row>
    <row r="1974" spans="1:8" ht="28.8" x14ac:dyDescent="0.3">
      <c r="A1974" s="88" t="s">
        <v>716</v>
      </c>
      <c r="B1974" s="88">
        <v>98</v>
      </c>
      <c r="C1974" s="88">
        <v>38</v>
      </c>
      <c r="D1974" s="88" t="s">
        <v>182</v>
      </c>
      <c r="E1974" s="88" t="s">
        <v>1725</v>
      </c>
      <c r="F1974" s="88" t="s">
        <v>1193</v>
      </c>
      <c r="G1974" s="88" t="s">
        <v>719</v>
      </c>
      <c r="H1974" s="88" t="s">
        <v>596</v>
      </c>
    </row>
    <row r="1975" spans="1:8" ht="28.8" x14ac:dyDescent="0.3">
      <c r="A1975" s="88" t="s">
        <v>716</v>
      </c>
      <c r="B1975" s="88">
        <v>98</v>
      </c>
      <c r="C1975" s="88">
        <v>39</v>
      </c>
      <c r="D1975" s="88" t="s">
        <v>182</v>
      </c>
      <c r="E1975" s="88" t="s">
        <v>905</v>
      </c>
      <c r="F1975" s="88" t="s">
        <v>1195</v>
      </c>
      <c r="G1975" s="88" t="s">
        <v>724</v>
      </c>
      <c r="H1975" s="88" t="s">
        <v>596</v>
      </c>
    </row>
    <row r="1976" spans="1:8" x14ac:dyDescent="0.3">
      <c r="A1976" s="88" t="s">
        <v>716</v>
      </c>
      <c r="B1976" s="88">
        <v>99</v>
      </c>
      <c r="C1976" s="88">
        <v>32</v>
      </c>
      <c r="D1976" s="88" t="s">
        <v>183</v>
      </c>
      <c r="E1976" s="88" t="s">
        <v>1726</v>
      </c>
      <c r="F1976" s="88" t="s">
        <v>1155</v>
      </c>
      <c r="G1976" s="88" t="s">
        <v>749</v>
      </c>
      <c r="H1976" s="88" t="s">
        <v>596</v>
      </c>
    </row>
    <row r="1977" spans="1:8" x14ac:dyDescent="0.3">
      <c r="A1977" s="88" t="s">
        <v>716</v>
      </c>
      <c r="B1977" s="88">
        <v>99</v>
      </c>
      <c r="C1977" s="88">
        <v>33</v>
      </c>
      <c r="D1977" s="88" t="s">
        <v>183</v>
      </c>
      <c r="E1977" s="88" t="s">
        <v>923</v>
      </c>
      <c r="F1977" s="88" t="s">
        <v>1156</v>
      </c>
      <c r="G1977" s="88" t="s">
        <v>752</v>
      </c>
      <c r="H1977" s="88" t="s">
        <v>596</v>
      </c>
    </row>
    <row r="1978" spans="1:8" x14ac:dyDescent="0.3">
      <c r="A1978" s="88" t="s">
        <v>716</v>
      </c>
      <c r="B1978" s="88">
        <v>99</v>
      </c>
      <c r="C1978" s="88">
        <v>34</v>
      </c>
      <c r="D1978" s="88" t="s">
        <v>183</v>
      </c>
      <c r="E1978" s="88" t="s">
        <v>1196</v>
      </c>
      <c r="F1978" s="88" t="s">
        <v>1081</v>
      </c>
      <c r="G1978" s="88" t="s">
        <v>755</v>
      </c>
      <c r="H1978" s="88" t="s">
        <v>596</v>
      </c>
    </row>
    <row r="1979" spans="1:8" x14ac:dyDescent="0.3">
      <c r="A1979" s="88" t="s">
        <v>716</v>
      </c>
      <c r="B1979" s="88">
        <v>99</v>
      </c>
      <c r="C1979" s="88">
        <v>35</v>
      </c>
      <c r="D1979" s="88" t="s">
        <v>183</v>
      </c>
      <c r="E1979" s="88" t="s">
        <v>656</v>
      </c>
      <c r="F1979" s="88" t="s">
        <v>919</v>
      </c>
      <c r="G1979" s="88" t="s">
        <v>758</v>
      </c>
      <c r="H1979" s="88" t="s">
        <v>596</v>
      </c>
    </row>
    <row r="1980" spans="1:8" ht="28.8" x14ac:dyDescent="0.3">
      <c r="A1980" s="88" t="s">
        <v>716</v>
      </c>
      <c r="B1980" s="88">
        <v>99</v>
      </c>
      <c r="C1980" s="88">
        <v>38</v>
      </c>
      <c r="D1980" s="88" t="s">
        <v>183</v>
      </c>
      <c r="E1980" s="88" t="s">
        <v>1727</v>
      </c>
      <c r="F1980" s="88" t="s">
        <v>1198</v>
      </c>
      <c r="G1980" s="88" t="s">
        <v>719</v>
      </c>
      <c r="H1980" s="88" t="s">
        <v>596</v>
      </c>
    </row>
    <row r="1981" spans="1:8" ht="28.8" x14ac:dyDescent="0.3">
      <c r="A1981" s="88" t="s">
        <v>716</v>
      </c>
      <c r="B1981" s="88">
        <v>99</v>
      </c>
      <c r="C1981" s="88">
        <v>39</v>
      </c>
      <c r="D1981" s="88" t="s">
        <v>183</v>
      </c>
      <c r="E1981" s="88" t="s">
        <v>788</v>
      </c>
      <c r="F1981" s="88" t="s">
        <v>1728</v>
      </c>
      <c r="G1981" s="88" t="s">
        <v>724</v>
      </c>
      <c r="H1981" s="88" t="s">
        <v>596</v>
      </c>
    </row>
    <row r="1982" spans="1:8" x14ac:dyDescent="0.3">
      <c r="A1982" s="88" t="s">
        <v>716</v>
      </c>
      <c r="B1982" s="88">
        <v>100</v>
      </c>
      <c r="C1982" s="88">
        <v>32</v>
      </c>
      <c r="D1982" s="88" t="s">
        <v>184</v>
      </c>
      <c r="E1982" s="88" t="s">
        <v>1729</v>
      </c>
      <c r="F1982" s="88" t="s">
        <v>1117</v>
      </c>
      <c r="G1982" s="88" t="s">
        <v>749</v>
      </c>
      <c r="H1982" s="88" t="s">
        <v>596</v>
      </c>
    </row>
    <row r="1983" spans="1:8" x14ac:dyDescent="0.3">
      <c r="A1983" s="88" t="s">
        <v>716</v>
      </c>
      <c r="B1983" s="88">
        <v>100</v>
      </c>
      <c r="C1983" s="88">
        <v>33</v>
      </c>
      <c r="D1983" s="88" t="s">
        <v>184</v>
      </c>
      <c r="E1983" s="88" t="s">
        <v>757</v>
      </c>
      <c r="F1983" s="88" t="s">
        <v>1199</v>
      </c>
      <c r="G1983" s="88" t="s">
        <v>752</v>
      </c>
      <c r="H1983" s="88" t="s">
        <v>596</v>
      </c>
    </row>
    <row r="1984" spans="1:8" x14ac:dyDescent="0.3">
      <c r="A1984" s="88" t="s">
        <v>716</v>
      </c>
      <c r="B1984" s="88">
        <v>100</v>
      </c>
      <c r="C1984" s="88">
        <v>34</v>
      </c>
      <c r="D1984" s="88" t="s">
        <v>184</v>
      </c>
      <c r="E1984" s="88" t="s">
        <v>1162</v>
      </c>
      <c r="F1984" s="88" t="s">
        <v>972</v>
      </c>
      <c r="G1984" s="88" t="s">
        <v>755</v>
      </c>
      <c r="H1984" s="88" t="s">
        <v>596</v>
      </c>
    </row>
    <row r="1985" spans="1:8" x14ac:dyDescent="0.3">
      <c r="A1985" s="88" t="s">
        <v>716</v>
      </c>
      <c r="B1985" s="88">
        <v>100</v>
      </c>
      <c r="C1985" s="88">
        <v>35</v>
      </c>
      <c r="D1985" s="88" t="s">
        <v>184</v>
      </c>
      <c r="E1985" s="88" t="s">
        <v>1200</v>
      </c>
      <c r="F1985" s="88" t="s">
        <v>805</v>
      </c>
      <c r="G1985" s="88" t="s">
        <v>758</v>
      </c>
      <c r="H1985" s="88" t="s">
        <v>596</v>
      </c>
    </row>
    <row r="1986" spans="1:8" ht="28.8" x14ac:dyDescent="0.3">
      <c r="A1986" s="88" t="s">
        <v>716</v>
      </c>
      <c r="B1986" s="88">
        <v>100</v>
      </c>
      <c r="C1986" s="88">
        <v>38</v>
      </c>
      <c r="D1986" s="88" t="s">
        <v>184</v>
      </c>
      <c r="E1986" s="88" t="s">
        <v>1730</v>
      </c>
      <c r="F1986" s="88" t="s">
        <v>1201</v>
      </c>
      <c r="G1986" s="88" t="s">
        <v>719</v>
      </c>
      <c r="H1986" s="88" t="s">
        <v>596</v>
      </c>
    </row>
    <row r="1987" spans="1:8" ht="28.8" x14ac:dyDescent="0.3">
      <c r="A1987" s="88" t="s">
        <v>716</v>
      </c>
      <c r="B1987" s="88">
        <v>100</v>
      </c>
      <c r="C1987" s="88">
        <v>39</v>
      </c>
      <c r="D1987" s="88" t="s">
        <v>184</v>
      </c>
      <c r="E1987" s="88" t="s">
        <v>894</v>
      </c>
      <c r="F1987" s="88" t="s">
        <v>1731</v>
      </c>
      <c r="G1987" s="88" t="s">
        <v>724</v>
      </c>
      <c r="H1987" s="88" t="s">
        <v>596</v>
      </c>
    </row>
    <row r="1988" spans="1:8" x14ac:dyDescent="0.3">
      <c r="A1988" s="88" t="s">
        <v>716</v>
      </c>
      <c r="B1988" s="88">
        <v>101</v>
      </c>
      <c r="C1988" s="88">
        <v>32</v>
      </c>
      <c r="D1988" s="88" t="s">
        <v>185</v>
      </c>
      <c r="E1988" s="88" t="s">
        <v>666</v>
      </c>
      <c r="F1988" s="88" t="s">
        <v>927</v>
      </c>
      <c r="G1988" s="88" t="s">
        <v>749</v>
      </c>
      <c r="H1988" s="88" t="s">
        <v>596</v>
      </c>
    </row>
    <row r="1989" spans="1:8" x14ac:dyDescent="0.3">
      <c r="A1989" s="88" t="s">
        <v>716</v>
      </c>
      <c r="B1989" s="88">
        <v>101</v>
      </c>
      <c r="C1989" s="88">
        <v>33</v>
      </c>
      <c r="D1989" s="88" t="s">
        <v>185</v>
      </c>
      <c r="E1989" s="88" t="s">
        <v>916</v>
      </c>
      <c r="F1989" s="88" t="s">
        <v>1162</v>
      </c>
      <c r="G1989" s="88" t="s">
        <v>752</v>
      </c>
      <c r="H1989" s="88" t="s">
        <v>596</v>
      </c>
    </row>
    <row r="1990" spans="1:8" x14ac:dyDescent="0.3">
      <c r="A1990" s="88" t="s">
        <v>716</v>
      </c>
      <c r="B1990" s="88">
        <v>101</v>
      </c>
      <c r="C1990" s="88">
        <v>34</v>
      </c>
      <c r="D1990" s="88" t="s">
        <v>185</v>
      </c>
      <c r="E1990" s="88" t="s">
        <v>1022</v>
      </c>
      <c r="F1990" s="88" t="s">
        <v>1163</v>
      </c>
      <c r="G1990" s="88" t="s">
        <v>755</v>
      </c>
      <c r="H1990" s="88" t="s">
        <v>596</v>
      </c>
    </row>
    <row r="1991" spans="1:8" x14ac:dyDescent="0.3">
      <c r="A1991" s="88" t="s">
        <v>716</v>
      </c>
      <c r="B1991" s="88">
        <v>101</v>
      </c>
      <c r="C1991" s="88">
        <v>35</v>
      </c>
      <c r="D1991" s="88" t="s">
        <v>185</v>
      </c>
      <c r="E1991" s="88" t="s">
        <v>1202</v>
      </c>
      <c r="F1991" s="88" t="s">
        <v>832</v>
      </c>
      <c r="G1991" s="88" t="s">
        <v>758</v>
      </c>
      <c r="H1991" s="88" t="s">
        <v>596</v>
      </c>
    </row>
    <row r="1992" spans="1:8" ht="28.8" x14ac:dyDescent="0.3">
      <c r="A1992" s="88" t="s">
        <v>716</v>
      </c>
      <c r="B1992" s="88">
        <v>101</v>
      </c>
      <c r="C1992" s="88">
        <v>38</v>
      </c>
      <c r="D1992" s="88" t="s">
        <v>185</v>
      </c>
      <c r="E1992" s="88" t="s">
        <v>1732</v>
      </c>
      <c r="F1992" s="88" t="s">
        <v>1733</v>
      </c>
      <c r="G1992" s="88" t="s">
        <v>719</v>
      </c>
      <c r="H1992" s="88" t="s">
        <v>596</v>
      </c>
    </row>
    <row r="1993" spans="1:8" ht="28.8" x14ac:dyDescent="0.3">
      <c r="A1993" s="88" t="s">
        <v>716</v>
      </c>
      <c r="B1993" s="88">
        <v>101</v>
      </c>
      <c r="C1993" s="88">
        <v>39</v>
      </c>
      <c r="D1993" s="88" t="s">
        <v>185</v>
      </c>
      <c r="E1993" s="88" t="s">
        <v>1733</v>
      </c>
      <c r="F1993" s="88" t="s">
        <v>1734</v>
      </c>
      <c r="G1993" s="88" t="s">
        <v>724</v>
      </c>
      <c r="H1993" s="88" t="s">
        <v>596</v>
      </c>
    </row>
    <row r="1994" spans="1:8" x14ac:dyDescent="0.3">
      <c r="A1994" s="88" t="s">
        <v>716</v>
      </c>
      <c r="B1994" s="88">
        <v>102</v>
      </c>
      <c r="C1994" s="88">
        <v>32</v>
      </c>
      <c r="D1994" s="88" t="s">
        <v>186</v>
      </c>
      <c r="E1994" s="88" t="s">
        <v>1735</v>
      </c>
      <c r="F1994" s="88" t="s">
        <v>1165</v>
      </c>
      <c r="G1994" s="88" t="s">
        <v>749</v>
      </c>
      <c r="H1994" s="88" t="s">
        <v>596</v>
      </c>
    </row>
    <row r="1995" spans="1:8" x14ac:dyDescent="0.3">
      <c r="A1995" s="88" t="s">
        <v>716</v>
      </c>
      <c r="B1995" s="88">
        <v>102</v>
      </c>
      <c r="C1995" s="88">
        <v>33</v>
      </c>
      <c r="D1995" s="88" t="s">
        <v>186</v>
      </c>
      <c r="E1995" s="88" t="s">
        <v>1203</v>
      </c>
      <c r="F1995" s="88" t="s">
        <v>1166</v>
      </c>
      <c r="G1995" s="88" t="s">
        <v>752</v>
      </c>
      <c r="H1995" s="88" t="s">
        <v>596</v>
      </c>
    </row>
    <row r="1996" spans="1:8" x14ac:dyDescent="0.3">
      <c r="A1996" s="88" t="s">
        <v>716</v>
      </c>
      <c r="B1996" s="88">
        <v>102</v>
      </c>
      <c r="C1996" s="88">
        <v>34</v>
      </c>
      <c r="D1996" s="88" t="s">
        <v>186</v>
      </c>
      <c r="E1996" s="88" t="s">
        <v>1204</v>
      </c>
      <c r="F1996" s="88" t="s">
        <v>1167</v>
      </c>
      <c r="G1996" s="88" t="s">
        <v>755</v>
      </c>
      <c r="H1996" s="88" t="s">
        <v>596</v>
      </c>
    </row>
    <row r="1997" spans="1:8" x14ac:dyDescent="0.3">
      <c r="A1997" s="88" t="s">
        <v>716</v>
      </c>
      <c r="B1997" s="88">
        <v>102</v>
      </c>
      <c r="C1997" s="88">
        <v>35</v>
      </c>
      <c r="D1997" s="88" t="s">
        <v>186</v>
      </c>
      <c r="E1997" s="88" t="s">
        <v>1205</v>
      </c>
      <c r="F1997" s="88" t="s">
        <v>1149</v>
      </c>
      <c r="G1997" s="88" t="s">
        <v>758</v>
      </c>
      <c r="H1997" s="88" t="s">
        <v>596</v>
      </c>
    </row>
    <row r="1998" spans="1:8" ht="28.8" x14ac:dyDescent="0.3">
      <c r="A1998" s="88" t="s">
        <v>716</v>
      </c>
      <c r="B1998" s="88">
        <v>102</v>
      </c>
      <c r="C1998" s="88">
        <v>38</v>
      </c>
      <c r="D1998" s="88" t="s">
        <v>186</v>
      </c>
      <c r="E1998" s="88" t="s">
        <v>1736</v>
      </c>
      <c r="F1998" s="88" t="s">
        <v>1207</v>
      </c>
      <c r="G1998" s="88" t="s">
        <v>719</v>
      </c>
      <c r="H1998" s="88" t="s">
        <v>596</v>
      </c>
    </row>
    <row r="1999" spans="1:8" ht="28.8" x14ac:dyDescent="0.3">
      <c r="A1999" s="88" t="s">
        <v>716</v>
      </c>
      <c r="B1999" s="88">
        <v>102</v>
      </c>
      <c r="C1999" s="88">
        <v>39</v>
      </c>
      <c r="D1999" s="88" t="s">
        <v>186</v>
      </c>
      <c r="E1999" s="88" t="s">
        <v>1206</v>
      </c>
      <c r="F1999" s="88" t="s">
        <v>666</v>
      </c>
      <c r="G1999" s="88" t="s">
        <v>724</v>
      </c>
      <c r="H1999" s="88" t="s">
        <v>596</v>
      </c>
    </row>
    <row r="2000" spans="1:8" ht="28.8" x14ac:dyDescent="0.3">
      <c r="A2000" s="88" t="s">
        <v>716</v>
      </c>
      <c r="B2000" s="88">
        <v>103</v>
      </c>
      <c r="C2000" s="88">
        <v>32</v>
      </c>
      <c r="D2000" s="88" t="s">
        <v>187</v>
      </c>
      <c r="E2000" s="88" t="s">
        <v>1737</v>
      </c>
      <c r="F2000" s="88" t="s">
        <v>1172</v>
      </c>
      <c r="G2000" s="88" t="s">
        <v>749</v>
      </c>
      <c r="H2000" s="88" t="s">
        <v>596</v>
      </c>
    </row>
    <row r="2001" spans="1:8" x14ac:dyDescent="0.3">
      <c r="A2001" s="88" t="s">
        <v>716</v>
      </c>
      <c r="B2001" s="88">
        <v>103</v>
      </c>
      <c r="C2001" s="88">
        <v>33</v>
      </c>
      <c r="D2001" s="88" t="s">
        <v>187</v>
      </c>
      <c r="E2001" s="88" t="s">
        <v>1053</v>
      </c>
      <c r="F2001" s="88" t="s">
        <v>1173</v>
      </c>
      <c r="G2001" s="88" t="s">
        <v>752</v>
      </c>
      <c r="H2001" s="88" t="s">
        <v>596</v>
      </c>
    </row>
    <row r="2002" spans="1:8" x14ac:dyDescent="0.3">
      <c r="A2002" s="88" t="s">
        <v>716</v>
      </c>
      <c r="B2002" s="88">
        <v>103</v>
      </c>
      <c r="C2002" s="88">
        <v>34</v>
      </c>
      <c r="D2002" s="88" t="s">
        <v>187</v>
      </c>
      <c r="E2002" s="88" t="s">
        <v>1208</v>
      </c>
      <c r="F2002" s="88" t="s">
        <v>864</v>
      </c>
      <c r="G2002" s="88" t="s">
        <v>755</v>
      </c>
      <c r="H2002" s="88" t="s">
        <v>596</v>
      </c>
    </row>
    <row r="2003" spans="1:8" x14ac:dyDescent="0.3">
      <c r="A2003" s="88" t="s">
        <v>716</v>
      </c>
      <c r="B2003" s="88">
        <v>103</v>
      </c>
      <c r="C2003" s="88">
        <v>35</v>
      </c>
      <c r="D2003" s="88" t="s">
        <v>187</v>
      </c>
      <c r="E2003" s="88" t="s">
        <v>854</v>
      </c>
      <c r="F2003" s="88" t="s">
        <v>934</v>
      </c>
      <c r="G2003" s="88" t="s">
        <v>758</v>
      </c>
      <c r="H2003" s="88" t="s">
        <v>596</v>
      </c>
    </row>
    <row r="2004" spans="1:8" ht="28.8" x14ac:dyDescent="0.3">
      <c r="A2004" s="88" t="s">
        <v>716</v>
      </c>
      <c r="B2004" s="88">
        <v>103</v>
      </c>
      <c r="C2004" s="88">
        <v>38</v>
      </c>
      <c r="D2004" s="88" t="s">
        <v>187</v>
      </c>
      <c r="E2004" s="88" t="s">
        <v>1738</v>
      </c>
      <c r="F2004" s="88" t="s">
        <v>1209</v>
      </c>
      <c r="G2004" s="88" t="s">
        <v>719</v>
      </c>
      <c r="H2004" s="88" t="s">
        <v>596</v>
      </c>
    </row>
    <row r="2005" spans="1:8" ht="28.8" x14ac:dyDescent="0.3">
      <c r="A2005" s="88" t="s">
        <v>716</v>
      </c>
      <c r="B2005" s="88">
        <v>103</v>
      </c>
      <c r="C2005" s="88">
        <v>39</v>
      </c>
      <c r="D2005" s="88" t="s">
        <v>187</v>
      </c>
      <c r="E2005" s="88" t="s">
        <v>940</v>
      </c>
      <c r="F2005" s="88" t="s">
        <v>1211</v>
      </c>
      <c r="G2005" s="88" t="s">
        <v>724</v>
      </c>
      <c r="H2005" s="88" t="s">
        <v>596</v>
      </c>
    </row>
    <row r="2006" spans="1:8" x14ac:dyDescent="0.3">
      <c r="A2006" s="88" t="s">
        <v>716</v>
      </c>
      <c r="B2006" s="88">
        <v>104</v>
      </c>
      <c r="C2006" s="88">
        <v>32</v>
      </c>
      <c r="D2006" s="88" t="s">
        <v>188</v>
      </c>
      <c r="E2006" s="88" t="s">
        <v>1739</v>
      </c>
      <c r="F2006" s="88" t="s">
        <v>822</v>
      </c>
      <c r="G2006" s="88" t="s">
        <v>749</v>
      </c>
      <c r="H2006" s="88" t="s">
        <v>596</v>
      </c>
    </row>
    <row r="2007" spans="1:8" x14ac:dyDescent="0.3">
      <c r="A2007" s="88" t="s">
        <v>716</v>
      </c>
      <c r="B2007" s="88">
        <v>104</v>
      </c>
      <c r="C2007" s="88">
        <v>33</v>
      </c>
      <c r="D2007" s="88" t="s">
        <v>188</v>
      </c>
      <c r="E2007" s="88" t="s">
        <v>1212</v>
      </c>
      <c r="F2007" s="88" t="s">
        <v>1178</v>
      </c>
      <c r="G2007" s="88" t="s">
        <v>752</v>
      </c>
      <c r="H2007" s="88" t="s">
        <v>596</v>
      </c>
    </row>
    <row r="2008" spans="1:8" x14ac:dyDescent="0.3">
      <c r="A2008" s="88" t="s">
        <v>716</v>
      </c>
      <c r="B2008" s="88">
        <v>104</v>
      </c>
      <c r="C2008" s="88">
        <v>34</v>
      </c>
      <c r="D2008" s="88" t="s">
        <v>188</v>
      </c>
      <c r="E2008" s="88" t="s">
        <v>1213</v>
      </c>
      <c r="F2008" s="88" t="s">
        <v>1179</v>
      </c>
      <c r="G2008" s="88" t="s">
        <v>755</v>
      </c>
      <c r="H2008" s="88" t="s">
        <v>596</v>
      </c>
    </row>
    <row r="2009" spans="1:8" x14ac:dyDescent="0.3">
      <c r="A2009" s="88" t="s">
        <v>716</v>
      </c>
      <c r="B2009" s="88">
        <v>104</v>
      </c>
      <c r="C2009" s="88">
        <v>35</v>
      </c>
      <c r="D2009" s="88" t="s">
        <v>188</v>
      </c>
      <c r="E2009" s="88" t="s">
        <v>1214</v>
      </c>
      <c r="F2009" s="88" t="s">
        <v>1180</v>
      </c>
      <c r="G2009" s="88" t="s">
        <v>758</v>
      </c>
      <c r="H2009" s="88" t="s">
        <v>596</v>
      </c>
    </row>
    <row r="2010" spans="1:8" ht="28.8" x14ac:dyDescent="0.3">
      <c r="A2010" s="88" t="s">
        <v>716</v>
      </c>
      <c r="B2010" s="88">
        <v>104</v>
      </c>
      <c r="C2010" s="88">
        <v>38</v>
      </c>
      <c r="D2010" s="88" t="s">
        <v>188</v>
      </c>
      <c r="E2010" s="88" t="s">
        <v>1740</v>
      </c>
      <c r="F2010" s="88" t="s">
        <v>1216</v>
      </c>
      <c r="G2010" s="88" t="s">
        <v>719</v>
      </c>
      <c r="H2010" s="88" t="s">
        <v>596</v>
      </c>
    </row>
    <row r="2011" spans="1:8" ht="28.8" x14ac:dyDescent="0.3">
      <c r="A2011" s="88" t="s">
        <v>716</v>
      </c>
      <c r="B2011" s="88">
        <v>104</v>
      </c>
      <c r="C2011" s="88">
        <v>39</v>
      </c>
      <c r="D2011" s="88" t="s">
        <v>188</v>
      </c>
      <c r="E2011" s="88" t="s">
        <v>1215</v>
      </c>
      <c r="F2011" s="88" t="s">
        <v>1218</v>
      </c>
      <c r="G2011" s="88" t="s">
        <v>724</v>
      </c>
      <c r="H2011" s="88" t="s">
        <v>596</v>
      </c>
    </row>
    <row r="2012" spans="1:8" x14ac:dyDescent="0.3">
      <c r="A2012" s="88" t="s">
        <v>716</v>
      </c>
      <c r="B2012" s="88">
        <v>105</v>
      </c>
      <c r="C2012" s="88">
        <v>32</v>
      </c>
      <c r="D2012" s="88" t="s">
        <v>189</v>
      </c>
      <c r="E2012" s="88" t="s">
        <v>1741</v>
      </c>
      <c r="F2012" s="88" t="s">
        <v>841</v>
      </c>
      <c r="G2012" s="88" t="s">
        <v>749</v>
      </c>
      <c r="H2012" s="88" t="s">
        <v>596</v>
      </c>
    </row>
    <row r="2013" spans="1:8" x14ac:dyDescent="0.3">
      <c r="A2013" s="88" t="s">
        <v>716</v>
      </c>
      <c r="B2013" s="88">
        <v>105</v>
      </c>
      <c r="C2013" s="88">
        <v>33</v>
      </c>
      <c r="D2013" s="88" t="s">
        <v>189</v>
      </c>
      <c r="E2013" s="88" t="s">
        <v>1219</v>
      </c>
      <c r="F2013" s="88" t="s">
        <v>1185</v>
      </c>
      <c r="G2013" s="88" t="s">
        <v>752</v>
      </c>
      <c r="H2013" s="88" t="s">
        <v>596</v>
      </c>
    </row>
    <row r="2014" spans="1:8" x14ac:dyDescent="0.3">
      <c r="A2014" s="88" t="s">
        <v>716</v>
      </c>
      <c r="B2014" s="88">
        <v>105</v>
      </c>
      <c r="C2014" s="88">
        <v>34</v>
      </c>
      <c r="D2014" s="88" t="s">
        <v>189</v>
      </c>
      <c r="E2014" s="88" t="s">
        <v>1220</v>
      </c>
      <c r="F2014" s="88" t="s">
        <v>1097</v>
      </c>
      <c r="G2014" s="88" t="s">
        <v>755</v>
      </c>
      <c r="H2014" s="88" t="s">
        <v>596</v>
      </c>
    </row>
    <row r="2015" spans="1:8" x14ac:dyDescent="0.3">
      <c r="A2015" s="88" t="s">
        <v>716</v>
      </c>
      <c r="B2015" s="88">
        <v>105</v>
      </c>
      <c r="C2015" s="88">
        <v>35</v>
      </c>
      <c r="D2015" s="88" t="s">
        <v>189</v>
      </c>
      <c r="E2015" s="88" t="s">
        <v>1221</v>
      </c>
      <c r="F2015" s="88" t="s">
        <v>959</v>
      </c>
      <c r="G2015" s="88" t="s">
        <v>758</v>
      </c>
      <c r="H2015" s="88" t="s">
        <v>596</v>
      </c>
    </row>
    <row r="2016" spans="1:8" ht="28.8" x14ac:dyDescent="0.3">
      <c r="A2016" s="88" t="s">
        <v>716</v>
      </c>
      <c r="B2016" s="88">
        <v>105</v>
      </c>
      <c r="C2016" s="88">
        <v>38</v>
      </c>
      <c r="D2016" s="88" t="s">
        <v>189</v>
      </c>
      <c r="E2016" s="88" t="s">
        <v>1742</v>
      </c>
      <c r="F2016" s="88" t="s">
        <v>1223</v>
      </c>
      <c r="G2016" s="88" t="s">
        <v>719</v>
      </c>
      <c r="H2016" s="88" t="s">
        <v>596</v>
      </c>
    </row>
    <row r="2017" spans="1:8" ht="28.8" x14ac:dyDescent="0.3">
      <c r="A2017" s="88" t="s">
        <v>716</v>
      </c>
      <c r="B2017" s="88">
        <v>105</v>
      </c>
      <c r="C2017" s="88">
        <v>39</v>
      </c>
      <c r="D2017" s="88" t="s">
        <v>189</v>
      </c>
      <c r="E2017" s="88" t="s">
        <v>1222</v>
      </c>
      <c r="F2017" s="88" t="s">
        <v>1225</v>
      </c>
      <c r="G2017" s="88" t="s">
        <v>724</v>
      </c>
      <c r="H2017" s="88" t="s">
        <v>596</v>
      </c>
    </row>
    <row r="2018" spans="1:8" x14ac:dyDescent="0.3">
      <c r="A2018" s="88" t="s">
        <v>716</v>
      </c>
      <c r="B2018" s="88">
        <v>106</v>
      </c>
      <c r="C2018" s="88">
        <v>32</v>
      </c>
      <c r="D2018" s="88" t="s">
        <v>190</v>
      </c>
      <c r="E2018" s="88" t="s">
        <v>1743</v>
      </c>
      <c r="F2018" s="88" t="s">
        <v>1188</v>
      </c>
      <c r="G2018" s="88" t="s">
        <v>749</v>
      </c>
      <c r="H2018" s="88" t="s">
        <v>596</v>
      </c>
    </row>
    <row r="2019" spans="1:8" x14ac:dyDescent="0.3">
      <c r="A2019" s="88" t="s">
        <v>716</v>
      </c>
      <c r="B2019" s="88">
        <v>106</v>
      </c>
      <c r="C2019" s="88">
        <v>33</v>
      </c>
      <c r="D2019" s="88" t="s">
        <v>190</v>
      </c>
      <c r="E2019" s="88" t="s">
        <v>1002</v>
      </c>
      <c r="F2019" s="88" t="s">
        <v>1189</v>
      </c>
      <c r="G2019" s="88" t="s">
        <v>752</v>
      </c>
      <c r="H2019" s="88" t="s">
        <v>596</v>
      </c>
    </row>
    <row r="2020" spans="1:8" x14ac:dyDescent="0.3">
      <c r="A2020" s="88" t="s">
        <v>716</v>
      </c>
      <c r="B2020" s="88">
        <v>106</v>
      </c>
      <c r="C2020" s="88">
        <v>34</v>
      </c>
      <c r="D2020" s="88" t="s">
        <v>190</v>
      </c>
      <c r="E2020" s="88" t="s">
        <v>779</v>
      </c>
      <c r="F2020" s="88" t="s">
        <v>937</v>
      </c>
      <c r="G2020" s="88" t="s">
        <v>755</v>
      </c>
      <c r="H2020" s="88" t="s">
        <v>596</v>
      </c>
    </row>
    <row r="2021" spans="1:8" x14ac:dyDescent="0.3">
      <c r="A2021" s="88" t="s">
        <v>716</v>
      </c>
      <c r="B2021" s="88">
        <v>106</v>
      </c>
      <c r="C2021" s="88">
        <v>35</v>
      </c>
      <c r="D2021" s="88" t="s">
        <v>190</v>
      </c>
      <c r="E2021" s="88" t="s">
        <v>1226</v>
      </c>
      <c r="F2021" s="88" t="s">
        <v>954</v>
      </c>
      <c r="G2021" s="88" t="s">
        <v>758</v>
      </c>
      <c r="H2021" s="88" t="s">
        <v>596</v>
      </c>
    </row>
    <row r="2022" spans="1:8" ht="28.8" x14ac:dyDescent="0.3">
      <c r="A2022" s="88" t="s">
        <v>716</v>
      </c>
      <c r="B2022" s="88">
        <v>106</v>
      </c>
      <c r="C2022" s="88">
        <v>38</v>
      </c>
      <c r="D2022" s="88" t="s">
        <v>190</v>
      </c>
      <c r="E2022" s="88" t="s">
        <v>1744</v>
      </c>
      <c r="F2022" s="88" t="s">
        <v>1229</v>
      </c>
      <c r="G2022" s="88" t="s">
        <v>719</v>
      </c>
      <c r="H2022" s="88" t="s">
        <v>596</v>
      </c>
    </row>
    <row r="2023" spans="1:8" ht="28.8" x14ac:dyDescent="0.3">
      <c r="A2023" s="88" t="s">
        <v>716</v>
      </c>
      <c r="B2023" s="88">
        <v>106</v>
      </c>
      <c r="C2023" s="88">
        <v>39</v>
      </c>
      <c r="D2023" s="88" t="s">
        <v>190</v>
      </c>
      <c r="E2023" s="88" t="s">
        <v>1228</v>
      </c>
      <c r="F2023" s="88" t="s">
        <v>1745</v>
      </c>
      <c r="G2023" s="88" t="s">
        <v>724</v>
      </c>
      <c r="H2023" s="88" t="s">
        <v>596</v>
      </c>
    </row>
    <row r="2024" spans="1:8" x14ac:dyDescent="0.3">
      <c r="A2024" s="88" t="s">
        <v>716</v>
      </c>
      <c r="B2024" s="88">
        <v>107</v>
      </c>
      <c r="C2024" s="88">
        <v>32</v>
      </c>
      <c r="D2024" s="88" t="s">
        <v>191</v>
      </c>
      <c r="E2024" s="88" t="s">
        <v>1746</v>
      </c>
      <c r="F2024" s="88" t="s">
        <v>1076</v>
      </c>
      <c r="G2024" s="88" t="s">
        <v>749</v>
      </c>
      <c r="H2024" s="88" t="s">
        <v>596</v>
      </c>
    </row>
    <row r="2025" spans="1:8" x14ac:dyDescent="0.3">
      <c r="A2025" s="88" t="s">
        <v>716</v>
      </c>
      <c r="B2025" s="88">
        <v>107</v>
      </c>
      <c r="C2025" s="88">
        <v>33</v>
      </c>
      <c r="D2025" s="88" t="s">
        <v>191</v>
      </c>
      <c r="E2025" s="88" t="s">
        <v>1230</v>
      </c>
      <c r="F2025" s="88" t="s">
        <v>1192</v>
      </c>
      <c r="G2025" s="88" t="s">
        <v>752</v>
      </c>
      <c r="H2025" s="88" t="s">
        <v>596</v>
      </c>
    </row>
    <row r="2026" spans="1:8" x14ac:dyDescent="0.3">
      <c r="A2026" s="88" t="s">
        <v>716</v>
      </c>
      <c r="B2026" s="88">
        <v>107</v>
      </c>
      <c r="C2026" s="88">
        <v>34</v>
      </c>
      <c r="D2026" s="88" t="s">
        <v>191</v>
      </c>
      <c r="E2026" s="88" t="s">
        <v>865</v>
      </c>
      <c r="F2026" s="88" t="s">
        <v>993</v>
      </c>
      <c r="G2026" s="88" t="s">
        <v>755</v>
      </c>
      <c r="H2026" s="88" t="s">
        <v>596</v>
      </c>
    </row>
    <row r="2027" spans="1:8" x14ac:dyDescent="0.3">
      <c r="A2027" s="88" t="s">
        <v>716</v>
      </c>
      <c r="B2027" s="88">
        <v>107</v>
      </c>
      <c r="C2027" s="88">
        <v>35</v>
      </c>
      <c r="D2027" s="88" t="s">
        <v>191</v>
      </c>
      <c r="E2027" s="88" t="s">
        <v>814</v>
      </c>
      <c r="F2027" s="88" t="s">
        <v>886</v>
      </c>
      <c r="G2027" s="88" t="s">
        <v>758</v>
      </c>
      <c r="H2027" s="88" t="s">
        <v>596</v>
      </c>
    </row>
    <row r="2028" spans="1:8" ht="28.8" x14ac:dyDescent="0.3">
      <c r="A2028" s="88" t="s">
        <v>716</v>
      </c>
      <c r="B2028" s="88">
        <v>107</v>
      </c>
      <c r="C2028" s="88">
        <v>38</v>
      </c>
      <c r="D2028" s="88" t="s">
        <v>191</v>
      </c>
      <c r="E2028" s="88" t="s">
        <v>1536</v>
      </c>
      <c r="F2028" s="88" t="s">
        <v>1232</v>
      </c>
      <c r="G2028" s="88" t="s">
        <v>719</v>
      </c>
      <c r="H2028" s="88" t="s">
        <v>596</v>
      </c>
    </row>
    <row r="2029" spans="1:8" ht="28.8" x14ac:dyDescent="0.3">
      <c r="A2029" s="88" t="s">
        <v>716</v>
      </c>
      <c r="B2029" s="88">
        <v>107</v>
      </c>
      <c r="C2029" s="88">
        <v>39</v>
      </c>
      <c r="D2029" s="88" t="s">
        <v>191</v>
      </c>
      <c r="E2029" s="88" t="s">
        <v>1160</v>
      </c>
      <c r="F2029" s="88" t="s">
        <v>1234</v>
      </c>
      <c r="G2029" s="88" t="s">
        <v>724</v>
      </c>
      <c r="H2029" s="88" t="s">
        <v>596</v>
      </c>
    </row>
    <row r="2030" spans="1:8" x14ac:dyDescent="0.3">
      <c r="A2030" s="88" t="s">
        <v>716</v>
      </c>
      <c r="B2030" s="88">
        <v>108</v>
      </c>
      <c r="C2030" s="88">
        <v>32</v>
      </c>
      <c r="D2030" s="88" t="s">
        <v>192</v>
      </c>
      <c r="E2030" s="88" t="s">
        <v>1747</v>
      </c>
      <c r="F2030" s="88" t="s">
        <v>1235</v>
      </c>
      <c r="G2030" s="88" t="s">
        <v>749</v>
      </c>
      <c r="H2030" s="88" t="s">
        <v>596</v>
      </c>
    </row>
    <row r="2031" spans="1:8" x14ac:dyDescent="0.3">
      <c r="A2031" s="88" t="s">
        <v>716</v>
      </c>
      <c r="B2031" s="88">
        <v>108</v>
      </c>
      <c r="C2031" s="88">
        <v>33</v>
      </c>
      <c r="D2031" s="88" t="s">
        <v>192</v>
      </c>
      <c r="E2031" s="88" t="s">
        <v>1071</v>
      </c>
      <c r="F2031" s="88" t="s">
        <v>1237</v>
      </c>
      <c r="G2031" s="88" t="s">
        <v>752</v>
      </c>
      <c r="H2031" s="88" t="s">
        <v>596</v>
      </c>
    </row>
    <row r="2032" spans="1:8" x14ac:dyDescent="0.3">
      <c r="A2032" s="88" t="s">
        <v>716</v>
      </c>
      <c r="B2032" s="88">
        <v>108</v>
      </c>
      <c r="C2032" s="88">
        <v>34</v>
      </c>
      <c r="D2032" s="88" t="s">
        <v>192</v>
      </c>
      <c r="E2032" s="88" t="s">
        <v>1236</v>
      </c>
      <c r="F2032" s="88" t="s">
        <v>1130</v>
      </c>
      <c r="G2032" s="88" t="s">
        <v>755</v>
      </c>
      <c r="H2032" s="88" t="s">
        <v>596</v>
      </c>
    </row>
    <row r="2033" spans="1:8" x14ac:dyDescent="0.3">
      <c r="A2033" s="88" t="s">
        <v>716</v>
      </c>
      <c r="B2033" s="88">
        <v>108</v>
      </c>
      <c r="C2033" s="88">
        <v>35</v>
      </c>
      <c r="D2033" s="88" t="s">
        <v>192</v>
      </c>
      <c r="E2033" s="88" t="s">
        <v>933</v>
      </c>
      <c r="F2033" s="88" t="s">
        <v>1130</v>
      </c>
      <c r="G2033" s="88" t="s">
        <v>758</v>
      </c>
      <c r="H2033" s="88" t="s">
        <v>596</v>
      </c>
    </row>
    <row r="2034" spans="1:8" ht="28.8" x14ac:dyDescent="0.3">
      <c r="A2034" s="88" t="s">
        <v>716</v>
      </c>
      <c r="B2034" s="88">
        <v>108</v>
      </c>
      <c r="C2034" s="88">
        <v>38</v>
      </c>
      <c r="D2034" s="88" t="s">
        <v>192</v>
      </c>
      <c r="E2034" s="88" t="s">
        <v>1748</v>
      </c>
      <c r="F2034" s="88" t="s">
        <v>1239</v>
      </c>
      <c r="G2034" s="88" t="s">
        <v>719</v>
      </c>
      <c r="H2034" s="88" t="s">
        <v>596</v>
      </c>
    </row>
    <row r="2035" spans="1:8" ht="28.8" x14ac:dyDescent="0.3">
      <c r="A2035" s="88" t="s">
        <v>716</v>
      </c>
      <c r="B2035" s="88">
        <v>108</v>
      </c>
      <c r="C2035" s="88">
        <v>39</v>
      </c>
      <c r="D2035" s="88" t="s">
        <v>192</v>
      </c>
      <c r="E2035" s="88" t="s">
        <v>1238</v>
      </c>
      <c r="F2035" s="88" t="s">
        <v>1749</v>
      </c>
      <c r="G2035" s="88" t="s">
        <v>724</v>
      </c>
      <c r="H2035" s="88" t="s">
        <v>596</v>
      </c>
    </row>
    <row r="2036" spans="1:8" x14ac:dyDescent="0.3">
      <c r="A2036" s="88" t="s">
        <v>716</v>
      </c>
      <c r="B2036" s="88">
        <v>109</v>
      </c>
      <c r="C2036" s="88">
        <v>32</v>
      </c>
      <c r="D2036" s="88" t="s">
        <v>193</v>
      </c>
      <c r="E2036" s="88" t="s">
        <v>666</v>
      </c>
      <c r="F2036" s="88" t="s">
        <v>864</v>
      </c>
      <c r="G2036" s="88" t="s">
        <v>749</v>
      </c>
      <c r="H2036" s="88" t="s">
        <v>596</v>
      </c>
    </row>
    <row r="2037" spans="1:8" x14ac:dyDescent="0.3">
      <c r="A2037" s="88" t="s">
        <v>716</v>
      </c>
      <c r="B2037" s="88">
        <v>109</v>
      </c>
      <c r="C2037" s="88">
        <v>33</v>
      </c>
      <c r="D2037" s="88" t="s">
        <v>193</v>
      </c>
      <c r="E2037" s="88" t="s">
        <v>1149</v>
      </c>
      <c r="F2037" s="88" t="s">
        <v>1080</v>
      </c>
      <c r="G2037" s="88" t="s">
        <v>752</v>
      </c>
      <c r="H2037" s="88" t="s">
        <v>596</v>
      </c>
    </row>
    <row r="2038" spans="1:8" x14ac:dyDescent="0.3">
      <c r="A2038" s="88" t="s">
        <v>716</v>
      </c>
      <c r="B2038" s="88">
        <v>109</v>
      </c>
      <c r="C2038" s="88">
        <v>34</v>
      </c>
      <c r="D2038" s="88" t="s">
        <v>193</v>
      </c>
      <c r="E2038" s="88" t="s">
        <v>1240</v>
      </c>
      <c r="F2038" s="88" t="s">
        <v>753</v>
      </c>
      <c r="G2038" s="88" t="s">
        <v>755</v>
      </c>
      <c r="H2038" s="88" t="s">
        <v>596</v>
      </c>
    </row>
    <row r="2039" spans="1:8" x14ac:dyDescent="0.3">
      <c r="A2039" s="88" t="s">
        <v>716</v>
      </c>
      <c r="B2039" s="88">
        <v>109</v>
      </c>
      <c r="C2039" s="88">
        <v>35</v>
      </c>
      <c r="D2039" s="88" t="s">
        <v>193</v>
      </c>
      <c r="E2039" s="88" t="s">
        <v>926</v>
      </c>
      <c r="F2039" s="88" t="s">
        <v>1241</v>
      </c>
      <c r="G2039" s="88" t="s">
        <v>758</v>
      </c>
      <c r="H2039" s="88" t="s">
        <v>596</v>
      </c>
    </row>
    <row r="2040" spans="1:8" ht="28.8" x14ac:dyDescent="0.3">
      <c r="A2040" s="88" t="s">
        <v>716</v>
      </c>
      <c r="B2040" s="88">
        <v>109</v>
      </c>
      <c r="C2040" s="88">
        <v>38</v>
      </c>
      <c r="D2040" s="88" t="s">
        <v>193</v>
      </c>
      <c r="E2040" s="88" t="s">
        <v>1750</v>
      </c>
      <c r="F2040" s="88" t="s">
        <v>1242</v>
      </c>
      <c r="G2040" s="88" t="s">
        <v>719</v>
      </c>
      <c r="H2040" s="88" t="s">
        <v>596</v>
      </c>
    </row>
    <row r="2041" spans="1:8" ht="28.8" x14ac:dyDescent="0.3">
      <c r="A2041" s="88" t="s">
        <v>716</v>
      </c>
      <c r="B2041" s="88">
        <v>109</v>
      </c>
      <c r="C2041" s="88">
        <v>39</v>
      </c>
      <c r="D2041" s="88" t="s">
        <v>193</v>
      </c>
      <c r="E2041" s="88" t="s">
        <v>955</v>
      </c>
      <c r="F2041" s="88" t="s">
        <v>1244</v>
      </c>
      <c r="G2041" s="88" t="s">
        <v>724</v>
      </c>
      <c r="H2041" s="88" t="s">
        <v>596</v>
      </c>
    </row>
    <row r="2042" spans="1:8" x14ac:dyDescent="0.3">
      <c r="A2042" s="88" t="s">
        <v>716</v>
      </c>
      <c r="B2042" s="88">
        <v>110</v>
      </c>
      <c r="C2042" s="88">
        <v>32</v>
      </c>
      <c r="D2042" s="88" t="s">
        <v>194</v>
      </c>
      <c r="E2042" s="88" t="s">
        <v>1751</v>
      </c>
      <c r="F2042" s="88" t="s">
        <v>923</v>
      </c>
      <c r="G2042" s="88" t="s">
        <v>749</v>
      </c>
      <c r="H2042" s="88" t="s">
        <v>596</v>
      </c>
    </row>
    <row r="2043" spans="1:8" x14ac:dyDescent="0.3">
      <c r="A2043" s="88" t="s">
        <v>716</v>
      </c>
      <c r="B2043" s="88">
        <v>110</v>
      </c>
      <c r="C2043" s="88">
        <v>33</v>
      </c>
      <c r="D2043" s="88" t="s">
        <v>194</v>
      </c>
      <c r="E2043" s="88" t="s">
        <v>1013</v>
      </c>
      <c r="F2043" s="88" t="s">
        <v>1196</v>
      </c>
      <c r="G2043" s="88" t="s">
        <v>752</v>
      </c>
      <c r="H2043" s="88" t="s">
        <v>596</v>
      </c>
    </row>
    <row r="2044" spans="1:8" x14ac:dyDescent="0.3">
      <c r="A2044" s="88" t="s">
        <v>716</v>
      </c>
      <c r="B2044" s="88">
        <v>110</v>
      </c>
      <c r="C2044" s="88">
        <v>34</v>
      </c>
      <c r="D2044" s="88" t="s">
        <v>194</v>
      </c>
      <c r="E2044" s="88" t="s">
        <v>1245</v>
      </c>
      <c r="F2044" s="88" t="s">
        <v>656</v>
      </c>
      <c r="G2044" s="88" t="s">
        <v>755</v>
      </c>
      <c r="H2044" s="88" t="s">
        <v>596</v>
      </c>
    </row>
    <row r="2045" spans="1:8" x14ac:dyDescent="0.3">
      <c r="A2045" s="88" t="s">
        <v>716</v>
      </c>
      <c r="B2045" s="88">
        <v>110</v>
      </c>
      <c r="C2045" s="88">
        <v>35</v>
      </c>
      <c r="D2045" s="88" t="s">
        <v>194</v>
      </c>
      <c r="E2045" s="88" t="s">
        <v>1123</v>
      </c>
      <c r="F2045" s="88" t="s">
        <v>1197</v>
      </c>
      <c r="G2045" s="88" t="s">
        <v>758</v>
      </c>
      <c r="H2045" s="88" t="s">
        <v>596</v>
      </c>
    </row>
    <row r="2046" spans="1:8" ht="28.8" x14ac:dyDescent="0.3">
      <c r="A2046" s="88" t="s">
        <v>716</v>
      </c>
      <c r="B2046" s="88">
        <v>110</v>
      </c>
      <c r="C2046" s="88">
        <v>38</v>
      </c>
      <c r="D2046" s="88" t="s">
        <v>194</v>
      </c>
      <c r="E2046" s="88" t="s">
        <v>1752</v>
      </c>
      <c r="F2046" s="88" t="s">
        <v>1247</v>
      </c>
      <c r="G2046" s="88" t="s">
        <v>719</v>
      </c>
      <c r="H2046" s="88" t="s">
        <v>596</v>
      </c>
    </row>
    <row r="2047" spans="1:8" ht="28.8" x14ac:dyDescent="0.3">
      <c r="A2047" s="88" t="s">
        <v>716</v>
      </c>
      <c r="B2047" s="88">
        <v>110</v>
      </c>
      <c r="C2047" s="88">
        <v>39</v>
      </c>
      <c r="D2047" s="88" t="s">
        <v>194</v>
      </c>
      <c r="E2047" s="88" t="s">
        <v>1246</v>
      </c>
      <c r="F2047" s="88" t="s">
        <v>1753</v>
      </c>
      <c r="G2047" s="88" t="s">
        <v>724</v>
      </c>
      <c r="H2047" s="88" t="s">
        <v>596</v>
      </c>
    </row>
    <row r="2048" spans="1:8" x14ac:dyDescent="0.3">
      <c r="A2048" s="88" t="s">
        <v>716</v>
      </c>
      <c r="B2048" s="88">
        <v>111</v>
      </c>
      <c r="C2048" s="88">
        <v>32</v>
      </c>
      <c r="D2048" s="88" t="s">
        <v>195</v>
      </c>
      <c r="E2048" s="88" t="s">
        <v>1754</v>
      </c>
      <c r="F2048" s="88" t="s">
        <v>757</v>
      </c>
      <c r="G2048" s="88" t="s">
        <v>749</v>
      </c>
      <c r="H2048" s="88" t="s">
        <v>596</v>
      </c>
    </row>
    <row r="2049" spans="1:8" x14ac:dyDescent="0.3">
      <c r="A2049" s="88" t="s">
        <v>716</v>
      </c>
      <c r="B2049" s="88">
        <v>111</v>
      </c>
      <c r="C2049" s="88">
        <v>33</v>
      </c>
      <c r="D2049" s="88" t="s">
        <v>195</v>
      </c>
      <c r="E2049" s="88" t="s">
        <v>921</v>
      </c>
      <c r="F2049" s="88" t="s">
        <v>1162</v>
      </c>
      <c r="G2049" s="88" t="s">
        <v>752</v>
      </c>
      <c r="H2049" s="88" t="s">
        <v>596</v>
      </c>
    </row>
    <row r="2050" spans="1:8" x14ac:dyDescent="0.3">
      <c r="A2050" s="88" t="s">
        <v>716</v>
      </c>
      <c r="B2050" s="88">
        <v>111</v>
      </c>
      <c r="C2050" s="88">
        <v>34</v>
      </c>
      <c r="D2050" s="88" t="s">
        <v>195</v>
      </c>
      <c r="E2050" s="88" t="s">
        <v>1248</v>
      </c>
      <c r="F2050" s="88" t="s">
        <v>1200</v>
      </c>
      <c r="G2050" s="88" t="s">
        <v>755</v>
      </c>
      <c r="H2050" s="88" t="s">
        <v>596</v>
      </c>
    </row>
    <row r="2051" spans="1:8" x14ac:dyDescent="0.3">
      <c r="A2051" s="88" t="s">
        <v>716</v>
      </c>
      <c r="B2051" s="88">
        <v>111</v>
      </c>
      <c r="C2051" s="88">
        <v>35</v>
      </c>
      <c r="D2051" s="88" t="s">
        <v>195</v>
      </c>
      <c r="E2051" s="88" t="s">
        <v>848</v>
      </c>
      <c r="F2051" s="88" t="s">
        <v>1097</v>
      </c>
      <c r="G2051" s="88" t="s">
        <v>758</v>
      </c>
      <c r="H2051" s="88" t="s">
        <v>596</v>
      </c>
    </row>
    <row r="2052" spans="1:8" ht="28.8" x14ac:dyDescent="0.3">
      <c r="A2052" s="88" t="s">
        <v>716</v>
      </c>
      <c r="B2052" s="88">
        <v>111</v>
      </c>
      <c r="C2052" s="88">
        <v>38</v>
      </c>
      <c r="D2052" s="88" t="s">
        <v>195</v>
      </c>
      <c r="E2052" s="88" t="s">
        <v>1755</v>
      </c>
      <c r="F2052" s="88" t="s">
        <v>1249</v>
      </c>
      <c r="G2052" s="88" t="s">
        <v>719</v>
      </c>
      <c r="H2052" s="88" t="s">
        <v>596</v>
      </c>
    </row>
    <row r="2053" spans="1:8" ht="28.8" x14ac:dyDescent="0.3">
      <c r="A2053" s="88" t="s">
        <v>716</v>
      </c>
      <c r="B2053" s="88">
        <v>111</v>
      </c>
      <c r="C2053" s="88">
        <v>39</v>
      </c>
      <c r="D2053" s="88" t="s">
        <v>195</v>
      </c>
      <c r="E2053" s="88" t="s">
        <v>895</v>
      </c>
      <c r="F2053" s="88" t="s">
        <v>1756</v>
      </c>
      <c r="G2053" s="88" t="s">
        <v>724</v>
      </c>
      <c r="H2053" s="88" t="s">
        <v>596</v>
      </c>
    </row>
    <row r="2054" spans="1:8" x14ac:dyDescent="0.3">
      <c r="A2054" s="88" t="s">
        <v>716</v>
      </c>
      <c r="B2054" s="88">
        <v>112</v>
      </c>
      <c r="C2054" s="88">
        <v>32</v>
      </c>
      <c r="D2054" s="88" t="s">
        <v>196</v>
      </c>
      <c r="E2054" s="88" t="s">
        <v>1757</v>
      </c>
      <c r="F2054" s="88" t="s">
        <v>916</v>
      </c>
      <c r="G2054" s="88" t="s">
        <v>749</v>
      </c>
      <c r="H2054" s="88" t="s">
        <v>596</v>
      </c>
    </row>
    <row r="2055" spans="1:8" x14ac:dyDescent="0.3">
      <c r="A2055" s="88" t="s">
        <v>716</v>
      </c>
      <c r="B2055" s="88">
        <v>112</v>
      </c>
      <c r="C2055" s="88">
        <v>33</v>
      </c>
      <c r="D2055" s="88" t="s">
        <v>196</v>
      </c>
      <c r="E2055" s="88" t="s">
        <v>1219</v>
      </c>
      <c r="F2055" s="88" t="s">
        <v>1022</v>
      </c>
      <c r="G2055" s="88" t="s">
        <v>752</v>
      </c>
      <c r="H2055" s="88" t="s">
        <v>596</v>
      </c>
    </row>
    <row r="2056" spans="1:8" x14ac:dyDescent="0.3">
      <c r="A2056" s="88" t="s">
        <v>716</v>
      </c>
      <c r="B2056" s="88">
        <v>112</v>
      </c>
      <c r="C2056" s="88">
        <v>34</v>
      </c>
      <c r="D2056" s="88" t="s">
        <v>196</v>
      </c>
      <c r="E2056" s="88" t="s">
        <v>1250</v>
      </c>
      <c r="F2056" s="88" t="s">
        <v>1202</v>
      </c>
      <c r="G2056" s="88" t="s">
        <v>755</v>
      </c>
      <c r="H2056" s="88" t="s">
        <v>596</v>
      </c>
    </row>
    <row r="2057" spans="1:8" x14ac:dyDescent="0.3">
      <c r="A2057" s="88" t="s">
        <v>716</v>
      </c>
      <c r="B2057" s="88">
        <v>112</v>
      </c>
      <c r="C2057" s="88">
        <v>35</v>
      </c>
      <c r="D2057" s="88" t="s">
        <v>196</v>
      </c>
      <c r="E2057" s="88" t="s">
        <v>1251</v>
      </c>
      <c r="F2057" s="88" t="s">
        <v>986</v>
      </c>
      <c r="G2057" s="88" t="s">
        <v>758</v>
      </c>
      <c r="H2057" s="88" t="s">
        <v>596</v>
      </c>
    </row>
    <row r="2058" spans="1:8" ht="28.8" x14ac:dyDescent="0.3">
      <c r="A2058" s="88" t="s">
        <v>716</v>
      </c>
      <c r="B2058" s="88">
        <v>112</v>
      </c>
      <c r="C2058" s="88">
        <v>38</v>
      </c>
      <c r="D2058" s="88" t="s">
        <v>196</v>
      </c>
      <c r="E2058" s="88" t="s">
        <v>1758</v>
      </c>
      <c r="F2058" s="88" t="s">
        <v>1252</v>
      </c>
      <c r="G2058" s="88" t="s">
        <v>719</v>
      </c>
      <c r="H2058" s="88" t="s">
        <v>596</v>
      </c>
    </row>
    <row r="2059" spans="1:8" ht="28.8" x14ac:dyDescent="0.3">
      <c r="A2059" s="88" t="s">
        <v>716</v>
      </c>
      <c r="B2059" s="88">
        <v>112</v>
      </c>
      <c r="C2059" s="88">
        <v>39</v>
      </c>
      <c r="D2059" s="88" t="s">
        <v>196</v>
      </c>
      <c r="E2059" s="88" t="s">
        <v>850</v>
      </c>
      <c r="F2059" s="88" t="s">
        <v>1759</v>
      </c>
      <c r="G2059" s="88" t="s">
        <v>724</v>
      </c>
      <c r="H2059" s="88" t="s">
        <v>596</v>
      </c>
    </row>
    <row r="2060" spans="1:8" ht="28.8" x14ac:dyDescent="0.3">
      <c r="A2060" s="88" t="s">
        <v>716</v>
      </c>
      <c r="B2060" s="88">
        <v>113</v>
      </c>
      <c r="C2060" s="88">
        <v>32</v>
      </c>
      <c r="D2060" s="88" t="s">
        <v>197</v>
      </c>
      <c r="E2060" s="88" t="s">
        <v>1760</v>
      </c>
      <c r="F2060" s="88" t="s">
        <v>1203</v>
      </c>
      <c r="G2060" s="88" t="s">
        <v>749</v>
      </c>
      <c r="H2060" s="88" t="s">
        <v>596</v>
      </c>
    </row>
    <row r="2061" spans="1:8" x14ac:dyDescent="0.3">
      <c r="A2061" s="88" t="s">
        <v>716</v>
      </c>
      <c r="B2061" s="88">
        <v>113</v>
      </c>
      <c r="C2061" s="88">
        <v>33</v>
      </c>
      <c r="D2061" s="88" t="s">
        <v>197</v>
      </c>
      <c r="E2061" s="88" t="s">
        <v>1070</v>
      </c>
      <c r="F2061" s="88" t="s">
        <v>1204</v>
      </c>
      <c r="G2061" s="88" t="s">
        <v>752</v>
      </c>
      <c r="H2061" s="88" t="s">
        <v>596</v>
      </c>
    </row>
    <row r="2062" spans="1:8" x14ac:dyDescent="0.3">
      <c r="A2062" s="88" t="s">
        <v>716</v>
      </c>
      <c r="B2062" s="88">
        <v>113</v>
      </c>
      <c r="C2062" s="88">
        <v>34</v>
      </c>
      <c r="D2062" s="88" t="s">
        <v>197</v>
      </c>
      <c r="E2062" s="88" t="s">
        <v>1253</v>
      </c>
      <c r="F2062" s="88" t="s">
        <v>1205</v>
      </c>
      <c r="G2062" s="88" t="s">
        <v>755</v>
      </c>
      <c r="H2062" s="88" t="s">
        <v>596</v>
      </c>
    </row>
    <row r="2063" spans="1:8" x14ac:dyDescent="0.3">
      <c r="A2063" s="88" t="s">
        <v>716</v>
      </c>
      <c r="B2063" s="88">
        <v>113</v>
      </c>
      <c r="C2063" s="88">
        <v>35</v>
      </c>
      <c r="D2063" s="88" t="s">
        <v>197</v>
      </c>
      <c r="E2063" s="88" t="s">
        <v>1067</v>
      </c>
      <c r="F2063" s="88" t="s">
        <v>1048</v>
      </c>
      <c r="G2063" s="88" t="s">
        <v>758</v>
      </c>
      <c r="H2063" s="88" t="s">
        <v>596</v>
      </c>
    </row>
    <row r="2064" spans="1:8" ht="28.8" x14ac:dyDescent="0.3">
      <c r="A2064" s="88" t="s">
        <v>716</v>
      </c>
      <c r="B2064" s="88">
        <v>113</v>
      </c>
      <c r="C2064" s="88">
        <v>38</v>
      </c>
      <c r="D2064" s="88" t="s">
        <v>197</v>
      </c>
      <c r="E2064" s="88" t="s">
        <v>1761</v>
      </c>
      <c r="F2064" s="88" t="s">
        <v>1255</v>
      </c>
      <c r="G2064" s="88" t="s">
        <v>719</v>
      </c>
      <c r="H2064" s="88" t="s">
        <v>596</v>
      </c>
    </row>
    <row r="2065" spans="1:8" ht="28.8" x14ac:dyDescent="0.3">
      <c r="A2065" s="88" t="s">
        <v>716</v>
      </c>
      <c r="B2065" s="88">
        <v>113</v>
      </c>
      <c r="C2065" s="88">
        <v>39</v>
      </c>
      <c r="D2065" s="88" t="s">
        <v>197</v>
      </c>
      <c r="E2065" s="88" t="s">
        <v>1254</v>
      </c>
      <c r="F2065" s="88" t="s">
        <v>1257</v>
      </c>
      <c r="G2065" s="88" t="s">
        <v>724</v>
      </c>
      <c r="H2065" s="88" t="s">
        <v>596</v>
      </c>
    </row>
    <row r="2066" spans="1:8" ht="28.8" x14ac:dyDescent="0.3">
      <c r="A2066" s="88" t="s">
        <v>716</v>
      </c>
      <c r="B2066" s="88">
        <v>114</v>
      </c>
      <c r="C2066" s="88">
        <v>32</v>
      </c>
      <c r="D2066" s="88" t="s">
        <v>198</v>
      </c>
      <c r="E2066" s="88" t="s">
        <v>1762</v>
      </c>
      <c r="F2066" s="88" t="s">
        <v>1053</v>
      </c>
      <c r="G2066" s="88" t="s">
        <v>749</v>
      </c>
      <c r="H2066" s="88" t="s">
        <v>596</v>
      </c>
    </row>
    <row r="2067" spans="1:8" x14ac:dyDescent="0.3">
      <c r="A2067" s="88" t="s">
        <v>716</v>
      </c>
      <c r="B2067" s="88">
        <v>114</v>
      </c>
      <c r="C2067" s="88">
        <v>33</v>
      </c>
      <c r="D2067" s="88" t="s">
        <v>198</v>
      </c>
      <c r="E2067" s="88" t="s">
        <v>1258</v>
      </c>
      <c r="F2067" s="88" t="s">
        <v>1208</v>
      </c>
      <c r="G2067" s="88" t="s">
        <v>752</v>
      </c>
      <c r="H2067" s="88" t="s">
        <v>596</v>
      </c>
    </row>
    <row r="2068" spans="1:8" x14ac:dyDescent="0.3">
      <c r="A2068" s="88" t="s">
        <v>716</v>
      </c>
      <c r="B2068" s="88">
        <v>114</v>
      </c>
      <c r="C2068" s="88">
        <v>34</v>
      </c>
      <c r="D2068" s="88" t="s">
        <v>198</v>
      </c>
      <c r="E2068" s="88" t="s">
        <v>1141</v>
      </c>
      <c r="F2068" s="88" t="s">
        <v>854</v>
      </c>
      <c r="G2068" s="88" t="s">
        <v>755</v>
      </c>
      <c r="H2068" s="88" t="s">
        <v>596</v>
      </c>
    </row>
    <row r="2069" spans="1:8" x14ac:dyDescent="0.3">
      <c r="A2069" s="88" t="s">
        <v>716</v>
      </c>
      <c r="B2069" s="88">
        <v>114</v>
      </c>
      <c r="C2069" s="88">
        <v>35</v>
      </c>
      <c r="D2069" s="88" t="s">
        <v>198</v>
      </c>
      <c r="E2069" s="88" t="s">
        <v>1259</v>
      </c>
      <c r="F2069" s="88" t="s">
        <v>1142</v>
      </c>
      <c r="G2069" s="88" t="s">
        <v>758</v>
      </c>
      <c r="H2069" s="88" t="s">
        <v>596</v>
      </c>
    </row>
    <row r="2070" spans="1:8" ht="28.8" x14ac:dyDescent="0.3">
      <c r="A2070" s="88" t="s">
        <v>716</v>
      </c>
      <c r="B2070" s="88">
        <v>114</v>
      </c>
      <c r="C2070" s="88">
        <v>38</v>
      </c>
      <c r="D2070" s="88" t="s">
        <v>198</v>
      </c>
      <c r="E2070" s="88" t="s">
        <v>1763</v>
      </c>
      <c r="F2070" s="88" t="s">
        <v>1261</v>
      </c>
      <c r="G2070" s="88" t="s">
        <v>719</v>
      </c>
      <c r="H2070" s="88" t="s">
        <v>596</v>
      </c>
    </row>
    <row r="2071" spans="1:8" ht="28.8" x14ac:dyDescent="0.3">
      <c r="A2071" s="88" t="s">
        <v>716</v>
      </c>
      <c r="B2071" s="88">
        <v>114</v>
      </c>
      <c r="C2071" s="88">
        <v>39</v>
      </c>
      <c r="D2071" s="88" t="s">
        <v>198</v>
      </c>
      <c r="E2071" s="88" t="s">
        <v>1260</v>
      </c>
      <c r="F2071" s="88" t="s">
        <v>1764</v>
      </c>
      <c r="G2071" s="88" t="s">
        <v>724</v>
      </c>
      <c r="H2071" s="88" t="s">
        <v>596</v>
      </c>
    </row>
    <row r="2072" spans="1:8" ht="28.8" x14ac:dyDescent="0.3">
      <c r="A2072" s="88" t="s">
        <v>716</v>
      </c>
      <c r="B2072" s="88">
        <v>115</v>
      </c>
      <c r="C2072" s="88">
        <v>32</v>
      </c>
      <c r="D2072" s="88" t="s">
        <v>199</v>
      </c>
      <c r="E2072" s="88" t="s">
        <v>1765</v>
      </c>
      <c r="F2072" s="88" t="s">
        <v>1212</v>
      </c>
      <c r="G2072" s="88" t="s">
        <v>749</v>
      </c>
      <c r="H2072" s="88" t="s">
        <v>596</v>
      </c>
    </row>
    <row r="2073" spans="1:8" x14ac:dyDescent="0.3">
      <c r="A2073" s="88" t="s">
        <v>716</v>
      </c>
      <c r="B2073" s="88">
        <v>115</v>
      </c>
      <c r="C2073" s="88">
        <v>33</v>
      </c>
      <c r="D2073" s="88" t="s">
        <v>199</v>
      </c>
      <c r="E2073" s="88" t="s">
        <v>841</v>
      </c>
      <c r="F2073" s="88" t="s">
        <v>1213</v>
      </c>
      <c r="G2073" s="88" t="s">
        <v>752</v>
      </c>
      <c r="H2073" s="88" t="s">
        <v>596</v>
      </c>
    </row>
    <row r="2074" spans="1:8" x14ac:dyDescent="0.3">
      <c r="A2074" s="88" t="s">
        <v>716</v>
      </c>
      <c r="B2074" s="88">
        <v>115</v>
      </c>
      <c r="C2074" s="88">
        <v>34</v>
      </c>
      <c r="D2074" s="88" t="s">
        <v>199</v>
      </c>
      <c r="E2074" s="88" t="s">
        <v>1141</v>
      </c>
      <c r="F2074" s="88" t="s">
        <v>1214</v>
      </c>
      <c r="G2074" s="88" t="s">
        <v>755</v>
      </c>
      <c r="H2074" s="88" t="s">
        <v>596</v>
      </c>
    </row>
    <row r="2075" spans="1:8" x14ac:dyDescent="0.3">
      <c r="A2075" s="88" t="s">
        <v>716</v>
      </c>
      <c r="B2075" s="88">
        <v>115</v>
      </c>
      <c r="C2075" s="88">
        <v>35</v>
      </c>
      <c r="D2075" s="88" t="s">
        <v>199</v>
      </c>
      <c r="E2075" s="88" t="s">
        <v>1262</v>
      </c>
      <c r="F2075" s="88" t="s">
        <v>826</v>
      </c>
      <c r="G2075" s="88" t="s">
        <v>758</v>
      </c>
      <c r="H2075" s="88" t="s">
        <v>596</v>
      </c>
    </row>
    <row r="2076" spans="1:8" ht="28.8" x14ac:dyDescent="0.3">
      <c r="A2076" s="88" t="s">
        <v>716</v>
      </c>
      <c r="B2076" s="88">
        <v>115</v>
      </c>
      <c r="C2076" s="88">
        <v>38</v>
      </c>
      <c r="D2076" s="88" t="s">
        <v>199</v>
      </c>
      <c r="E2076" s="88" t="s">
        <v>917</v>
      </c>
      <c r="F2076" s="88" t="s">
        <v>1263</v>
      </c>
      <c r="G2076" s="88" t="s">
        <v>719</v>
      </c>
      <c r="H2076" s="88" t="s">
        <v>596</v>
      </c>
    </row>
    <row r="2077" spans="1:8" ht="28.8" x14ac:dyDescent="0.3">
      <c r="A2077" s="88" t="s">
        <v>716</v>
      </c>
      <c r="B2077" s="88">
        <v>115</v>
      </c>
      <c r="C2077" s="88">
        <v>39</v>
      </c>
      <c r="D2077" s="88" t="s">
        <v>199</v>
      </c>
      <c r="E2077" s="88" t="s">
        <v>1139</v>
      </c>
      <c r="F2077" s="88" t="s">
        <v>1265</v>
      </c>
      <c r="G2077" s="88" t="s">
        <v>724</v>
      </c>
      <c r="H2077" s="88" t="s">
        <v>596</v>
      </c>
    </row>
    <row r="2078" spans="1:8" x14ac:dyDescent="0.3">
      <c r="A2078" s="88" t="s">
        <v>716</v>
      </c>
      <c r="B2078" s="88">
        <v>116</v>
      </c>
      <c r="C2078" s="88">
        <v>32</v>
      </c>
      <c r="D2078" s="88" t="s">
        <v>200</v>
      </c>
      <c r="E2078" s="88" t="s">
        <v>1766</v>
      </c>
      <c r="F2078" s="88" t="s">
        <v>1219</v>
      </c>
      <c r="G2078" s="88" t="s">
        <v>749</v>
      </c>
      <c r="H2078" s="88" t="s">
        <v>596</v>
      </c>
    </row>
    <row r="2079" spans="1:8" x14ac:dyDescent="0.3">
      <c r="A2079" s="88" t="s">
        <v>716</v>
      </c>
      <c r="B2079" s="88">
        <v>116</v>
      </c>
      <c r="C2079" s="88">
        <v>33</v>
      </c>
      <c r="D2079" s="88" t="s">
        <v>200</v>
      </c>
      <c r="E2079" s="88" t="s">
        <v>1266</v>
      </c>
      <c r="F2079" s="88" t="s">
        <v>1220</v>
      </c>
      <c r="G2079" s="88" t="s">
        <v>752</v>
      </c>
      <c r="H2079" s="88" t="s">
        <v>596</v>
      </c>
    </row>
    <row r="2080" spans="1:8" x14ac:dyDescent="0.3">
      <c r="A2080" s="88" t="s">
        <v>716</v>
      </c>
      <c r="B2080" s="88">
        <v>116</v>
      </c>
      <c r="C2080" s="88">
        <v>34</v>
      </c>
      <c r="D2080" s="88" t="s">
        <v>200</v>
      </c>
      <c r="E2080" s="88" t="s">
        <v>1267</v>
      </c>
      <c r="F2080" s="88" t="s">
        <v>1221</v>
      </c>
      <c r="G2080" s="88" t="s">
        <v>755</v>
      </c>
      <c r="H2080" s="88" t="s">
        <v>596</v>
      </c>
    </row>
    <row r="2081" spans="1:8" x14ac:dyDescent="0.3">
      <c r="A2081" s="88" t="s">
        <v>716</v>
      </c>
      <c r="B2081" s="88">
        <v>116</v>
      </c>
      <c r="C2081" s="88">
        <v>35</v>
      </c>
      <c r="D2081" s="88" t="s">
        <v>200</v>
      </c>
      <c r="E2081" s="88" t="s">
        <v>1053</v>
      </c>
      <c r="F2081" s="88" t="s">
        <v>787</v>
      </c>
      <c r="G2081" s="88" t="s">
        <v>758</v>
      </c>
      <c r="H2081" s="88" t="s">
        <v>596</v>
      </c>
    </row>
    <row r="2082" spans="1:8" ht="28.8" x14ac:dyDescent="0.3">
      <c r="A2082" s="88" t="s">
        <v>716</v>
      </c>
      <c r="B2082" s="88">
        <v>116</v>
      </c>
      <c r="C2082" s="88">
        <v>38</v>
      </c>
      <c r="D2082" s="88" t="s">
        <v>200</v>
      </c>
      <c r="E2082" s="88" t="s">
        <v>1767</v>
      </c>
      <c r="F2082" s="88" t="s">
        <v>738</v>
      </c>
      <c r="G2082" s="88" t="s">
        <v>719</v>
      </c>
      <c r="H2082" s="88" t="s">
        <v>596</v>
      </c>
    </row>
    <row r="2083" spans="1:8" ht="28.8" x14ac:dyDescent="0.3">
      <c r="A2083" s="88" t="s">
        <v>716</v>
      </c>
      <c r="B2083" s="88">
        <v>116</v>
      </c>
      <c r="C2083" s="88">
        <v>39</v>
      </c>
      <c r="D2083" s="88" t="s">
        <v>200</v>
      </c>
      <c r="E2083" s="88" t="s">
        <v>737</v>
      </c>
      <c r="F2083" s="88" t="s">
        <v>1768</v>
      </c>
      <c r="G2083" s="88" t="s">
        <v>724</v>
      </c>
      <c r="H2083" s="88" t="s">
        <v>596</v>
      </c>
    </row>
    <row r="2084" spans="1:8" x14ac:dyDescent="0.3">
      <c r="A2084" s="88" t="s">
        <v>716</v>
      </c>
      <c r="B2084" s="88">
        <v>117</v>
      </c>
      <c r="C2084" s="88">
        <v>32</v>
      </c>
      <c r="D2084" s="88" t="s">
        <v>201</v>
      </c>
      <c r="E2084" s="88" t="s">
        <v>1769</v>
      </c>
      <c r="F2084" s="88" t="s">
        <v>1002</v>
      </c>
      <c r="G2084" s="88" t="s">
        <v>749</v>
      </c>
      <c r="H2084" s="88" t="s">
        <v>596</v>
      </c>
    </row>
    <row r="2085" spans="1:8" x14ac:dyDescent="0.3">
      <c r="A2085" s="88" t="s">
        <v>716</v>
      </c>
      <c r="B2085" s="88">
        <v>117</v>
      </c>
      <c r="C2085" s="88">
        <v>33</v>
      </c>
      <c r="D2085" s="88" t="s">
        <v>201</v>
      </c>
      <c r="E2085" s="88" t="s">
        <v>1002</v>
      </c>
      <c r="F2085" s="88" t="s">
        <v>779</v>
      </c>
      <c r="G2085" s="88" t="s">
        <v>752</v>
      </c>
      <c r="H2085" s="88" t="s">
        <v>596</v>
      </c>
    </row>
    <row r="2086" spans="1:8" x14ac:dyDescent="0.3">
      <c r="A2086" s="88" t="s">
        <v>716</v>
      </c>
      <c r="B2086" s="88">
        <v>117</v>
      </c>
      <c r="C2086" s="88">
        <v>34</v>
      </c>
      <c r="D2086" s="88" t="s">
        <v>201</v>
      </c>
      <c r="E2086" s="88" t="s">
        <v>1116</v>
      </c>
      <c r="F2086" s="88" t="s">
        <v>1226</v>
      </c>
      <c r="G2086" s="88" t="s">
        <v>755</v>
      </c>
      <c r="H2086" s="88" t="s">
        <v>596</v>
      </c>
    </row>
    <row r="2087" spans="1:8" x14ac:dyDescent="0.3">
      <c r="A2087" s="88" t="s">
        <v>716</v>
      </c>
      <c r="B2087" s="88">
        <v>117</v>
      </c>
      <c r="C2087" s="88">
        <v>35</v>
      </c>
      <c r="D2087" s="88" t="s">
        <v>201</v>
      </c>
      <c r="E2087" s="88" t="s">
        <v>1268</v>
      </c>
      <c r="F2087" s="88" t="s">
        <v>1227</v>
      </c>
      <c r="G2087" s="88" t="s">
        <v>758</v>
      </c>
      <c r="H2087" s="88" t="s">
        <v>596</v>
      </c>
    </row>
    <row r="2088" spans="1:8" ht="28.8" x14ac:dyDescent="0.3">
      <c r="A2088" s="88" t="s">
        <v>716</v>
      </c>
      <c r="B2088" s="88">
        <v>117</v>
      </c>
      <c r="C2088" s="88">
        <v>38</v>
      </c>
      <c r="D2088" s="88" t="s">
        <v>201</v>
      </c>
      <c r="E2088" s="88" t="s">
        <v>1770</v>
      </c>
      <c r="F2088" s="88" t="s">
        <v>1270</v>
      </c>
      <c r="G2088" s="88" t="s">
        <v>719</v>
      </c>
      <c r="H2088" s="88" t="s">
        <v>596</v>
      </c>
    </row>
    <row r="2089" spans="1:8" ht="28.8" x14ac:dyDescent="0.3">
      <c r="A2089" s="88" t="s">
        <v>716</v>
      </c>
      <c r="B2089" s="88">
        <v>117</v>
      </c>
      <c r="C2089" s="88">
        <v>39</v>
      </c>
      <c r="D2089" s="88" t="s">
        <v>201</v>
      </c>
      <c r="E2089" s="88" t="s">
        <v>1008</v>
      </c>
      <c r="F2089" s="88" t="s">
        <v>1272</v>
      </c>
      <c r="G2089" s="88" t="s">
        <v>724</v>
      </c>
      <c r="H2089" s="88" t="s">
        <v>596</v>
      </c>
    </row>
    <row r="2090" spans="1:8" x14ac:dyDescent="0.3">
      <c r="A2090" s="88" t="s">
        <v>716</v>
      </c>
      <c r="B2090" s="88">
        <v>118</v>
      </c>
      <c r="C2090" s="88">
        <v>32</v>
      </c>
      <c r="D2090" s="88" t="s">
        <v>202</v>
      </c>
      <c r="E2090" s="88" t="s">
        <v>1771</v>
      </c>
      <c r="F2090" s="88" t="s">
        <v>1230</v>
      </c>
      <c r="G2090" s="88" t="s">
        <v>749</v>
      </c>
      <c r="H2090" s="88" t="s">
        <v>596</v>
      </c>
    </row>
    <row r="2091" spans="1:8" x14ac:dyDescent="0.3">
      <c r="A2091" s="88" t="s">
        <v>716</v>
      </c>
      <c r="B2091" s="88">
        <v>118</v>
      </c>
      <c r="C2091" s="88">
        <v>33</v>
      </c>
      <c r="D2091" s="88" t="s">
        <v>202</v>
      </c>
      <c r="E2091" s="88" t="s">
        <v>793</v>
      </c>
      <c r="F2091" s="88" t="s">
        <v>865</v>
      </c>
      <c r="G2091" s="88" t="s">
        <v>752</v>
      </c>
      <c r="H2091" s="88" t="s">
        <v>596</v>
      </c>
    </row>
    <row r="2092" spans="1:8" x14ac:dyDescent="0.3">
      <c r="A2092" s="88" t="s">
        <v>716</v>
      </c>
      <c r="B2092" s="88">
        <v>118</v>
      </c>
      <c r="C2092" s="88">
        <v>34</v>
      </c>
      <c r="D2092" s="88" t="s">
        <v>202</v>
      </c>
      <c r="E2092" s="88" t="s">
        <v>786</v>
      </c>
      <c r="F2092" s="88" t="s">
        <v>814</v>
      </c>
      <c r="G2092" s="88" t="s">
        <v>755</v>
      </c>
      <c r="H2092" s="88" t="s">
        <v>596</v>
      </c>
    </row>
    <row r="2093" spans="1:8" x14ac:dyDescent="0.3">
      <c r="A2093" s="88" t="s">
        <v>716</v>
      </c>
      <c r="B2093" s="88">
        <v>118</v>
      </c>
      <c r="C2093" s="88">
        <v>35</v>
      </c>
      <c r="D2093" s="88" t="s">
        <v>202</v>
      </c>
      <c r="E2093" s="88" t="s">
        <v>805</v>
      </c>
      <c r="F2093" s="88" t="s">
        <v>1231</v>
      </c>
      <c r="G2093" s="88" t="s">
        <v>758</v>
      </c>
      <c r="H2093" s="88" t="s">
        <v>596</v>
      </c>
    </row>
    <row r="2094" spans="1:8" ht="28.8" x14ac:dyDescent="0.3">
      <c r="A2094" s="88" t="s">
        <v>716</v>
      </c>
      <c r="B2094" s="88">
        <v>118</v>
      </c>
      <c r="C2094" s="88">
        <v>38</v>
      </c>
      <c r="D2094" s="88" t="s">
        <v>202</v>
      </c>
      <c r="E2094" s="88" t="s">
        <v>1772</v>
      </c>
      <c r="F2094" s="88" t="s">
        <v>1273</v>
      </c>
      <c r="G2094" s="88" t="s">
        <v>719</v>
      </c>
      <c r="H2094" s="88" t="s">
        <v>596</v>
      </c>
    </row>
    <row r="2095" spans="1:8" ht="28.8" x14ac:dyDescent="0.3">
      <c r="A2095" s="88" t="s">
        <v>716</v>
      </c>
      <c r="B2095" s="88">
        <v>118</v>
      </c>
      <c r="C2095" s="88">
        <v>39</v>
      </c>
      <c r="D2095" s="88" t="s">
        <v>202</v>
      </c>
      <c r="E2095" s="88" t="s">
        <v>663</v>
      </c>
      <c r="F2095" s="88" t="s">
        <v>1275</v>
      </c>
      <c r="G2095" s="88" t="s">
        <v>724</v>
      </c>
      <c r="H2095" s="88" t="s">
        <v>596</v>
      </c>
    </row>
    <row r="2096" spans="1:8" x14ac:dyDescent="0.3">
      <c r="A2096" s="88" t="s">
        <v>716</v>
      </c>
      <c r="B2096" s="88">
        <v>119</v>
      </c>
      <c r="C2096" s="88">
        <v>32</v>
      </c>
      <c r="D2096" s="88" t="s">
        <v>203</v>
      </c>
      <c r="E2096" s="88" t="s">
        <v>1773</v>
      </c>
      <c r="F2096" s="88" t="s">
        <v>1071</v>
      </c>
      <c r="G2096" s="88" t="s">
        <v>749</v>
      </c>
      <c r="H2096" s="88" t="s">
        <v>596</v>
      </c>
    </row>
    <row r="2097" spans="1:8" x14ac:dyDescent="0.3">
      <c r="A2097" s="88" t="s">
        <v>716</v>
      </c>
      <c r="B2097" s="88">
        <v>119</v>
      </c>
      <c r="C2097" s="88">
        <v>33</v>
      </c>
      <c r="D2097" s="88" t="s">
        <v>203</v>
      </c>
      <c r="E2097" s="88" t="s">
        <v>1042</v>
      </c>
      <c r="F2097" s="88" t="s">
        <v>1236</v>
      </c>
      <c r="G2097" s="88" t="s">
        <v>752</v>
      </c>
      <c r="H2097" s="88" t="s">
        <v>596</v>
      </c>
    </row>
    <row r="2098" spans="1:8" x14ac:dyDescent="0.3">
      <c r="A2098" s="88" t="s">
        <v>716</v>
      </c>
      <c r="B2098" s="88">
        <v>119</v>
      </c>
      <c r="C2098" s="88">
        <v>34</v>
      </c>
      <c r="D2098" s="88" t="s">
        <v>203</v>
      </c>
      <c r="E2098" s="88" t="s">
        <v>1220</v>
      </c>
      <c r="F2098" s="88" t="s">
        <v>933</v>
      </c>
      <c r="G2098" s="88" t="s">
        <v>755</v>
      </c>
      <c r="H2098" s="88" t="s">
        <v>596</v>
      </c>
    </row>
    <row r="2099" spans="1:8" x14ac:dyDescent="0.3">
      <c r="A2099" s="88" t="s">
        <v>716</v>
      </c>
      <c r="B2099" s="88">
        <v>119</v>
      </c>
      <c r="C2099" s="88">
        <v>35</v>
      </c>
      <c r="D2099" s="88" t="s">
        <v>203</v>
      </c>
      <c r="E2099" s="88" t="s">
        <v>804</v>
      </c>
      <c r="F2099" s="88" t="s">
        <v>1089</v>
      </c>
      <c r="G2099" s="88" t="s">
        <v>758</v>
      </c>
      <c r="H2099" s="88" t="s">
        <v>596</v>
      </c>
    </row>
    <row r="2100" spans="1:8" ht="28.8" x14ac:dyDescent="0.3">
      <c r="A2100" s="88" t="s">
        <v>716</v>
      </c>
      <c r="B2100" s="88">
        <v>119</v>
      </c>
      <c r="C2100" s="88">
        <v>38</v>
      </c>
      <c r="D2100" s="88" t="s">
        <v>203</v>
      </c>
      <c r="E2100" s="88" t="s">
        <v>1774</v>
      </c>
      <c r="F2100" s="88" t="s">
        <v>1276</v>
      </c>
      <c r="G2100" s="88" t="s">
        <v>719</v>
      </c>
      <c r="H2100" s="88" t="s">
        <v>596</v>
      </c>
    </row>
    <row r="2101" spans="1:8" ht="28.8" x14ac:dyDescent="0.3">
      <c r="A2101" s="88" t="s">
        <v>716</v>
      </c>
      <c r="B2101" s="88">
        <v>119</v>
      </c>
      <c r="C2101" s="88">
        <v>39</v>
      </c>
      <c r="D2101" s="88" t="s">
        <v>203</v>
      </c>
      <c r="E2101" s="88" t="s">
        <v>767</v>
      </c>
      <c r="F2101" s="88" t="s">
        <v>1278</v>
      </c>
      <c r="G2101" s="88" t="s">
        <v>724</v>
      </c>
      <c r="H2101" s="88" t="s">
        <v>596</v>
      </c>
    </row>
    <row r="2102" spans="1:8" x14ac:dyDescent="0.3">
      <c r="A2102" s="88" t="s">
        <v>716</v>
      </c>
      <c r="B2102" s="88">
        <v>120</v>
      </c>
      <c r="C2102" s="88">
        <v>32</v>
      </c>
      <c r="D2102" s="88" t="s">
        <v>204</v>
      </c>
      <c r="E2102" s="88" t="s">
        <v>1775</v>
      </c>
      <c r="F2102" s="88" t="s">
        <v>1149</v>
      </c>
      <c r="G2102" s="88" t="s">
        <v>749</v>
      </c>
      <c r="H2102" s="88" t="s">
        <v>596</v>
      </c>
    </row>
    <row r="2103" spans="1:8" x14ac:dyDescent="0.3">
      <c r="A2103" s="88" t="s">
        <v>716</v>
      </c>
      <c r="B2103" s="88">
        <v>120</v>
      </c>
      <c r="C2103" s="88">
        <v>33</v>
      </c>
      <c r="D2103" s="88" t="s">
        <v>204</v>
      </c>
      <c r="E2103" s="88" t="s">
        <v>698</v>
      </c>
      <c r="F2103" s="88" t="s">
        <v>1240</v>
      </c>
      <c r="G2103" s="88" t="s">
        <v>752</v>
      </c>
      <c r="H2103" s="88" t="s">
        <v>596</v>
      </c>
    </row>
    <row r="2104" spans="1:8" x14ac:dyDescent="0.3">
      <c r="A2104" s="88" t="s">
        <v>716</v>
      </c>
      <c r="B2104" s="88">
        <v>120</v>
      </c>
      <c r="C2104" s="88">
        <v>34</v>
      </c>
      <c r="D2104" s="88" t="s">
        <v>204</v>
      </c>
      <c r="E2104" s="88" t="s">
        <v>1279</v>
      </c>
      <c r="F2104" s="88" t="s">
        <v>926</v>
      </c>
      <c r="G2104" s="88" t="s">
        <v>755</v>
      </c>
      <c r="H2104" s="88" t="s">
        <v>596</v>
      </c>
    </row>
    <row r="2105" spans="1:8" x14ac:dyDescent="0.3">
      <c r="A2105" s="88" t="s">
        <v>716</v>
      </c>
      <c r="B2105" s="88">
        <v>120</v>
      </c>
      <c r="C2105" s="88">
        <v>35</v>
      </c>
      <c r="D2105" s="88" t="s">
        <v>204</v>
      </c>
      <c r="E2105" s="88" t="s">
        <v>1167</v>
      </c>
      <c r="F2105" s="88" t="s">
        <v>928</v>
      </c>
      <c r="G2105" s="88" t="s">
        <v>758</v>
      </c>
      <c r="H2105" s="88" t="s">
        <v>596</v>
      </c>
    </row>
    <row r="2106" spans="1:8" ht="28.8" x14ac:dyDescent="0.3">
      <c r="A2106" s="88" t="s">
        <v>716</v>
      </c>
      <c r="B2106" s="88">
        <v>120</v>
      </c>
      <c r="C2106" s="88">
        <v>38</v>
      </c>
      <c r="D2106" s="88" t="s">
        <v>204</v>
      </c>
      <c r="E2106" s="88" t="s">
        <v>1776</v>
      </c>
      <c r="F2106" s="88" t="s">
        <v>1280</v>
      </c>
      <c r="G2106" s="88" t="s">
        <v>719</v>
      </c>
      <c r="H2106" s="88" t="s">
        <v>596</v>
      </c>
    </row>
    <row r="2107" spans="1:8" ht="28.8" x14ac:dyDescent="0.3">
      <c r="A2107" s="88" t="s">
        <v>716</v>
      </c>
      <c r="B2107" s="88">
        <v>120</v>
      </c>
      <c r="C2107" s="88">
        <v>39</v>
      </c>
      <c r="D2107" s="88" t="s">
        <v>204</v>
      </c>
      <c r="E2107" s="88" t="s">
        <v>897</v>
      </c>
      <c r="F2107" s="88" t="s">
        <v>1777</v>
      </c>
      <c r="G2107" s="88" t="s">
        <v>724</v>
      </c>
      <c r="H2107" s="88" t="s">
        <v>596</v>
      </c>
    </row>
    <row r="2108" spans="1:8" ht="28.8" x14ac:dyDescent="0.3">
      <c r="A2108" s="88" t="s">
        <v>716</v>
      </c>
      <c r="B2108" s="88">
        <v>121</v>
      </c>
      <c r="C2108" s="88">
        <v>32</v>
      </c>
      <c r="D2108" s="88" t="s">
        <v>205</v>
      </c>
      <c r="E2108" s="88" t="s">
        <v>1778</v>
      </c>
      <c r="F2108" s="88" t="s">
        <v>1013</v>
      </c>
      <c r="G2108" s="88" t="s">
        <v>749</v>
      </c>
      <c r="H2108" s="88" t="s">
        <v>596</v>
      </c>
    </row>
    <row r="2109" spans="1:8" x14ac:dyDescent="0.3">
      <c r="A2109" s="88" t="s">
        <v>716</v>
      </c>
      <c r="B2109" s="88">
        <v>121</v>
      </c>
      <c r="C2109" s="88">
        <v>33</v>
      </c>
      <c r="D2109" s="88" t="s">
        <v>205</v>
      </c>
      <c r="E2109" s="88" t="s">
        <v>1130</v>
      </c>
      <c r="F2109" s="88" t="s">
        <v>1245</v>
      </c>
      <c r="G2109" s="88" t="s">
        <v>752</v>
      </c>
      <c r="H2109" s="88" t="s">
        <v>596</v>
      </c>
    </row>
    <row r="2110" spans="1:8" x14ac:dyDescent="0.3">
      <c r="A2110" s="88" t="s">
        <v>716</v>
      </c>
      <c r="B2110" s="88">
        <v>121</v>
      </c>
      <c r="C2110" s="88">
        <v>34</v>
      </c>
      <c r="D2110" s="88" t="s">
        <v>205</v>
      </c>
      <c r="E2110" s="88" t="s">
        <v>1281</v>
      </c>
      <c r="F2110" s="88" t="s">
        <v>1123</v>
      </c>
      <c r="G2110" s="88" t="s">
        <v>755</v>
      </c>
      <c r="H2110" s="88" t="s">
        <v>596</v>
      </c>
    </row>
    <row r="2111" spans="1:8" x14ac:dyDescent="0.3">
      <c r="A2111" s="88" t="s">
        <v>716</v>
      </c>
      <c r="B2111" s="88">
        <v>121</v>
      </c>
      <c r="C2111" s="88">
        <v>35</v>
      </c>
      <c r="D2111" s="88" t="s">
        <v>205</v>
      </c>
      <c r="E2111" s="88" t="s">
        <v>879</v>
      </c>
      <c r="F2111" s="88" t="s">
        <v>1071</v>
      </c>
      <c r="G2111" s="88" t="s">
        <v>758</v>
      </c>
      <c r="H2111" s="88" t="s">
        <v>596</v>
      </c>
    </row>
    <row r="2112" spans="1:8" ht="28.8" x14ac:dyDescent="0.3">
      <c r="A2112" s="88" t="s">
        <v>716</v>
      </c>
      <c r="B2112" s="88">
        <v>121</v>
      </c>
      <c r="C2112" s="88">
        <v>38</v>
      </c>
      <c r="D2112" s="88" t="s">
        <v>205</v>
      </c>
      <c r="E2112" s="88" t="s">
        <v>1779</v>
      </c>
      <c r="F2112" s="88" t="s">
        <v>1282</v>
      </c>
      <c r="G2112" s="88" t="s">
        <v>719</v>
      </c>
      <c r="H2112" s="88" t="s">
        <v>596</v>
      </c>
    </row>
    <row r="2113" spans="1:8" ht="28.8" x14ac:dyDescent="0.3">
      <c r="A2113" s="88" t="s">
        <v>716</v>
      </c>
      <c r="B2113" s="88">
        <v>121</v>
      </c>
      <c r="C2113" s="88">
        <v>39</v>
      </c>
      <c r="D2113" s="88" t="s">
        <v>205</v>
      </c>
      <c r="E2113" s="88" t="s">
        <v>739</v>
      </c>
      <c r="F2113" s="88" t="s">
        <v>1780</v>
      </c>
      <c r="G2113" s="88" t="s">
        <v>724</v>
      </c>
      <c r="H2113" s="88" t="s">
        <v>596</v>
      </c>
    </row>
    <row r="2114" spans="1:8" x14ac:dyDescent="0.3">
      <c r="A2114" s="88" t="s">
        <v>716</v>
      </c>
      <c r="B2114" s="88">
        <v>122</v>
      </c>
      <c r="C2114" s="88">
        <v>32</v>
      </c>
      <c r="D2114" s="88" t="s">
        <v>206</v>
      </c>
      <c r="E2114" s="88" t="s">
        <v>1781</v>
      </c>
      <c r="F2114" s="88" t="s">
        <v>921</v>
      </c>
      <c r="G2114" s="88" t="s">
        <v>749</v>
      </c>
      <c r="H2114" s="88" t="s">
        <v>596</v>
      </c>
    </row>
    <row r="2115" spans="1:8" x14ac:dyDescent="0.3">
      <c r="A2115" s="88" t="s">
        <v>716</v>
      </c>
      <c r="B2115" s="88">
        <v>122</v>
      </c>
      <c r="C2115" s="88">
        <v>33</v>
      </c>
      <c r="D2115" s="88" t="s">
        <v>206</v>
      </c>
      <c r="E2115" s="88" t="s">
        <v>997</v>
      </c>
      <c r="F2115" s="88" t="s">
        <v>1248</v>
      </c>
      <c r="G2115" s="88" t="s">
        <v>752</v>
      </c>
      <c r="H2115" s="88" t="s">
        <v>596</v>
      </c>
    </row>
    <row r="2116" spans="1:8" x14ac:dyDescent="0.3">
      <c r="A2116" s="88" t="s">
        <v>716</v>
      </c>
      <c r="B2116" s="88">
        <v>122</v>
      </c>
      <c r="C2116" s="88">
        <v>34</v>
      </c>
      <c r="D2116" s="88" t="s">
        <v>206</v>
      </c>
      <c r="E2116" s="88" t="s">
        <v>1283</v>
      </c>
      <c r="F2116" s="88" t="s">
        <v>848</v>
      </c>
      <c r="G2116" s="88" t="s">
        <v>755</v>
      </c>
      <c r="H2116" s="88" t="s">
        <v>596</v>
      </c>
    </row>
    <row r="2117" spans="1:8" x14ac:dyDescent="0.3">
      <c r="A2117" s="88" t="s">
        <v>716</v>
      </c>
      <c r="B2117" s="88">
        <v>122</v>
      </c>
      <c r="C2117" s="88">
        <v>35</v>
      </c>
      <c r="D2117" s="88" t="s">
        <v>206</v>
      </c>
      <c r="E2117" s="88" t="s">
        <v>706</v>
      </c>
      <c r="F2117" s="88" t="s">
        <v>1179</v>
      </c>
      <c r="G2117" s="88" t="s">
        <v>758</v>
      </c>
      <c r="H2117" s="88" t="s">
        <v>596</v>
      </c>
    </row>
    <row r="2118" spans="1:8" ht="28.8" x14ac:dyDescent="0.3">
      <c r="A2118" s="88" t="s">
        <v>716</v>
      </c>
      <c r="B2118" s="88">
        <v>122</v>
      </c>
      <c r="C2118" s="88">
        <v>38</v>
      </c>
      <c r="D2118" s="88" t="s">
        <v>206</v>
      </c>
      <c r="E2118" s="88" t="s">
        <v>821</v>
      </c>
      <c r="F2118" s="88" t="s">
        <v>1132</v>
      </c>
      <c r="G2118" s="88" t="s">
        <v>719</v>
      </c>
      <c r="H2118" s="88" t="s">
        <v>596</v>
      </c>
    </row>
    <row r="2119" spans="1:8" ht="28.8" x14ac:dyDescent="0.3">
      <c r="A2119" s="88" t="s">
        <v>716</v>
      </c>
      <c r="B2119" s="88">
        <v>122</v>
      </c>
      <c r="C2119" s="88">
        <v>39</v>
      </c>
      <c r="D2119" s="88" t="s">
        <v>206</v>
      </c>
      <c r="E2119" s="88" t="s">
        <v>1131</v>
      </c>
      <c r="F2119" s="88" t="s">
        <v>1285</v>
      </c>
      <c r="G2119" s="88" t="s">
        <v>724</v>
      </c>
      <c r="H2119" s="88" t="s">
        <v>596</v>
      </c>
    </row>
    <row r="2120" spans="1:8" x14ac:dyDescent="0.3">
      <c r="A2120" s="88" t="s">
        <v>716</v>
      </c>
      <c r="B2120" s="88">
        <v>123</v>
      </c>
      <c r="C2120" s="88">
        <v>32</v>
      </c>
      <c r="D2120" s="88" t="s">
        <v>207</v>
      </c>
      <c r="E2120" s="88" t="s">
        <v>1782</v>
      </c>
      <c r="F2120" s="88" t="s">
        <v>1219</v>
      </c>
      <c r="G2120" s="88" t="s">
        <v>749</v>
      </c>
      <c r="H2120" s="88" t="s">
        <v>596</v>
      </c>
    </row>
    <row r="2121" spans="1:8" x14ac:dyDescent="0.3">
      <c r="A2121" s="88" t="s">
        <v>716</v>
      </c>
      <c r="B2121" s="88">
        <v>123</v>
      </c>
      <c r="C2121" s="88">
        <v>33</v>
      </c>
      <c r="D2121" s="88" t="s">
        <v>207</v>
      </c>
      <c r="E2121" s="88" t="s">
        <v>904</v>
      </c>
      <c r="F2121" s="88" t="s">
        <v>1250</v>
      </c>
      <c r="G2121" s="88" t="s">
        <v>752</v>
      </c>
      <c r="H2121" s="88" t="s">
        <v>596</v>
      </c>
    </row>
    <row r="2122" spans="1:8" x14ac:dyDescent="0.3">
      <c r="A2122" s="88" t="s">
        <v>716</v>
      </c>
      <c r="B2122" s="88">
        <v>123</v>
      </c>
      <c r="C2122" s="88">
        <v>34</v>
      </c>
      <c r="D2122" s="88" t="s">
        <v>207</v>
      </c>
      <c r="E2122" s="88" t="s">
        <v>1231</v>
      </c>
      <c r="F2122" s="88" t="s">
        <v>1251</v>
      </c>
      <c r="G2122" s="88" t="s">
        <v>755</v>
      </c>
      <c r="H2122" s="88" t="s">
        <v>596</v>
      </c>
    </row>
    <row r="2123" spans="1:8" x14ac:dyDescent="0.3">
      <c r="A2123" s="88" t="s">
        <v>716</v>
      </c>
      <c r="B2123" s="88">
        <v>123</v>
      </c>
      <c r="C2123" s="88">
        <v>35</v>
      </c>
      <c r="D2123" s="88" t="s">
        <v>207</v>
      </c>
      <c r="E2123" s="88" t="s">
        <v>962</v>
      </c>
      <c r="F2123" s="88" t="s">
        <v>959</v>
      </c>
      <c r="G2123" s="88" t="s">
        <v>758</v>
      </c>
      <c r="H2123" s="88" t="s">
        <v>596</v>
      </c>
    </row>
    <row r="2124" spans="1:8" ht="28.8" x14ac:dyDescent="0.3">
      <c r="A2124" s="88" t="s">
        <v>716</v>
      </c>
      <c r="B2124" s="88">
        <v>123</v>
      </c>
      <c r="C2124" s="88">
        <v>38</v>
      </c>
      <c r="D2124" s="88" t="s">
        <v>207</v>
      </c>
      <c r="E2124" s="88" t="s">
        <v>1783</v>
      </c>
      <c r="F2124" s="88" t="s">
        <v>1287</v>
      </c>
      <c r="G2124" s="88" t="s">
        <v>719</v>
      </c>
      <c r="H2124" s="88" t="s">
        <v>596</v>
      </c>
    </row>
    <row r="2125" spans="1:8" ht="28.8" x14ac:dyDescent="0.3">
      <c r="A2125" s="88" t="s">
        <v>716</v>
      </c>
      <c r="B2125" s="88">
        <v>123</v>
      </c>
      <c r="C2125" s="88">
        <v>39</v>
      </c>
      <c r="D2125" s="88" t="s">
        <v>207</v>
      </c>
      <c r="E2125" s="88" t="s">
        <v>1286</v>
      </c>
      <c r="F2125" s="88" t="s">
        <v>1289</v>
      </c>
      <c r="G2125" s="88" t="s">
        <v>724</v>
      </c>
      <c r="H2125" s="88" t="s">
        <v>596</v>
      </c>
    </row>
    <row r="2126" spans="1:8" x14ac:dyDescent="0.3">
      <c r="A2126" s="88" t="s">
        <v>716</v>
      </c>
      <c r="B2126" s="88">
        <v>124</v>
      </c>
      <c r="C2126" s="88">
        <v>32</v>
      </c>
      <c r="D2126" s="88" t="s">
        <v>208</v>
      </c>
      <c r="E2126" s="88" t="s">
        <v>666</v>
      </c>
      <c r="F2126" s="88" t="s">
        <v>1070</v>
      </c>
      <c r="G2126" s="88" t="s">
        <v>749</v>
      </c>
      <c r="H2126" s="88" t="s">
        <v>596</v>
      </c>
    </row>
    <row r="2127" spans="1:8" x14ac:dyDescent="0.3">
      <c r="A2127" s="88" t="s">
        <v>716</v>
      </c>
      <c r="B2127" s="88">
        <v>124</v>
      </c>
      <c r="C2127" s="88">
        <v>33</v>
      </c>
      <c r="D2127" s="88" t="s">
        <v>208</v>
      </c>
      <c r="E2127" s="88" t="s">
        <v>970</v>
      </c>
      <c r="F2127" s="88" t="s">
        <v>1253</v>
      </c>
      <c r="G2127" s="88" t="s">
        <v>752</v>
      </c>
      <c r="H2127" s="88" t="s">
        <v>596</v>
      </c>
    </row>
    <row r="2128" spans="1:8" x14ac:dyDescent="0.3">
      <c r="A2128" s="88" t="s">
        <v>716</v>
      </c>
      <c r="B2128" s="88">
        <v>124</v>
      </c>
      <c r="C2128" s="88">
        <v>34</v>
      </c>
      <c r="D2128" s="88" t="s">
        <v>208</v>
      </c>
      <c r="E2128" s="88" t="s">
        <v>1290</v>
      </c>
      <c r="F2128" s="88" t="s">
        <v>1067</v>
      </c>
      <c r="G2128" s="88" t="s">
        <v>755</v>
      </c>
      <c r="H2128" s="88" t="s">
        <v>596</v>
      </c>
    </row>
    <row r="2129" spans="1:8" x14ac:dyDescent="0.3">
      <c r="A2129" s="88" t="s">
        <v>716</v>
      </c>
      <c r="B2129" s="88">
        <v>124</v>
      </c>
      <c r="C2129" s="88">
        <v>35</v>
      </c>
      <c r="D2129" s="88" t="s">
        <v>208</v>
      </c>
      <c r="E2129" s="88" t="s">
        <v>1081</v>
      </c>
      <c r="F2129" s="88" t="s">
        <v>1179</v>
      </c>
      <c r="G2129" s="88" t="s">
        <v>758</v>
      </c>
      <c r="H2129" s="88" t="s">
        <v>596</v>
      </c>
    </row>
    <row r="2130" spans="1:8" ht="28.8" x14ac:dyDescent="0.3">
      <c r="A2130" s="88" t="s">
        <v>716</v>
      </c>
      <c r="B2130" s="88">
        <v>124</v>
      </c>
      <c r="C2130" s="88">
        <v>38</v>
      </c>
      <c r="D2130" s="88" t="s">
        <v>208</v>
      </c>
      <c r="E2130" s="88" t="s">
        <v>1784</v>
      </c>
      <c r="F2130" s="88" t="s">
        <v>1292</v>
      </c>
      <c r="G2130" s="88" t="s">
        <v>719</v>
      </c>
      <c r="H2130" s="88" t="s">
        <v>596</v>
      </c>
    </row>
    <row r="2131" spans="1:8" ht="28.8" x14ac:dyDescent="0.3">
      <c r="A2131" s="88" t="s">
        <v>716</v>
      </c>
      <c r="B2131" s="88">
        <v>124</v>
      </c>
      <c r="C2131" s="88">
        <v>39</v>
      </c>
      <c r="D2131" s="88" t="s">
        <v>208</v>
      </c>
      <c r="E2131" s="88" t="s">
        <v>1291</v>
      </c>
      <c r="F2131" s="88" t="s">
        <v>1294</v>
      </c>
      <c r="G2131" s="88" t="s">
        <v>724</v>
      </c>
      <c r="H2131" s="88" t="s">
        <v>596</v>
      </c>
    </row>
    <row r="2132" spans="1:8" x14ac:dyDescent="0.3">
      <c r="A2132" s="88" t="s">
        <v>716</v>
      </c>
      <c r="B2132" s="88">
        <v>125</v>
      </c>
      <c r="C2132" s="88">
        <v>32</v>
      </c>
      <c r="D2132" s="88" t="s">
        <v>209</v>
      </c>
      <c r="E2132" s="88" t="s">
        <v>1785</v>
      </c>
      <c r="F2132" s="88" t="s">
        <v>1258</v>
      </c>
      <c r="G2132" s="88" t="s">
        <v>749</v>
      </c>
      <c r="H2132" s="88" t="s">
        <v>596</v>
      </c>
    </row>
    <row r="2133" spans="1:8" x14ac:dyDescent="0.3">
      <c r="A2133" s="88" t="s">
        <v>716</v>
      </c>
      <c r="B2133" s="88">
        <v>125</v>
      </c>
      <c r="C2133" s="88">
        <v>33</v>
      </c>
      <c r="D2133" s="88" t="s">
        <v>209</v>
      </c>
      <c r="E2133" s="88" t="s">
        <v>985</v>
      </c>
      <c r="F2133" s="88" t="s">
        <v>1141</v>
      </c>
      <c r="G2133" s="88" t="s">
        <v>752</v>
      </c>
      <c r="H2133" s="88" t="s">
        <v>596</v>
      </c>
    </row>
    <row r="2134" spans="1:8" x14ac:dyDescent="0.3">
      <c r="A2134" s="88" t="s">
        <v>716</v>
      </c>
      <c r="B2134" s="88">
        <v>125</v>
      </c>
      <c r="C2134" s="88">
        <v>34</v>
      </c>
      <c r="D2134" s="88" t="s">
        <v>209</v>
      </c>
      <c r="E2134" s="88" t="s">
        <v>1295</v>
      </c>
      <c r="F2134" s="88" t="s">
        <v>1259</v>
      </c>
      <c r="G2134" s="88" t="s">
        <v>755</v>
      </c>
      <c r="H2134" s="88" t="s">
        <v>596</v>
      </c>
    </row>
    <row r="2135" spans="1:8" x14ac:dyDescent="0.3">
      <c r="A2135" s="88" t="s">
        <v>716</v>
      </c>
      <c r="B2135" s="88">
        <v>125</v>
      </c>
      <c r="C2135" s="88">
        <v>35</v>
      </c>
      <c r="D2135" s="88" t="s">
        <v>209</v>
      </c>
      <c r="E2135" s="88" t="s">
        <v>998</v>
      </c>
      <c r="F2135" s="88" t="s">
        <v>1031</v>
      </c>
      <c r="G2135" s="88" t="s">
        <v>758</v>
      </c>
      <c r="H2135" s="88" t="s">
        <v>596</v>
      </c>
    </row>
    <row r="2136" spans="1:8" ht="28.8" x14ac:dyDescent="0.3">
      <c r="A2136" s="88" t="s">
        <v>716</v>
      </c>
      <c r="B2136" s="88">
        <v>125</v>
      </c>
      <c r="C2136" s="88">
        <v>38</v>
      </c>
      <c r="D2136" s="88" t="s">
        <v>209</v>
      </c>
      <c r="E2136" s="88" t="s">
        <v>1786</v>
      </c>
      <c r="F2136" s="88" t="s">
        <v>1297</v>
      </c>
      <c r="G2136" s="88" t="s">
        <v>719</v>
      </c>
      <c r="H2136" s="88" t="s">
        <v>596</v>
      </c>
    </row>
    <row r="2137" spans="1:8" ht="28.8" x14ac:dyDescent="0.3">
      <c r="A2137" s="88" t="s">
        <v>716</v>
      </c>
      <c r="B2137" s="88">
        <v>125</v>
      </c>
      <c r="C2137" s="88">
        <v>39</v>
      </c>
      <c r="D2137" s="88" t="s">
        <v>209</v>
      </c>
      <c r="E2137" s="88" t="s">
        <v>1296</v>
      </c>
      <c r="F2137" s="88" t="s">
        <v>1299</v>
      </c>
      <c r="G2137" s="88" t="s">
        <v>724</v>
      </c>
      <c r="H2137" s="88" t="s">
        <v>596</v>
      </c>
    </row>
    <row r="2138" spans="1:8" x14ac:dyDescent="0.3">
      <c r="A2138" s="88" t="s">
        <v>716</v>
      </c>
      <c r="B2138" s="88">
        <v>126</v>
      </c>
      <c r="C2138" s="88">
        <v>32</v>
      </c>
      <c r="D2138" s="88" t="s">
        <v>210</v>
      </c>
      <c r="E2138" s="88" t="s">
        <v>1678</v>
      </c>
      <c r="F2138" s="88" t="s">
        <v>841</v>
      </c>
      <c r="G2138" s="88" t="s">
        <v>749</v>
      </c>
      <c r="H2138" s="88" t="s">
        <v>596</v>
      </c>
    </row>
    <row r="2139" spans="1:8" x14ac:dyDescent="0.3">
      <c r="A2139" s="88" t="s">
        <v>716</v>
      </c>
      <c r="B2139" s="88">
        <v>126</v>
      </c>
      <c r="C2139" s="88">
        <v>33</v>
      </c>
      <c r="D2139" s="88" t="s">
        <v>210</v>
      </c>
      <c r="E2139" s="88" t="s">
        <v>1002</v>
      </c>
      <c r="F2139" s="88" t="s">
        <v>1141</v>
      </c>
      <c r="G2139" s="88" t="s">
        <v>752</v>
      </c>
      <c r="H2139" s="88" t="s">
        <v>596</v>
      </c>
    </row>
    <row r="2140" spans="1:8" x14ac:dyDescent="0.3">
      <c r="A2140" s="88" t="s">
        <v>716</v>
      </c>
      <c r="B2140" s="88">
        <v>126</v>
      </c>
      <c r="C2140" s="88">
        <v>34</v>
      </c>
      <c r="D2140" s="88" t="s">
        <v>210</v>
      </c>
      <c r="E2140" s="88" t="s">
        <v>1300</v>
      </c>
      <c r="F2140" s="88" t="s">
        <v>1262</v>
      </c>
      <c r="G2140" s="88" t="s">
        <v>755</v>
      </c>
      <c r="H2140" s="88" t="s">
        <v>596</v>
      </c>
    </row>
    <row r="2141" spans="1:8" x14ac:dyDescent="0.3">
      <c r="A2141" s="88" t="s">
        <v>716</v>
      </c>
      <c r="B2141" s="88">
        <v>126</v>
      </c>
      <c r="C2141" s="88">
        <v>35</v>
      </c>
      <c r="D2141" s="88" t="s">
        <v>210</v>
      </c>
      <c r="E2141" s="88" t="s">
        <v>1301</v>
      </c>
      <c r="F2141" s="88" t="s">
        <v>763</v>
      </c>
      <c r="G2141" s="88" t="s">
        <v>758</v>
      </c>
      <c r="H2141" s="88" t="s">
        <v>596</v>
      </c>
    </row>
    <row r="2142" spans="1:8" ht="28.8" x14ac:dyDescent="0.3">
      <c r="A2142" s="88" t="s">
        <v>716</v>
      </c>
      <c r="B2142" s="88">
        <v>126</v>
      </c>
      <c r="C2142" s="88">
        <v>38</v>
      </c>
      <c r="D2142" s="88" t="s">
        <v>210</v>
      </c>
      <c r="E2142" s="88" t="s">
        <v>1787</v>
      </c>
      <c r="F2142" s="88" t="s">
        <v>1152</v>
      </c>
      <c r="G2142" s="88" t="s">
        <v>719</v>
      </c>
      <c r="H2142" s="88" t="s">
        <v>596</v>
      </c>
    </row>
    <row r="2143" spans="1:8" ht="28.8" x14ac:dyDescent="0.3">
      <c r="A2143" s="88" t="s">
        <v>716</v>
      </c>
      <c r="B2143" s="88">
        <v>126</v>
      </c>
      <c r="C2143" s="88">
        <v>39</v>
      </c>
      <c r="D2143" s="88" t="s">
        <v>210</v>
      </c>
      <c r="E2143" s="88" t="s">
        <v>1151</v>
      </c>
      <c r="F2143" s="88" t="s">
        <v>1788</v>
      </c>
      <c r="G2143" s="88" t="s">
        <v>724</v>
      </c>
      <c r="H2143" s="88" t="s">
        <v>596</v>
      </c>
    </row>
    <row r="2144" spans="1:8" x14ac:dyDescent="0.3">
      <c r="A2144" s="88" t="s">
        <v>716</v>
      </c>
      <c r="B2144" s="88">
        <v>127</v>
      </c>
      <c r="C2144" s="88">
        <v>32</v>
      </c>
      <c r="D2144" s="88" t="s">
        <v>211</v>
      </c>
      <c r="E2144" s="88" t="s">
        <v>1789</v>
      </c>
      <c r="F2144" s="88" t="s">
        <v>1266</v>
      </c>
      <c r="G2144" s="88" t="s">
        <v>749</v>
      </c>
      <c r="H2144" s="88" t="s">
        <v>596</v>
      </c>
    </row>
    <row r="2145" spans="1:8" x14ac:dyDescent="0.3">
      <c r="A2145" s="88" t="s">
        <v>716</v>
      </c>
      <c r="B2145" s="88">
        <v>127</v>
      </c>
      <c r="C2145" s="88">
        <v>33</v>
      </c>
      <c r="D2145" s="88" t="s">
        <v>211</v>
      </c>
      <c r="E2145" s="88" t="s">
        <v>1262</v>
      </c>
      <c r="F2145" s="88" t="s">
        <v>1267</v>
      </c>
      <c r="G2145" s="88" t="s">
        <v>752</v>
      </c>
      <c r="H2145" s="88" t="s">
        <v>596</v>
      </c>
    </row>
    <row r="2146" spans="1:8" x14ac:dyDescent="0.3">
      <c r="A2146" s="88" t="s">
        <v>716</v>
      </c>
      <c r="B2146" s="88">
        <v>127</v>
      </c>
      <c r="C2146" s="88">
        <v>34</v>
      </c>
      <c r="D2146" s="88" t="s">
        <v>211</v>
      </c>
      <c r="E2146" s="88" t="s">
        <v>1109</v>
      </c>
      <c r="F2146" s="88" t="s">
        <v>1053</v>
      </c>
      <c r="G2146" s="88" t="s">
        <v>755</v>
      </c>
      <c r="H2146" s="88" t="s">
        <v>596</v>
      </c>
    </row>
    <row r="2147" spans="1:8" x14ac:dyDescent="0.3">
      <c r="A2147" s="88" t="s">
        <v>716</v>
      </c>
      <c r="B2147" s="88">
        <v>127</v>
      </c>
      <c r="C2147" s="88">
        <v>35</v>
      </c>
      <c r="D2147" s="88" t="s">
        <v>211</v>
      </c>
      <c r="E2147" s="88" t="s">
        <v>1302</v>
      </c>
      <c r="F2147" s="88" t="s">
        <v>1002</v>
      </c>
      <c r="G2147" s="88" t="s">
        <v>758</v>
      </c>
      <c r="H2147" s="88" t="s">
        <v>596</v>
      </c>
    </row>
    <row r="2148" spans="1:8" ht="28.8" x14ac:dyDescent="0.3">
      <c r="A2148" s="88" t="s">
        <v>716</v>
      </c>
      <c r="B2148" s="88">
        <v>127</v>
      </c>
      <c r="C2148" s="88">
        <v>38</v>
      </c>
      <c r="D2148" s="88" t="s">
        <v>211</v>
      </c>
      <c r="E2148" s="88" t="s">
        <v>1790</v>
      </c>
      <c r="F2148" s="88" t="s">
        <v>1304</v>
      </c>
      <c r="G2148" s="88" t="s">
        <v>719</v>
      </c>
      <c r="H2148" s="88" t="s">
        <v>596</v>
      </c>
    </row>
    <row r="2149" spans="1:8" ht="28.8" x14ac:dyDescent="0.3">
      <c r="A2149" s="88" t="s">
        <v>716</v>
      </c>
      <c r="B2149" s="88">
        <v>127</v>
      </c>
      <c r="C2149" s="88">
        <v>39</v>
      </c>
      <c r="D2149" s="88" t="s">
        <v>211</v>
      </c>
      <c r="E2149" s="88" t="s">
        <v>949</v>
      </c>
      <c r="F2149" s="88" t="s">
        <v>1306</v>
      </c>
      <c r="G2149" s="88" t="s">
        <v>724</v>
      </c>
      <c r="H2149" s="88" t="s">
        <v>596</v>
      </c>
    </row>
    <row r="2150" spans="1:8" x14ac:dyDescent="0.3">
      <c r="A2150" s="88" t="s">
        <v>716</v>
      </c>
      <c r="B2150" s="88">
        <v>128</v>
      </c>
      <c r="C2150" s="88">
        <v>32</v>
      </c>
      <c r="D2150" s="88" t="s">
        <v>212</v>
      </c>
      <c r="E2150" s="88" t="s">
        <v>1791</v>
      </c>
      <c r="F2150" s="88" t="s">
        <v>1002</v>
      </c>
      <c r="G2150" s="88" t="s">
        <v>749</v>
      </c>
      <c r="H2150" s="88" t="s">
        <v>596</v>
      </c>
    </row>
    <row r="2151" spans="1:8" x14ac:dyDescent="0.3">
      <c r="A2151" s="88" t="s">
        <v>716</v>
      </c>
      <c r="B2151" s="88">
        <v>128</v>
      </c>
      <c r="C2151" s="88">
        <v>33</v>
      </c>
      <c r="D2151" s="88" t="s">
        <v>212</v>
      </c>
      <c r="E2151" s="88" t="s">
        <v>1307</v>
      </c>
      <c r="F2151" s="88" t="s">
        <v>1116</v>
      </c>
      <c r="G2151" s="88" t="s">
        <v>752</v>
      </c>
      <c r="H2151" s="88" t="s">
        <v>596</v>
      </c>
    </row>
    <row r="2152" spans="1:8" x14ac:dyDescent="0.3">
      <c r="A2152" s="88" t="s">
        <v>716</v>
      </c>
      <c r="B2152" s="88">
        <v>128</v>
      </c>
      <c r="C2152" s="88">
        <v>34</v>
      </c>
      <c r="D2152" s="88" t="s">
        <v>212</v>
      </c>
      <c r="E2152" s="88" t="s">
        <v>1308</v>
      </c>
      <c r="F2152" s="88" t="s">
        <v>1268</v>
      </c>
      <c r="G2152" s="88" t="s">
        <v>755</v>
      </c>
      <c r="H2152" s="88" t="s">
        <v>596</v>
      </c>
    </row>
    <row r="2153" spans="1:8" x14ac:dyDescent="0.3">
      <c r="A2153" s="88" t="s">
        <v>716</v>
      </c>
      <c r="B2153" s="88">
        <v>128</v>
      </c>
      <c r="C2153" s="88">
        <v>35</v>
      </c>
      <c r="D2153" s="88" t="s">
        <v>212</v>
      </c>
      <c r="E2153" s="88" t="s">
        <v>1048</v>
      </c>
      <c r="F2153" s="88" t="s">
        <v>1269</v>
      </c>
      <c r="G2153" s="88" t="s">
        <v>758</v>
      </c>
      <c r="H2153" s="88" t="s">
        <v>596</v>
      </c>
    </row>
    <row r="2154" spans="1:8" ht="28.8" x14ac:dyDescent="0.3">
      <c r="A2154" s="88" t="s">
        <v>716</v>
      </c>
      <c r="B2154" s="88">
        <v>128</v>
      </c>
      <c r="C2154" s="88">
        <v>38</v>
      </c>
      <c r="D2154" s="88" t="s">
        <v>212</v>
      </c>
      <c r="E2154" s="88" t="s">
        <v>1792</v>
      </c>
      <c r="F2154" s="88" t="s">
        <v>1310</v>
      </c>
      <c r="G2154" s="88" t="s">
        <v>719</v>
      </c>
      <c r="H2154" s="88" t="s">
        <v>596</v>
      </c>
    </row>
    <row r="2155" spans="1:8" ht="28.8" x14ac:dyDescent="0.3">
      <c r="A2155" s="88" t="s">
        <v>716</v>
      </c>
      <c r="B2155" s="88">
        <v>128</v>
      </c>
      <c r="C2155" s="88">
        <v>39</v>
      </c>
      <c r="D2155" s="88" t="s">
        <v>212</v>
      </c>
      <c r="E2155" s="88" t="s">
        <v>1238</v>
      </c>
      <c r="F2155" s="88" t="s">
        <v>1312</v>
      </c>
      <c r="G2155" s="88" t="s">
        <v>724</v>
      </c>
      <c r="H2155" s="88" t="s">
        <v>596</v>
      </c>
    </row>
    <row r="2156" spans="1:8" x14ac:dyDescent="0.3">
      <c r="A2156" s="88" t="s">
        <v>716</v>
      </c>
      <c r="B2156" s="88">
        <v>129</v>
      </c>
      <c r="C2156" s="88">
        <v>32</v>
      </c>
      <c r="D2156" s="88" t="s">
        <v>213</v>
      </c>
      <c r="E2156" s="88" t="s">
        <v>1793</v>
      </c>
      <c r="F2156" s="88" t="s">
        <v>793</v>
      </c>
      <c r="G2156" s="88" t="s">
        <v>749</v>
      </c>
      <c r="H2156" s="88" t="s">
        <v>596</v>
      </c>
    </row>
    <row r="2157" spans="1:8" x14ac:dyDescent="0.3">
      <c r="A2157" s="88" t="s">
        <v>716</v>
      </c>
      <c r="B2157" s="88">
        <v>129</v>
      </c>
      <c r="C2157" s="88">
        <v>33</v>
      </c>
      <c r="D2157" s="88" t="s">
        <v>213</v>
      </c>
      <c r="E2157" s="88" t="s">
        <v>757</v>
      </c>
      <c r="F2157" s="88" t="s">
        <v>786</v>
      </c>
      <c r="G2157" s="88" t="s">
        <v>752</v>
      </c>
      <c r="H2157" s="88" t="s">
        <v>596</v>
      </c>
    </row>
    <row r="2158" spans="1:8" x14ac:dyDescent="0.3">
      <c r="A2158" s="88" t="s">
        <v>716</v>
      </c>
      <c r="B2158" s="88">
        <v>129</v>
      </c>
      <c r="C2158" s="88">
        <v>34</v>
      </c>
      <c r="D2158" s="88" t="s">
        <v>213</v>
      </c>
      <c r="E2158" s="88" t="s">
        <v>1313</v>
      </c>
      <c r="F2158" s="88" t="s">
        <v>805</v>
      </c>
      <c r="G2158" s="88" t="s">
        <v>755</v>
      </c>
      <c r="H2158" s="88" t="s">
        <v>596</v>
      </c>
    </row>
    <row r="2159" spans="1:8" x14ac:dyDescent="0.3">
      <c r="A2159" s="88" t="s">
        <v>716</v>
      </c>
      <c r="B2159" s="88">
        <v>129</v>
      </c>
      <c r="C2159" s="88">
        <v>35</v>
      </c>
      <c r="D2159" s="88" t="s">
        <v>213</v>
      </c>
      <c r="E2159" s="88" t="s">
        <v>1054</v>
      </c>
      <c r="F2159" s="88" t="s">
        <v>766</v>
      </c>
      <c r="G2159" s="88" t="s">
        <v>758</v>
      </c>
      <c r="H2159" s="88" t="s">
        <v>596</v>
      </c>
    </row>
    <row r="2160" spans="1:8" ht="28.8" x14ac:dyDescent="0.3">
      <c r="A2160" s="88" t="s">
        <v>716</v>
      </c>
      <c r="B2160" s="88">
        <v>129</v>
      </c>
      <c r="C2160" s="88">
        <v>38</v>
      </c>
      <c r="D2160" s="88" t="s">
        <v>213</v>
      </c>
      <c r="E2160" s="88" t="s">
        <v>1794</v>
      </c>
      <c r="F2160" s="88" t="s">
        <v>1314</v>
      </c>
      <c r="G2160" s="88" t="s">
        <v>719</v>
      </c>
      <c r="H2160" s="88" t="s">
        <v>596</v>
      </c>
    </row>
    <row r="2161" spans="1:8" ht="28.8" x14ac:dyDescent="0.3">
      <c r="A2161" s="88" t="s">
        <v>716</v>
      </c>
      <c r="B2161" s="88">
        <v>129</v>
      </c>
      <c r="C2161" s="88">
        <v>39</v>
      </c>
      <c r="D2161" s="88" t="s">
        <v>213</v>
      </c>
      <c r="E2161" s="88" t="s">
        <v>630</v>
      </c>
      <c r="F2161" s="88" t="s">
        <v>1795</v>
      </c>
      <c r="G2161" s="88" t="s">
        <v>724</v>
      </c>
      <c r="H2161" s="88" t="s">
        <v>596</v>
      </c>
    </row>
    <row r="2162" spans="1:8" x14ac:dyDescent="0.3">
      <c r="A2162" s="88" t="s">
        <v>716</v>
      </c>
      <c r="B2162" s="88">
        <v>130</v>
      </c>
      <c r="C2162" s="88">
        <v>32</v>
      </c>
      <c r="D2162" s="88" t="s">
        <v>214</v>
      </c>
      <c r="E2162" s="88" t="s">
        <v>1796</v>
      </c>
      <c r="F2162" s="88" t="s">
        <v>1042</v>
      </c>
      <c r="G2162" s="88" t="s">
        <v>749</v>
      </c>
      <c r="H2162" s="88" t="s">
        <v>596</v>
      </c>
    </row>
    <row r="2163" spans="1:8" x14ac:dyDescent="0.3">
      <c r="A2163" s="88" t="s">
        <v>716</v>
      </c>
      <c r="B2163" s="88">
        <v>130</v>
      </c>
      <c r="C2163" s="88">
        <v>33</v>
      </c>
      <c r="D2163" s="88" t="s">
        <v>214</v>
      </c>
      <c r="E2163" s="88" t="s">
        <v>1315</v>
      </c>
      <c r="F2163" s="88" t="s">
        <v>1220</v>
      </c>
      <c r="G2163" s="88" t="s">
        <v>752</v>
      </c>
      <c r="H2163" s="88" t="s">
        <v>596</v>
      </c>
    </row>
    <row r="2164" spans="1:8" x14ac:dyDescent="0.3">
      <c r="A2164" s="88" t="s">
        <v>716</v>
      </c>
      <c r="B2164" s="88">
        <v>130</v>
      </c>
      <c r="C2164" s="88">
        <v>34</v>
      </c>
      <c r="D2164" s="88" t="s">
        <v>214</v>
      </c>
      <c r="E2164" s="88" t="s">
        <v>1316</v>
      </c>
      <c r="F2164" s="88" t="s">
        <v>804</v>
      </c>
      <c r="G2164" s="88" t="s">
        <v>755</v>
      </c>
      <c r="H2164" s="88" t="s">
        <v>596</v>
      </c>
    </row>
    <row r="2165" spans="1:8" x14ac:dyDescent="0.3">
      <c r="A2165" s="88" t="s">
        <v>716</v>
      </c>
      <c r="B2165" s="88">
        <v>130</v>
      </c>
      <c r="C2165" s="88">
        <v>35</v>
      </c>
      <c r="D2165" s="88" t="s">
        <v>214</v>
      </c>
      <c r="E2165" s="88" t="s">
        <v>889</v>
      </c>
      <c r="F2165" s="88" t="s">
        <v>1262</v>
      </c>
      <c r="G2165" s="88" t="s">
        <v>758</v>
      </c>
      <c r="H2165" s="88" t="s">
        <v>596</v>
      </c>
    </row>
    <row r="2166" spans="1:8" ht="28.8" x14ac:dyDescent="0.3">
      <c r="A2166" s="88" t="s">
        <v>716</v>
      </c>
      <c r="B2166" s="88">
        <v>130</v>
      </c>
      <c r="C2166" s="88">
        <v>38</v>
      </c>
      <c r="D2166" s="88" t="s">
        <v>214</v>
      </c>
      <c r="E2166" s="88" t="s">
        <v>1797</v>
      </c>
      <c r="F2166" s="88" t="s">
        <v>1317</v>
      </c>
      <c r="G2166" s="88" t="s">
        <v>719</v>
      </c>
      <c r="H2166" s="88" t="s">
        <v>596</v>
      </c>
    </row>
    <row r="2167" spans="1:8" ht="28.8" x14ac:dyDescent="0.3">
      <c r="A2167" s="88" t="s">
        <v>716</v>
      </c>
      <c r="B2167" s="88">
        <v>130</v>
      </c>
      <c r="C2167" s="88">
        <v>39</v>
      </c>
      <c r="D2167" s="88" t="s">
        <v>214</v>
      </c>
      <c r="E2167" s="88" t="s">
        <v>745</v>
      </c>
      <c r="F2167" s="88" t="s">
        <v>1798</v>
      </c>
      <c r="G2167" s="88" t="s">
        <v>724</v>
      </c>
      <c r="H2167" s="88" t="s">
        <v>596</v>
      </c>
    </row>
    <row r="2168" spans="1:8" x14ac:dyDescent="0.3">
      <c r="A2168" s="88" t="s">
        <v>716</v>
      </c>
      <c r="B2168" s="88">
        <v>131</v>
      </c>
      <c r="C2168" s="88">
        <v>32</v>
      </c>
      <c r="D2168" s="88" t="s">
        <v>215</v>
      </c>
      <c r="E2168" s="88" t="s">
        <v>1799</v>
      </c>
      <c r="F2168" s="88" t="s">
        <v>1318</v>
      </c>
      <c r="G2168" s="88" t="s">
        <v>749</v>
      </c>
      <c r="H2168" s="88" t="s">
        <v>596</v>
      </c>
    </row>
    <row r="2169" spans="1:8" x14ac:dyDescent="0.3">
      <c r="A2169" s="88" t="s">
        <v>716</v>
      </c>
      <c r="B2169" s="88">
        <v>131</v>
      </c>
      <c r="C2169" s="88">
        <v>33</v>
      </c>
      <c r="D2169" s="88" t="s">
        <v>215</v>
      </c>
      <c r="E2169" s="88" t="s">
        <v>848</v>
      </c>
      <c r="F2169" s="88" t="s">
        <v>1320</v>
      </c>
      <c r="G2169" s="88" t="s">
        <v>752</v>
      </c>
      <c r="H2169" s="88" t="s">
        <v>596</v>
      </c>
    </row>
    <row r="2170" spans="1:8" x14ac:dyDescent="0.3">
      <c r="A2170" s="88" t="s">
        <v>716</v>
      </c>
      <c r="B2170" s="88">
        <v>131</v>
      </c>
      <c r="C2170" s="88">
        <v>34</v>
      </c>
      <c r="D2170" s="88" t="s">
        <v>215</v>
      </c>
      <c r="E2170" s="88" t="s">
        <v>1319</v>
      </c>
      <c r="F2170" s="88" t="s">
        <v>966</v>
      </c>
      <c r="G2170" s="88" t="s">
        <v>755</v>
      </c>
      <c r="H2170" s="88" t="s">
        <v>596</v>
      </c>
    </row>
    <row r="2171" spans="1:8" x14ac:dyDescent="0.3">
      <c r="A2171" s="88" t="s">
        <v>716</v>
      </c>
      <c r="B2171" s="88">
        <v>131</v>
      </c>
      <c r="C2171" s="88">
        <v>35</v>
      </c>
      <c r="D2171" s="88" t="s">
        <v>215</v>
      </c>
      <c r="E2171" s="88" t="s">
        <v>835</v>
      </c>
      <c r="F2171" s="88" t="s">
        <v>1163</v>
      </c>
      <c r="G2171" s="88" t="s">
        <v>758</v>
      </c>
      <c r="H2171" s="88" t="s">
        <v>596</v>
      </c>
    </row>
    <row r="2172" spans="1:8" ht="28.8" x14ac:dyDescent="0.3">
      <c r="A2172" s="88" t="s">
        <v>716</v>
      </c>
      <c r="B2172" s="88">
        <v>131</v>
      </c>
      <c r="C2172" s="88">
        <v>38</v>
      </c>
      <c r="D2172" s="88" t="s">
        <v>215</v>
      </c>
      <c r="E2172" s="88" t="s">
        <v>1800</v>
      </c>
      <c r="F2172" s="88" t="s">
        <v>1322</v>
      </c>
      <c r="G2172" s="88" t="s">
        <v>719</v>
      </c>
      <c r="H2172" s="88" t="s">
        <v>596</v>
      </c>
    </row>
    <row r="2173" spans="1:8" ht="28.8" x14ac:dyDescent="0.3">
      <c r="A2173" s="88" t="s">
        <v>716</v>
      </c>
      <c r="B2173" s="88">
        <v>131</v>
      </c>
      <c r="C2173" s="88">
        <v>39</v>
      </c>
      <c r="D2173" s="88" t="s">
        <v>215</v>
      </c>
      <c r="E2173" s="88" t="s">
        <v>1321</v>
      </c>
      <c r="F2173" s="88" t="s">
        <v>1801</v>
      </c>
      <c r="G2173" s="88" t="s">
        <v>724</v>
      </c>
      <c r="H2173" s="88" t="s">
        <v>596</v>
      </c>
    </row>
    <row r="2174" spans="1:8" ht="28.8" x14ac:dyDescent="0.3">
      <c r="A2174" s="88" t="s">
        <v>716</v>
      </c>
      <c r="B2174" s="88">
        <v>132</v>
      </c>
      <c r="C2174" s="88">
        <v>32</v>
      </c>
      <c r="D2174" s="88" t="s">
        <v>216</v>
      </c>
      <c r="E2174" s="88" t="s">
        <v>1802</v>
      </c>
      <c r="F2174" s="88" t="s">
        <v>829</v>
      </c>
      <c r="G2174" s="88" t="s">
        <v>749</v>
      </c>
      <c r="H2174" s="88" t="s">
        <v>596</v>
      </c>
    </row>
    <row r="2175" spans="1:8" x14ac:dyDescent="0.3">
      <c r="A2175" s="88" t="s">
        <v>716</v>
      </c>
      <c r="B2175" s="88">
        <v>132</v>
      </c>
      <c r="C2175" s="88">
        <v>33</v>
      </c>
      <c r="D2175" s="88" t="s">
        <v>216</v>
      </c>
      <c r="E2175" s="88" t="s">
        <v>866</v>
      </c>
      <c r="F2175" s="88" t="s">
        <v>1109</v>
      </c>
      <c r="G2175" s="88" t="s">
        <v>752</v>
      </c>
      <c r="H2175" s="88" t="s">
        <v>596</v>
      </c>
    </row>
    <row r="2176" spans="1:8" x14ac:dyDescent="0.3">
      <c r="A2176" s="88" t="s">
        <v>716</v>
      </c>
      <c r="B2176" s="88">
        <v>132</v>
      </c>
      <c r="C2176" s="88">
        <v>34</v>
      </c>
      <c r="D2176" s="88" t="s">
        <v>216</v>
      </c>
      <c r="E2176" s="88" t="s">
        <v>1323</v>
      </c>
      <c r="F2176" s="88" t="s">
        <v>822</v>
      </c>
      <c r="G2176" s="88" t="s">
        <v>755</v>
      </c>
      <c r="H2176" s="88" t="s">
        <v>596</v>
      </c>
    </row>
    <row r="2177" spans="1:8" x14ac:dyDescent="0.3">
      <c r="A2177" s="88" t="s">
        <v>716</v>
      </c>
      <c r="B2177" s="88">
        <v>132</v>
      </c>
      <c r="C2177" s="88">
        <v>35</v>
      </c>
      <c r="D2177" s="88" t="s">
        <v>216</v>
      </c>
      <c r="E2177" s="88" t="s">
        <v>960</v>
      </c>
      <c r="F2177" s="88" t="s">
        <v>1115</v>
      </c>
      <c r="G2177" s="88" t="s">
        <v>758</v>
      </c>
      <c r="H2177" s="88" t="s">
        <v>596</v>
      </c>
    </row>
    <row r="2178" spans="1:8" ht="28.8" x14ac:dyDescent="0.3">
      <c r="A2178" s="88" t="s">
        <v>716</v>
      </c>
      <c r="B2178" s="88">
        <v>132</v>
      </c>
      <c r="C2178" s="88">
        <v>38</v>
      </c>
      <c r="D2178" s="88" t="s">
        <v>216</v>
      </c>
      <c r="E2178" s="88" t="s">
        <v>1803</v>
      </c>
      <c r="F2178" s="88" t="s">
        <v>1326</v>
      </c>
      <c r="G2178" s="88" t="s">
        <v>719</v>
      </c>
      <c r="H2178" s="88" t="s">
        <v>596</v>
      </c>
    </row>
    <row r="2179" spans="1:8" ht="28.8" x14ac:dyDescent="0.3">
      <c r="A2179" s="88" t="s">
        <v>716</v>
      </c>
      <c r="B2179" s="88">
        <v>132</v>
      </c>
      <c r="C2179" s="88">
        <v>39</v>
      </c>
      <c r="D2179" s="88" t="s">
        <v>216</v>
      </c>
      <c r="E2179" s="88" t="s">
        <v>1325</v>
      </c>
      <c r="F2179" s="88" t="s">
        <v>1804</v>
      </c>
      <c r="G2179" s="88" t="s">
        <v>724</v>
      </c>
      <c r="H2179" s="88" t="s">
        <v>596</v>
      </c>
    </row>
    <row r="2180" spans="1:8" x14ac:dyDescent="0.3">
      <c r="A2180" s="88" t="s">
        <v>716</v>
      </c>
      <c r="B2180" s="88">
        <v>133</v>
      </c>
      <c r="C2180" s="88">
        <v>32</v>
      </c>
      <c r="D2180" s="88" t="s">
        <v>217</v>
      </c>
      <c r="E2180" s="88" t="s">
        <v>1805</v>
      </c>
      <c r="F2180" s="88" t="s">
        <v>698</v>
      </c>
      <c r="G2180" s="88" t="s">
        <v>749</v>
      </c>
      <c r="H2180" s="88" t="s">
        <v>596</v>
      </c>
    </row>
    <row r="2181" spans="1:8" x14ac:dyDescent="0.3">
      <c r="A2181" s="88" t="s">
        <v>716</v>
      </c>
      <c r="B2181" s="88">
        <v>133</v>
      </c>
      <c r="C2181" s="88">
        <v>33</v>
      </c>
      <c r="D2181" s="88" t="s">
        <v>217</v>
      </c>
      <c r="E2181" s="88" t="s">
        <v>1231</v>
      </c>
      <c r="F2181" s="88" t="s">
        <v>1279</v>
      </c>
      <c r="G2181" s="88" t="s">
        <v>752</v>
      </c>
      <c r="H2181" s="88" t="s">
        <v>596</v>
      </c>
    </row>
    <row r="2182" spans="1:8" x14ac:dyDescent="0.3">
      <c r="A2182" s="88" t="s">
        <v>716</v>
      </c>
      <c r="B2182" s="88">
        <v>133</v>
      </c>
      <c r="C2182" s="88">
        <v>34</v>
      </c>
      <c r="D2182" s="88" t="s">
        <v>217</v>
      </c>
      <c r="E2182" s="88" t="s">
        <v>1024</v>
      </c>
      <c r="F2182" s="88" t="s">
        <v>1167</v>
      </c>
      <c r="G2182" s="88" t="s">
        <v>755</v>
      </c>
      <c r="H2182" s="88" t="s">
        <v>596</v>
      </c>
    </row>
    <row r="2183" spans="1:8" x14ac:dyDescent="0.3">
      <c r="A2183" s="88" t="s">
        <v>716</v>
      </c>
      <c r="B2183" s="88">
        <v>133</v>
      </c>
      <c r="C2183" s="88">
        <v>35</v>
      </c>
      <c r="D2183" s="88" t="s">
        <v>217</v>
      </c>
      <c r="E2183" s="88" t="s">
        <v>866</v>
      </c>
      <c r="F2183" s="88" t="s">
        <v>1061</v>
      </c>
      <c r="G2183" s="88" t="s">
        <v>758</v>
      </c>
      <c r="H2183" s="88" t="s">
        <v>596</v>
      </c>
    </row>
    <row r="2184" spans="1:8" ht="28.8" x14ac:dyDescent="0.3">
      <c r="A2184" s="88" t="s">
        <v>716</v>
      </c>
      <c r="B2184" s="88">
        <v>133</v>
      </c>
      <c r="C2184" s="88">
        <v>38</v>
      </c>
      <c r="D2184" s="88" t="s">
        <v>217</v>
      </c>
      <c r="E2184" s="88" t="s">
        <v>1806</v>
      </c>
      <c r="F2184" s="88" t="s">
        <v>1329</v>
      </c>
      <c r="G2184" s="88" t="s">
        <v>719</v>
      </c>
      <c r="H2184" s="88" t="s">
        <v>596</v>
      </c>
    </row>
    <row r="2185" spans="1:8" ht="28.8" x14ac:dyDescent="0.3">
      <c r="A2185" s="88" t="s">
        <v>716</v>
      </c>
      <c r="B2185" s="88">
        <v>133</v>
      </c>
      <c r="C2185" s="88">
        <v>39</v>
      </c>
      <c r="D2185" s="88" t="s">
        <v>217</v>
      </c>
      <c r="E2185" s="88" t="s">
        <v>1328</v>
      </c>
      <c r="F2185" s="88" t="s">
        <v>1807</v>
      </c>
      <c r="G2185" s="88" t="s">
        <v>724</v>
      </c>
      <c r="H2185" s="88" t="s">
        <v>596</v>
      </c>
    </row>
    <row r="2186" spans="1:8" x14ac:dyDescent="0.3">
      <c r="A2186" s="88" t="s">
        <v>716</v>
      </c>
      <c r="B2186" s="88">
        <v>134</v>
      </c>
      <c r="C2186" s="88">
        <v>32</v>
      </c>
      <c r="D2186" s="88" t="s">
        <v>218</v>
      </c>
      <c r="E2186" s="88" t="s">
        <v>1573</v>
      </c>
      <c r="F2186" s="88" t="s">
        <v>1130</v>
      </c>
      <c r="G2186" s="88" t="s">
        <v>749</v>
      </c>
      <c r="H2186" s="88" t="s">
        <v>596</v>
      </c>
    </row>
    <row r="2187" spans="1:8" x14ac:dyDescent="0.3">
      <c r="A2187" s="88" t="s">
        <v>716</v>
      </c>
      <c r="B2187" s="88">
        <v>134</v>
      </c>
      <c r="C2187" s="88">
        <v>33</v>
      </c>
      <c r="D2187" s="88" t="s">
        <v>218</v>
      </c>
      <c r="E2187" s="88" t="s">
        <v>826</v>
      </c>
      <c r="F2187" s="88" t="s">
        <v>1281</v>
      </c>
      <c r="G2187" s="88" t="s">
        <v>752</v>
      </c>
      <c r="H2187" s="88" t="s">
        <v>596</v>
      </c>
    </row>
    <row r="2188" spans="1:8" x14ac:dyDescent="0.3">
      <c r="A2188" s="88" t="s">
        <v>716</v>
      </c>
      <c r="B2188" s="88">
        <v>134</v>
      </c>
      <c r="C2188" s="88">
        <v>34</v>
      </c>
      <c r="D2188" s="88" t="s">
        <v>218</v>
      </c>
      <c r="E2188" s="88" t="s">
        <v>1231</v>
      </c>
      <c r="F2188" s="88" t="s">
        <v>879</v>
      </c>
      <c r="G2188" s="88" t="s">
        <v>755</v>
      </c>
      <c r="H2188" s="88" t="s">
        <v>596</v>
      </c>
    </row>
    <row r="2189" spans="1:8" x14ac:dyDescent="0.3">
      <c r="A2189" s="88" t="s">
        <v>716</v>
      </c>
      <c r="B2189" s="88">
        <v>134</v>
      </c>
      <c r="C2189" s="88">
        <v>35</v>
      </c>
      <c r="D2189" s="88" t="s">
        <v>218</v>
      </c>
      <c r="E2189" s="88" t="s">
        <v>1123</v>
      </c>
      <c r="F2189" s="88" t="s">
        <v>959</v>
      </c>
      <c r="G2189" s="88" t="s">
        <v>758</v>
      </c>
      <c r="H2189" s="88" t="s">
        <v>596</v>
      </c>
    </row>
    <row r="2190" spans="1:8" ht="28.8" x14ac:dyDescent="0.3">
      <c r="A2190" s="88" t="s">
        <v>716</v>
      </c>
      <c r="B2190" s="88">
        <v>134</v>
      </c>
      <c r="C2190" s="88">
        <v>38</v>
      </c>
      <c r="D2190" s="88" t="s">
        <v>218</v>
      </c>
      <c r="E2190" s="88" t="s">
        <v>1808</v>
      </c>
      <c r="F2190" s="88" t="s">
        <v>1331</v>
      </c>
      <c r="G2190" s="88" t="s">
        <v>719</v>
      </c>
      <c r="H2190" s="88" t="s">
        <v>596</v>
      </c>
    </row>
    <row r="2191" spans="1:8" ht="28.8" x14ac:dyDescent="0.3">
      <c r="A2191" s="88" t="s">
        <v>716</v>
      </c>
      <c r="B2191" s="88">
        <v>134</v>
      </c>
      <c r="C2191" s="88">
        <v>39</v>
      </c>
      <c r="D2191" s="88" t="s">
        <v>218</v>
      </c>
      <c r="E2191" s="88" t="s">
        <v>1330</v>
      </c>
      <c r="F2191" s="88" t="s">
        <v>1333</v>
      </c>
      <c r="G2191" s="88" t="s">
        <v>724</v>
      </c>
      <c r="H2191" s="88" t="s">
        <v>596</v>
      </c>
    </row>
    <row r="2192" spans="1:8" x14ac:dyDescent="0.3">
      <c r="A2192" s="88" t="s">
        <v>716</v>
      </c>
      <c r="B2192" s="88">
        <v>135</v>
      </c>
      <c r="C2192" s="88">
        <v>32</v>
      </c>
      <c r="D2192" s="88" t="s">
        <v>219</v>
      </c>
      <c r="E2192" s="88" t="s">
        <v>1809</v>
      </c>
      <c r="F2192" s="88" t="s">
        <v>997</v>
      </c>
      <c r="G2192" s="88" t="s">
        <v>749</v>
      </c>
      <c r="H2192" s="88" t="s">
        <v>596</v>
      </c>
    </row>
    <row r="2193" spans="1:8" x14ac:dyDescent="0.3">
      <c r="A2193" s="88" t="s">
        <v>716</v>
      </c>
      <c r="B2193" s="88">
        <v>135</v>
      </c>
      <c r="C2193" s="88">
        <v>33</v>
      </c>
      <c r="D2193" s="88" t="s">
        <v>219</v>
      </c>
      <c r="E2193" s="88" t="s">
        <v>747</v>
      </c>
      <c r="F2193" s="88" t="s">
        <v>1283</v>
      </c>
      <c r="G2193" s="88" t="s">
        <v>752</v>
      </c>
      <c r="H2193" s="88" t="s">
        <v>596</v>
      </c>
    </row>
    <row r="2194" spans="1:8" x14ac:dyDescent="0.3">
      <c r="A2194" s="88" t="s">
        <v>716</v>
      </c>
      <c r="B2194" s="88">
        <v>135</v>
      </c>
      <c r="C2194" s="88">
        <v>34</v>
      </c>
      <c r="D2194" s="88" t="s">
        <v>219</v>
      </c>
      <c r="E2194" s="88" t="s">
        <v>917</v>
      </c>
      <c r="F2194" s="88" t="s">
        <v>706</v>
      </c>
      <c r="G2194" s="88" t="s">
        <v>755</v>
      </c>
      <c r="H2194" s="88" t="s">
        <v>596</v>
      </c>
    </row>
    <row r="2195" spans="1:8" x14ac:dyDescent="0.3">
      <c r="A2195" s="88" t="s">
        <v>716</v>
      </c>
      <c r="B2195" s="88">
        <v>135</v>
      </c>
      <c r="C2195" s="88">
        <v>35</v>
      </c>
      <c r="D2195" s="88" t="s">
        <v>219</v>
      </c>
      <c r="E2195" s="88" t="s">
        <v>641</v>
      </c>
      <c r="F2195" s="88" t="s">
        <v>871</v>
      </c>
      <c r="G2195" s="88" t="s">
        <v>758</v>
      </c>
      <c r="H2195" s="88" t="s">
        <v>596</v>
      </c>
    </row>
    <row r="2196" spans="1:8" ht="28.8" x14ac:dyDescent="0.3">
      <c r="A2196" s="88" t="s">
        <v>716</v>
      </c>
      <c r="B2196" s="88">
        <v>135</v>
      </c>
      <c r="C2196" s="88">
        <v>38</v>
      </c>
      <c r="D2196" s="88" t="s">
        <v>219</v>
      </c>
      <c r="E2196" s="88" t="s">
        <v>1810</v>
      </c>
      <c r="F2196" s="88" t="s">
        <v>1335</v>
      </c>
      <c r="G2196" s="88" t="s">
        <v>719</v>
      </c>
      <c r="H2196" s="88" t="s">
        <v>596</v>
      </c>
    </row>
    <row r="2197" spans="1:8" ht="28.8" x14ac:dyDescent="0.3">
      <c r="A2197" s="88" t="s">
        <v>716</v>
      </c>
      <c r="B2197" s="88">
        <v>135</v>
      </c>
      <c r="C2197" s="88">
        <v>39</v>
      </c>
      <c r="D2197" s="88" t="s">
        <v>219</v>
      </c>
      <c r="E2197" s="88" t="s">
        <v>1334</v>
      </c>
      <c r="F2197" s="88" t="s">
        <v>666</v>
      </c>
      <c r="G2197" s="88" t="s">
        <v>724</v>
      </c>
      <c r="H2197" s="88" t="s">
        <v>596</v>
      </c>
    </row>
    <row r="2198" spans="1:8" x14ac:dyDescent="0.3">
      <c r="A2198" s="88" t="s">
        <v>716</v>
      </c>
      <c r="B2198" s="88">
        <v>136</v>
      </c>
      <c r="C2198" s="88">
        <v>32</v>
      </c>
      <c r="D2198" s="88" t="s">
        <v>220</v>
      </c>
      <c r="E2198" s="88" t="s">
        <v>1811</v>
      </c>
      <c r="F2198" s="88" t="s">
        <v>904</v>
      </c>
      <c r="G2198" s="88" t="s">
        <v>749</v>
      </c>
      <c r="H2198" s="88" t="s">
        <v>596</v>
      </c>
    </row>
    <row r="2199" spans="1:8" x14ac:dyDescent="0.3">
      <c r="A2199" s="88" t="s">
        <v>716</v>
      </c>
      <c r="B2199" s="88">
        <v>136</v>
      </c>
      <c r="C2199" s="88">
        <v>33</v>
      </c>
      <c r="D2199" s="88" t="s">
        <v>220</v>
      </c>
      <c r="E2199" s="88" t="s">
        <v>1054</v>
      </c>
      <c r="F2199" s="88" t="s">
        <v>1231</v>
      </c>
      <c r="G2199" s="88" t="s">
        <v>752</v>
      </c>
      <c r="H2199" s="88" t="s">
        <v>596</v>
      </c>
    </row>
    <row r="2200" spans="1:8" x14ac:dyDescent="0.3">
      <c r="A2200" s="88" t="s">
        <v>716</v>
      </c>
      <c r="B2200" s="88">
        <v>136</v>
      </c>
      <c r="C2200" s="88">
        <v>34</v>
      </c>
      <c r="D2200" s="88" t="s">
        <v>220</v>
      </c>
      <c r="E2200" s="88" t="s">
        <v>1336</v>
      </c>
      <c r="F2200" s="88" t="s">
        <v>962</v>
      </c>
      <c r="G2200" s="88" t="s">
        <v>755</v>
      </c>
      <c r="H2200" s="88" t="s">
        <v>596</v>
      </c>
    </row>
    <row r="2201" spans="1:8" x14ac:dyDescent="0.3">
      <c r="A2201" s="88" t="s">
        <v>716</v>
      </c>
      <c r="B2201" s="88">
        <v>136</v>
      </c>
      <c r="C2201" s="88">
        <v>35</v>
      </c>
      <c r="D2201" s="88" t="s">
        <v>220</v>
      </c>
      <c r="E2201" s="88" t="s">
        <v>1337</v>
      </c>
      <c r="F2201" s="88" t="s">
        <v>1262</v>
      </c>
      <c r="G2201" s="88" t="s">
        <v>758</v>
      </c>
      <c r="H2201" s="88" t="s">
        <v>596</v>
      </c>
    </row>
    <row r="2202" spans="1:8" ht="28.8" x14ac:dyDescent="0.3">
      <c r="A2202" s="88" t="s">
        <v>716</v>
      </c>
      <c r="B2202" s="88">
        <v>136</v>
      </c>
      <c r="C2202" s="88">
        <v>38</v>
      </c>
      <c r="D2202" s="88" t="s">
        <v>220</v>
      </c>
      <c r="E2202" s="88" t="s">
        <v>1812</v>
      </c>
      <c r="F2202" s="88"/>
      <c r="G2202" s="88" t="s">
        <v>719</v>
      </c>
      <c r="H2202" s="88" t="s">
        <v>596</v>
      </c>
    </row>
    <row r="2203" spans="1:8" ht="28.8" x14ac:dyDescent="0.3">
      <c r="A2203" s="88" t="s">
        <v>716</v>
      </c>
      <c r="B2203" s="88">
        <v>136</v>
      </c>
      <c r="C2203" s="88">
        <v>39</v>
      </c>
      <c r="D2203" s="88" t="s">
        <v>220</v>
      </c>
      <c r="E2203" s="88" t="s">
        <v>734</v>
      </c>
      <c r="F2203" s="88" t="s">
        <v>1340</v>
      </c>
      <c r="G2203" s="88" t="s">
        <v>724</v>
      </c>
      <c r="H2203" s="88" t="s">
        <v>596</v>
      </c>
    </row>
    <row r="2204" spans="1:8" x14ac:dyDescent="0.3">
      <c r="A2204" s="88" t="s">
        <v>716</v>
      </c>
      <c r="B2204" s="88">
        <v>137</v>
      </c>
      <c r="C2204" s="88">
        <v>32</v>
      </c>
      <c r="D2204" s="88" t="s">
        <v>221</v>
      </c>
      <c r="E2204" s="88" t="s">
        <v>1813</v>
      </c>
      <c r="F2204" s="88" t="s">
        <v>970</v>
      </c>
      <c r="G2204" s="88" t="s">
        <v>749</v>
      </c>
      <c r="H2204" s="88" t="s">
        <v>596</v>
      </c>
    </row>
    <row r="2205" spans="1:8" x14ac:dyDescent="0.3">
      <c r="A2205" s="88" t="s">
        <v>716</v>
      </c>
      <c r="B2205" s="88">
        <v>137</v>
      </c>
      <c r="C2205" s="88">
        <v>33</v>
      </c>
      <c r="D2205" s="88" t="s">
        <v>221</v>
      </c>
      <c r="E2205" s="88" t="s">
        <v>804</v>
      </c>
      <c r="F2205" s="88" t="s">
        <v>1290</v>
      </c>
      <c r="G2205" s="88" t="s">
        <v>752</v>
      </c>
      <c r="H2205" s="88" t="s">
        <v>596</v>
      </c>
    </row>
    <row r="2206" spans="1:8" x14ac:dyDescent="0.3">
      <c r="A2206" s="88" t="s">
        <v>716</v>
      </c>
      <c r="B2206" s="88">
        <v>137</v>
      </c>
      <c r="C2206" s="88">
        <v>34</v>
      </c>
      <c r="D2206" s="88" t="s">
        <v>221</v>
      </c>
      <c r="E2206" s="88" t="s">
        <v>1341</v>
      </c>
      <c r="F2206" s="88" t="s">
        <v>1081</v>
      </c>
      <c r="G2206" s="88" t="s">
        <v>755</v>
      </c>
      <c r="H2206" s="88" t="s">
        <v>596</v>
      </c>
    </row>
    <row r="2207" spans="1:8" x14ac:dyDescent="0.3">
      <c r="A2207" s="88" t="s">
        <v>716</v>
      </c>
      <c r="B2207" s="88">
        <v>137</v>
      </c>
      <c r="C2207" s="88">
        <v>35</v>
      </c>
      <c r="D2207" s="88" t="s">
        <v>221</v>
      </c>
      <c r="E2207" s="88" t="s">
        <v>843</v>
      </c>
      <c r="F2207" s="88" t="s">
        <v>1155</v>
      </c>
      <c r="G2207" s="88" t="s">
        <v>758</v>
      </c>
      <c r="H2207" s="88" t="s">
        <v>596</v>
      </c>
    </row>
    <row r="2208" spans="1:8" ht="28.8" x14ac:dyDescent="0.3">
      <c r="A2208" s="88" t="s">
        <v>716</v>
      </c>
      <c r="B2208" s="88">
        <v>137</v>
      </c>
      <c r="C2208" s="88">
        <v>38</v>
      </c>
      <c r="D2208" s="88" t="s">
        <v>221</v>
      </c>
      <c r="E2208" s="88" t="s">
        <v>1814</v>
      </c>
      <c r="F2208" s="88" t="s">
        <v>1342</v>
      </c>
      <c r="G2208" s="88" t="s">
        <v>719</v>
      </c>
      <c r="H2208" s="88" t="s">
        <v>596</v>
      </c>
    </row>
    <row r="2209" spans="1:8" ht="28.8" x14ac:dyDescent="0.3">
      <c r="A2209" s="88" t="s">
        <v>716</v>
      </c>
      <c r="B2209" s="88">
        <v>137</v>
      </c>
      <c r="C2209" s="88">
        <v>39</v>
      </c>
      <c r="D2209" s="88" t="s">
        <v>221</v>
      </c>
      <c r="E2209" s="88" t="s">
        <v>725</v>
      </c>
      <c r="F2209" s="88" t="s">
        <v>1815</v>
      </c>
      <c r="G2209" s="88" t="s">
        <v>724</v>
      </c>
      <c r="H2209" s="88" t="s">
        <v>596</v>
      </c>
    </row>
    <row r="2210" spans="1:8" ht="28.8" x14ac:dyDescent="0.3">
      <c r="A2210" s="88" t="s">
        <v>716</v>
      </c>
      <c r="B2210" s="88">
        <v>138</v>
      </c>
      <c r="C2210" s="88">
        <v>32</v>
      </c>
      <c r="D2210" s="88" t="s">
        <v>222</v>
      </c>
      <c r="E2210" s="88" t="s">
        <v>1816</v>
      </c>
      <c r="F2210" s="88" t="s">
        <v>985</v>
      </c>
      <c r="G2210" s="88" t="s">
        <v>749</v>
      </c>
      <c r="H2210" s="88" t="s">
        <v>596</v>
      </c>
    </row>
    <row r="2211" spans="1:8" x14ac:dyDescent="0.3">
      <c r="A2211" s="88" t="s">
        <v>716</v>
      </c>
      <c r="B2211" s="88">
        <v>138</v>
      </c>
      <c r="C2211" s="88">
        <v>33</v>
      </c>
      <c r="D2211" s="88" t="s">
        <v>222</v>
      </c>
      <c r="E2211" s="88" t="s">
        <v>980</v>
      </c>
      <c r="F2211" s="88" t="s">
        <v>1295</v>
      </c>
      <c r="G2211" s="88" t="s">
        <v>752</v>
      </c>
      <c r="H2211" s="88" t="s">
        <v>596</v>
      </c>
    </row>
    <row r="2212" spans="1:8" x14ac:dyDescent="0.3">
      <c r="A2212" s="88" t="s">
        <v>716</v>
      </c>
      <c r="B2212" s="88">
        <v>138</v>
      </c>
      <c r="C2212" s="88">
        <v>34</v>
      </c>
      <c r="D2212" s="88" t="s">
        <v>222</v>
      </c>
      <c r="E2212" s="88" t="s">
        <v>1343</v>
      </c>
      <c r="F2212" s="88" t="s">
        <v>998</v>
      </c>
      <c r="G2212" s="88" t="s">
        <v>755</v>
      </c>
      <c r="H2212" s="88" t="s">
        <v>596</v>
      </c>
    </row>
    <row r="2213" spans="1:8" x14ac:dyDescent="0.3">
      <c r="A2213" s="88" t="s">
        <v>716</v>
      </c>
      <c r="B2213" s="88">
        <v>138</v>
      </c>
      <c r="C2213" s="88">
        <v>35</v>
      </c>
      <c r="D2213" s="88" t="s">
        <v>222</v>
      </c>
      <c r="E2213" s="88" t="s">
        <v>1071</v>
      </c>
      <c r="F2213" s="88" t="s">
        <v>993</v>
      </c>
      <c r="G2213" s="88" t="s">
        <v>758</v>
      </c>
      <c r="H2213" s="88" t="s">
        <v>596</v>
      </c>
    </row>
    <row r="2214" spans="1:8" ht="28.8" x14ac:dyDescent="0.3">
      <c r="A2214" s="88" t="s">
        <v>716</v>
      </c>
      <c r="B2214" s="88">
        <v>138</v>
      </c>
      <c r="C2214" s="88">
        <v>38</v>
      </c>
      <c r="D2214" s="88" t="s">
        <v>222</v>
      </c>
      <c r="E2214" s="88" t="s">
        <v>1817</v>
      </c>
      <c r="F2214" s="88" t="s">
        <v>1345</v>
      </c>
      <c r="G2214" s="88" t="s">
        <v>719</v>
      </c>
      <c r="H2214" s="88" t="s">
        <v>596</v>
      </c>
    </row>
    <row r="2215" spans="1:8" ht="28.8" x14ac:dyDescent="0.3">
      <c r="A2215" s="88" t="s">
        <v>716</v>
      </c>
      <c r="B2215" s="88">
        <v>138</v>
      </c>
      <c r="C2215" s="88">
        <v>39</v>
      </c>
      <c r="D2215" s="88" t="s">
        <v>222</v>
      </c>
      <c r="E2215" s="88" t="s">
        <v>1344</v>
      </c>
      <c r="F2215" s="88" t="s">
        <v>1347</v>
      </c>
      <c r="G2215" s="88" t="s">
        <v>724</v>
      </c>
      <c r="H2215" s="88" t="s">
        <v>596</v>
      </c>
    </row>
    <row r="2216" spans="1:8" x14ac:dyDescent="0.3">
      <c r="A2216" s="88" t="s">
        <v>716</v>
      </c>
      <c r="B2216" s="88">
        <v>139</v>
      </c>
      <c r="C2216" s="88">
        <v>32</v>
      </c>
      <c r="D2216" s="88" t="s">
        <v>223</v>
      </c>
      <c r="E2216" s="88" t="s">
        <v>1818</v>
      </c>
      <c r="F2216" s="88" t="s">
        <v>1002</v>
      </c>
      <c r="G2216" s="88" t="s">
        <v>749</v>
      </c>
      <c r="H2216" s="88" t="s">
        <v>596</v>
      </c>
    </row>
    <row r="2217" spans="1:8" x14ac:dyDescent="0.3">
      <c r="A2217" s="88" t="s">
        <v>716</v>
      </c>
      <c r="B2217" s="88">
        <v>139</v>
      </c>
      <c r="C2217" s="88">
        <v>33</v>
      </c>
      <c r="D2217" s="88" t="s">
        <v>223</v>
      </c>
      <c r="E2217" s="88" t="s">
        <v>1165</v>
      </c>
      <c r="F2217" s="88" t="s">
        <v>1300</v>
      </c>
      <c r="G2217" s="88" t="s">
        <v>752</v>
      </c>
      <c r="H2217" s="88" t="s">
        <v>596</v>
      </c>
    </row>
    <row r="2218" spans="1:8" x14ac:dyDescent="0.3">
      <c r="A2218" s="88" t="s">
        <v>716</v>
      </c>
      <c r="B2218" s="88">
        <v>139</v>
      </c>
      <c r="C2218" s="88">
        <v>34</v>
      </c>
      <c r="D2218" s="88" t="s">
        <v>223</v>
      </c>
      <c r="E2218" s="88" t="s">
        <v>1348</v>
      </c>
      <c r="F2218" s="88" t="s">
        <v>1301</v>
      </c>
      <c r="G2218" s="88" t="s">
        <v>755</v>
      </c>
      <c r="H2218" s="88" t="s">
        <v>596</v>
      </c>
    </row>
    <row r="2219" spans="1:8" x14ac:dyDescent="0.3">
      <c r="A2219" s="88" t="s">
        <v>716</v>
      </c>
      <c r="B2219" s="88">
        <v>139</v>
      </c>
      <c r="C2219" s="88">
        <v>35</v>
      </c>
      <c r="D2219" s="88" t="s">
        <v>223</v>
      </c>
      <c r="E2219" s="88" t="s">
        <v>831</v>
      </c>
      <c r="F2219" s="88" t="s">
        <v>1227</v>
      </c>
      <c r="G2219" s="88" t="s">
        <v>758</v>
      </c>
      <c r="H2219" s="88" t="s">
        <v>596</v>
      </c>
    </row>
    <row r="2220" spans="1:8" ht="28.8" x14ac:dyDescent="0.3">
      <c r="A2220" s="88" t="s">
        <v>716</v>
      </c>
      <c r="B2220" s="88">
        <v>139</v>
      </c>
      <c r="C2220" s="88">
        <v>38</v>
      </c>
      <c r="D2220" s="88" t="s">
        <v>223</v>
      </c>
      <c r="E2220" s="88" t="s">
        <v>1819</v>
      </c>
      <c r="F2220" s="88" t="s">
        <v>1350</v>
      </c>
      <c r="G2220" s="88" t="s">
        <v>719</v>
      </c>
      <c r="H2220" s="88" t="s">
        <v>596</v>
      </c>
    </row>
    <row r="2221" spans="1:8" ht="28.8" x14ac:dyDescent="0.3">
      <c r="A2221" s="88" t="s">
        <v>716</v>
      </c>
      <c r="B2221" s="88">
        <v>139</v>
      </c>
      <c r="C2221" s="88">
        <v>39</v>
      </c>
      <c r="D2221" s="88" t="s">
        <v>223</v>
      </c>
      <c r="E2221" s="88" t="s">
        <v>1349</v>
      </c>
      <c r="F2221" s="88" t="s">
        <v>1820</v>
      </c>
      <c r="G2221" s="88" t="s">
        <v>724</v>
      </c>
      <c r="H2221" s="88" t="s">
        <v>596</v>
      </c>
    </row>
    <row r="2222" spans="1:8" ht="28.8" x14ac:dyDescent="0.3">
      <c r="A2222" s="88" t="s">
        <v>716</v>
      </c>
      <c r="B2222" s="88">
        <v>140</v>
      </c>
      <c r="C2222" s="88">
        <v>32</v>
      </c>
      <c r="D2222" s="88" t="s">
        <v>224</v>
      </c>
      <c r="E2222" s="88" t="s">
        <v>1821</v>
      </c>
      <c r="F2222" s="88" t="s">
        <v>1262</v>
      </c>
      <c r="G2222" s="88" t="s">
        <v>749</v>
      </c>
      <c r="H2222" s="88" t="s">
        <v>596</v>
      </c>
    </row>
    <row r="2223" spans="1:8" x14ac:dyDescent="0.3">
      <c r="A2223" s="88" t="s">
        <v>716</v>
      </c>
      <c r="B2223" s="88">
        <v>140</v>
      </c>
      <c r="C2223" s="88">
        <v>33</v>
      </c>
      <c r="D2223" s="88" t="s">
        <v>224</v>
      </c>
      <c r="E2223" s="88" t="s">
        <v>829</v>
      </c>
      <c r="F2223" s="88" t="s">
        <v>1109</v>
      </c>
      <c r="G2223" s="88" t="s">
        <v>752</v>
      </c>
      <c r="H2223" s="88" t="s">
        <v>596</v>
      </c>
    </row>
    <row r="2224" spans="1:8" x14ac:dyDescent="0.3">
      <c r="A2224" s="88" t="s">
        <v>716</v>
      </c>
      <c r="B2224" s="88">
        <v>140</v>
      </c>
      <c r="C2224" s="88">
        <v>34</v>
      </c>
      <c r="D2224" s="88" t="s">
        <v>224</v>
      </c>
      <c r="E2224" s="88" t="s">
        <v>1248</v>
      </c>
      <c r="F2224" s="88" t="s">
        <v>1302</v>
      </c>
      <c r="G2224" s="88" t="s">
        <v>755</v>
      </c>
      <c r="H2224" s="88" t="s">
        <v>596</v>
      </c>
    </row>
    <row r="2225" spans="1:8" x14ac:dyDescent="0.3">
      <c r="A2225" s="88" t="s">
        <v>716</v>
      </c>
      <c r="B2225" s="88">
        <v>140</v>
      </c>
      <c r="C2225" s="88">
        <v>35</v>
      </c>
      <c r="D2225" s="88" t="s">
        <v>224</v>
      </c>
      <c r="E2225" s="88" t="s">
        <v>784</v>
      </c>
      <c r="F2225" s="88" t="s">
        <v>1303</v>
      </c>
      <c r="G2225" s="88" t="s">
        <v>758</v>
      </c>
      <c r="H2225" s="88" t="s">
        <v>596</v>
      </c>
    </row>
    <row r="2226" spans="1:8" ht="28.8" x14ac:dyDescent="0.3">
      <c r="A2226" s="88" t="s">
        <v>716</v>
      </c>
      <c r="B2226" s="88">
        <v>140</v>
      </c>
      <c r="C2226" s="88">
        <v>38</v>
      </c>
      <c r="D2226" s="88" t="s">
        <v>224</v>
      </c>
      <c r="E2226" s="88" t="s">
        <v>1822</v>
      </c>
      <c r="F2226" s="88" t="s">
        <v>1046</v>
      </c>
      <c r="G2226" s="88" t="s">
        <v>719</v>
      </c>
      <c r="H2226" s="88" t="s">
        <v>596</v>
      </c>
    </row>
    <row r="2227" spans="1:8" ht="28.8" x14ac:dyDescent="0.3">
      <c r="A2227" s="88" t="s">
        <v>716</v>
      </c>
      <c r="B2227" s="88">
        <v>140</v>
      </c>
      <c r="C2227" s="88">
        <v>39</v>
      </c>
      <c r="D2227" s="88" t="s">
        <v>224</v>
      </c>
      <c r="E2227" s="88" t="s">
        <v>1045</v>
      </c>
      <c r="F2227" s="88" t="s">
        <v>1352</v>
      </c>
      <c r="G2227" s="88" t="s">
        <v>724</v>
      </c>
      <c r="H2227" s="88" t="s">
        <v>596</v>
      </c>
    </row>
    <row r="2228" spans="1:8" x14ac:dyDescent="0.3">
      <c r="A2228" s="88" t="s">
        <v>716</v>
      </c>
      <c r="B2228" s="88">
        <v>141</v>
      </c>
      <c r="C2228" s="88">
        <v>32</v>
      </c>
      <c r="D2228" s="88" t="s">
        <v>225</v>
      </c>
      <c r="E2228" s="88" t="s">
        <v>1823</v>
      </c>
      <c r="F2228" s="88" t="s">
        <v>1307</v>
      </c>
      <c r="G2228" s="88" t="s">
        <v>749</v>
      </c>
      <c r="H2228" s="88" t="s">
        <v>596</v>
      </c>
    </row>
    <row r="2229" spans="1:8" x14ac:dyDescent="0.3">
      <c r="A2229" s="88" t="s">
        <v>716</v>
      </c>
      <c r="B2229" s="88">
        <v>141</v>
      </c>
      <c r="C2229" s="88">
        <v>33</v>
      </c>
      <c r="D2229" s="88" t="s">
        <v>225</v>
      </c>
      <c r="E2229" s="88" t="s">
        <v>1353</v>
      </c>
      <c r="F2229" s="88" t="s">
        <v>1308</v>
      </c>
      <c r="G2229" s="88" t="s">
        <v>752</v>
      </c>
      <c r="H2229" s="88" t="s">
        <v>596</v>
      </c>
    </row>
    <row r="2230" spans="1:8" x14ac:dyDescent="0.3">
      <c r="A2230" s="88" t="s">
        <v>716</v>
      </c>
      <c r="B2230" s="88">
        <v>141</v>
      </c>
      <c r="C2230" s="88">
        <v>34</v>
      </c>
      <c r="D2230" s="88" t="s">
        <v>225</v>
      </c>
      <c r="E2230" s="88" t="s">
        <v>1354</v>
      </c>
      <c r="F2230" s="88" t="s">
        <v>1048</v>
      </c>
      <c r="G2230" s="88" t="s">
        <v>755</v>
      </c>
      <c r="H2230" s="88" t="s">
        <v>596</v>
      </c>
    </row>
    <row r="2231" spans="1:8" x14ac:dyDescent="0.3">
      <c r="A2231" s="88" t="s">
        <v>716</v>
      </c>
      <c r="B2231" s="88">
        <v>141</v>
      </c>
      <c r="C2231" s="88">
        <v>35</v>
      </c>
      <c r="D2231" s="88" t="s">
        <v>225</v>
      </c>
      <c r="E2231" s="88" t="s">
        <v>1214</v>
      </c>
      <c r="F2231" s="88" t="s">
        <v>1309</v>
      </c>
      <c r="G2231" s="88" t="s">
        <v>758</v>
      </c>
      <c r="H2231" s="88" t="s">
        <v>596</v>
      </c>
    </row>
    <row r="2232" spans="1:8" ht="28.8" x14ac:dyDescent="0.3">
      <c r="A2232" s="88" t="s">
        <v>716</v>
      </c>
      <c r="B2232" s="88">
        <v>141</v>
      </c>
      <c r="C2232" s="88">
        <v>38</v>
      </c>
      <c r="D2232" s="88" t="s">
        <v>225</v>
      </c>
      <c r="E2232" s="88" t="s">
        <v>1824</v>
      </c>
      <c r="F2232" s="88" t="s">
        <v>1355</v>
      </c>
      <c r="G2232" s="88" t="s">
        <v>719</v>
      </c>
      <c r="H2232" s="88" t="s">
        <v>596</v>
      </c>
    </row>
    <row r="2233" spans="1:8" ht="28.8" x14ac:dyDescent="0.3">
      <c r="A2233" s="88" t="s">
        <v>716</v>
      </c>
      <c r="B2233" s="88">
        <v>141</v>
      </c>
      <c r="C2233" s="88">
        <v>39</v>
      </c>
      <c r="D2233" s="88" t="s">
        <v>225</v>
      </c>
      <c r="E2233" s="88" t="s">
        <v>1139</v>
      </c>
      <c r="F2233" s="88" t="s">
        <v>1825</v>
      </c>
      <c r="G2233" s="88" t="s">
        <v>724</v>
      </c>
      <c r="H2233" s="88" t="s">
        <v>596</v>
      </c>
    </row>
    <row r="2234" spans="1:8" x14ac:dyDescent="0.3">
      <c r="A2234" s="88" t="s">
        <v>716</v>
      </c>
      <c r="B2234" s="88">
        <v>142</v>
      </c>
      <c r="C2234" s="88">
        <v>32</v>
      </c>
      <c r="D2234" s="88" t="s">
        <v>226</v>
      </c>
      <c r="E2234" s="88" t="s">
        <v>793</v>
      </c>
      <c r="F2234" s="88" t="s">
        <v>757</v>
      </c>
      <c r="G2234" s="88" t="s">
        <v>749</v>
      </c>
      <c r="H2234" s="88" t="s">
        <v>596</v>
      </c>
    </row>
    <row r="2235" spans="1:8" x14ac:dyDescent="0.3">
      <c r="A2235" s="88" t="s">
        <v>716</v>
      </c>
      <c r="B2235" s="88">
        <v>142</v>
      </c>
      <c r="C2235" s="88">
        <v>33</v>
      </c>
      <c r="D2235" s="88" t="s">
        <v>226</v>
      </c>
      <c r="E2235" s="88" t="s">
        <v>1093</v>
      </c>
      <c r="F2235" s="88" t="s">
        <v>1313</v>
      </c>
      <c r="G2235" s="88" t="s">
        <v>752</v>
      </c>
      <c r="H2235" s="88" t="s">
        <v>596</v>
      </c>
    </row>
    <row r="2236" spans="1:8" x14ac:dyDescent="0.3">
      <c r="A2236" s="88" t="s">
        <v>716</v>
      </c>
      <c r="B2236" s="88">
        <v>142</v>
      </c>
      <c r="C2236" s="88">
        <v>34</v>
      </c>
      <c r="D2236" s="88" t="s">
        <v>226</v>
      </c>
      <c r="E2236" s="88" t="s">
        <v>1356</v>
      </c>
      <c r="F2236" s="88" t="s">
        <v>1054</v>
      </c>
      <c r="G2236" s="88" t="s">
        <v>755</v>
      </c>
      <c r="H2236" s="88" t="s">
        <v>596</v>
      </c>
    </row>
    <row r="2237" spans="1:8" x14ac:dyDescent="0.3">
      <c r="A2237" s="88" t="s">
        <v>716</v>
      </c>
      <c r="B2237" s="88">
        <v>142</v>
      </c>
      <c r="C2237" s="88">
        <v>35</v>
      </c>
      <c r="D2237" s="88" t="s">
        <v>226</v>
      </c>
      <c r="E2237" s="88" t="s">
        <v>998</v>
      </c>
      <c r="F2237" s="88" t="s">
        <v>881</v>
      </c>
      <c r="G2237" s="88" t="s">
        <v>758</v>
      </c>
      <c r="H2237" s="88" t="s">
        <v>596</v>
      </c>
    </row>
    <row r="2238" spans="1:8" ht="28.8" x14ac:dyDescent="0.3">
      <c r="A2238" s="88" t="s">
        <v>716</v>
      </c>
      <c r="B2238" s="88">
        <v>142</v>
      </c>
      <c r="C2238" s="88">
        <v>38</v>
      </c>
      <c r="D2238" s="88" t="s">
        <v>226</v>
      </c>
      <c r="E2238" s="88" t="s">
        <v>1826</v>
      </c>
      <c r="F2238" s="88" t="s">
        <v>1358</v>
      </c>
      <c r="G2238" s="88" t="s">
        <v>719</v>
      </c>
      <c r="H2238" s="88" t="s">
        <v>596</v>
      </c>
    </row>
    <row r="2239" spans="1:8" ht="28.8" x14ac:dyDescent="0.3">
      <c r="A2239" s="88" t="s">
        <v>716</v>
      </c>
      <c r="B2239" s="88">
        <v>142</v>
      </c>
      <c r="C2239" s="88">
        <v>39</v>
      </c>
      <c r="D2239" s="88" t="s">
        <v>226</v>
      </c>
      <c r="E2239" s="88" t="s">
        <v>1357</v>
      </c>
      <c r="F2239" s="88" t="s">
        <v>1827</v>
      </c>
      <c r="G2239" s="88" t="s">
        <v>724</v>
      </c>
      <c r="H2239" s="88" t="s">
        <v>596</v>
      </c>
    </row>
    <row r="2240" spans="1:8" ht="28.8" x14ac:dyDescent="0.3">
      <c r="A2240" s="88" t="s">
        <v>716</v>
      </c>
      <c r="B2240" s="88">
        <v>143</v>
      </c>
      <c r="C2240" s="88">
        <v>32</v>
      </c>
      <c r="D2240" s="88" t="s">
        <v>227</v>
      </c>
      <c r="E2240" s="88" t="s">
        <v>1828</v>
      </c>
      <c r="F2240" s="88" t="s">
        <v>1315</v>
      </c>
      <c r="G2240" s="88" t="s">
        <v>749</v>
      </c>
      <c r="H2240" s="88" t="s">
        <v>596</v>
      </c>
    </row>
    <row r="2241" spans="1:8" x14ac:dyDescent="0.3">
      <c r="A2241" s="88" t="s">
        <v>716</v>
      </c>
      <c r="B2241" s="88">
        <v>143</v>
      </c>
      <c r="C2241" s="88">
        <v>33</v>
      </c>
      <c r="D2241" s="88" t="s">
        <v>227</v>
      </c>
      <c r="E2241" s="88" t="s">
        <v>985</v>
      </c>
      <c r="F2241" s="88" t="s">
        <v>1316</v>
      </c>
      <c r="G2241" s="88" t="s">
        <v>752</v>
      </c>
      <c r="H2241" s="88" t="s">
        <v>596</v>
      </c>
    </row>
    <row r="2242" spans="1:8" x14ac:dyDescent="0.3">
      <c r="A2242" s="88" t="s">
        <v>716</v>
      </c>
      <c r="B2242" s="88">
        <v>143</v>
      </c>
      <c r="C2242" s="88">
        <v>34</v>
      </c>
      <c r="D2242" s="88" t="s">
        <v>227</v>
      </c>
      <c r="E2242" s="88" t="s">
        <v>1359</v>
      </c>
      <c r="F2242" s="88" t="s">
        <v>889</v>
      </c>
      <c r="G2242" s="88" t="s">
        <v>755</v>
      </c>
      <c r="H2242" s="88" t="s">
        <v>596</v>
      </c>
    </row>
    <row r="2243" spans="1:8" x14ac:dyDescent="0.3">
      <c r="A2243" s="88" t="s">
        <v>716</v>
      </c>
      <c r="B2243" s="88">
        <v>143</v>
      </c>
      <c r="C2243" s="88">
        <v>35</v>
      </c>
      <c r="D2243" s="88" t="s">
        <v>227</v>
      </c>
      <c r="E2243" s="88" t="s">
        <v>904</v>
      </c>
      <c r="F2243" s="88" t="s">
        <v>651</v>
      </c>
      <c r="G2243" s="88" t="s">
        <v>758</v>
      </c>
      <c r="H2243" s="88" t="s">
        <v>596</v>
      </c>
    </row>
    <row r="2244" spans="1:8" ht="28.8" x14ac:dyDescent="0.3">
      <c r="A2244" s="88" t="s">
        <v>716</v>
      </c>
      <c r="B2244" s="88">
        <v>143</v>
      </c>
      <c r="C2244" s="88">
        <v>38</v>
      </c>
      <c r="D2244" s="88" t="s">
        <v>227</v>
      </c>
      <c r="E2244" s="88" t="s">
        <v>1829</v>
      </c>
      <c r="F2244" s="88" t="s">
        <v>1360</v>
      </c>
      <c r="G2244" s="88" t="s">
        <v>719</v>
      </c>
      <c r="H2244" s="88" t="s">
        <v>596</v>
      </c>
    </row>
    <row r="2245" spans="1:8" ht="28.8" x14ac:dyDescent="0.3">
      <c r="A2245" s="88" t="s">
        <v>716</v>
      </c>
      <c r="B2245" s="88">
        <v>143</v>
      </c>
      <c r="C2245" s="88">
        <v>39</v>
      </c>
      <c r="D2245" s="88" t="s">
        <v>227</v>
      </c>
      <c r="E2245" s="88" t="s">
        <v>1145</v>
      </c>
      <c r="F2245" s="88" t="s">
        <v>1362</v>
      </c>
      <c r="G2245" s="88" t="s">
        <v>724</v>
      </c>
      <c r="H2245" s="88" t="s">
        <v>596</v>
      </c>
    </row>
    <row r="2246" spans="1:8" x14ac:dyDescent="0.3">
      <c r="A2246" s="88" t="s">
        <v>716</v>
      </c>
      <c r="B2246" s="88">
        <v>144</v>
      </c>
      <c r="C2246" s="88">
        <v>32</v>
      </c>
      <c r="D2246" s="88" t="s">
        <v>228</v>
      </c>
      <c r="E2246" s="88" t="s">
        <v>1830</v>
      </c>
      <c r="F2246" s="88" t="s">
        <v>848</v>
      </c>
      <c r="G2246" s="88" t="s">
        <v>749</v>
      </c>
      <c r="H2246" s="88" t="s">
        <v>596</v>
      </c>
    </row>
    <row r="2247" spans="1:8" x14ac:dyDescent="0.3">
      <c r="A2247" s="88" t="s">
        <v>716</v>
      </c>
      <c r="B2247" s="88">
        <v>144</v>
      </c>
      <c r="C2247" s="88">
        <v>33</v>
      </c>
      <c r="D2247" s="88" t="s">
        <v>228</v>
      </c>
      <c r="E2247" s="88" t="s">
        <v>1036</v>
      </c>
      <c r="F2247" s="88" t="s">
        <v>1319</v>
      </c>
      <c r="G2247" s="88" t="s">
        <v>752</v>
      </c>
      <c r="H2247" s="88" t="s">
        <v>596</v>
      </c>
    </row>
    <row r="2248" spans="1:8" x14ac:dyDescent="0.3">
      <c r="A2248" s="88" t="s">
        <v>716</v>
      </c>
      <c r="B2248" s="88">
        <v>144</v>
      </c>
      <c r="C2248" s="88">
        <v>34</v>
      </c>
      <c r="D2248" s="88" t="s">
        <v>228</v>
      </c>
      <c r="E2248" s="88" t="s">
        <v>1023</v>
      </c>
      <c r="F2248" s="88" t="s">
        <v>835</v>
      </c>
      <c r="G2248" s="88" t="s">
        <v>755</v>
      </c>
      <c r="H2248" s="88" t="s">
        <v>596</v>
      </c>
    </row>
    <row r="2249" spans="1:8" x14ac:dyDescent="0.3">
      <c r="A2249" s="88" t="s">
        <v>716</v>
      </c>
      <c r="B2249" s="88">
        <v>144</v>
      </c>
      <c r="C2249" s="88">
        <v>35</v>
      </c>
      <c r="D2249" s="88" t="s">
        <v>228</v>
      </c>
      <c r="E2249" s="88" t="s">
        <v>1071</v>
      </c>
      <c r="F2249" s="88" t="s">
        <v>1200</v>
      </c>
      <c r="G2249" s="88" t="s">
        <v>758</v>
      </c>
      <c r="H2249" s="88" t="s">
        <v>596</v>
      </c>
    </row>
    <row r="2250" spans="1:8" ht="28.8" x14ac:dyDescent="0.3">
      <c r="A2250" s="88" t="s">
        <v>716</v>
      </c>
      <c r="B2250" s="88">
        <v>144</v>
      </c>
      <c r="C2250" s="88">
        <v>38</v>
      </c>
      <c r="D2250" s="88" t="s">
        <v>228</v>
      </c>
      <c r="E2250" s="88" t="s">
        <v>1831</v>
      </c>
      <c r="F2250" s="88" t="s">
        <v>969</v>
      </c>
      <c r="G2250" s="88" t="s">
        <v>719</v>
      </c>
      <c r="H2250" s="88" t="s">
        <v>596</v>
      </c>
    </row>
    <row r="2251" spans="1:8" ht="28.8" x14ac:dyDescent="0.3">
      <c r="A2251" s="88" t="s">
        <v>716</v>
      </c>
      <c r="B2251" s="88">
        <v>144</v>
      </c>
      <c r="C2251" s="88">
        <v>39</v>
      </c>
      <c r="D2251" s="88" t="s">
        <v>228</v>
      </c>
      <c r="E2251" s="88" t="s">
        <v>910</v>
      </c>
      <c r="F2251" s="88" t="s">
        <v>1832</v>
      </c>
      <c r="G2251" s="88" t="s">
        <v>724</v>
      </c>
      <c r="H2251" s="88" t="s">
        <v>596</v>
      </c>
    </row>
    <row r="2252" spans="1:8" x14ac:dyDescent="0.3">
      <c r="A2252" s="88" t="s">
        <v>716</v>
      </c>
      <c r="B2252" s="88">
        <v>145</v>
      </c>
      <c r="C2252" s="88">
        <v>32</v>
      </c>
      <c r="D2252" s="88" t="s">
        <v>229</v>
      </c>
      <c r="E2252" s="88" t="s">
        <v>1833</v>
      </c>
      <c r="F2252" s="88" t="s">
        <v>923</v>
      </c>
      <c r="G2252" s="88" t="s">
        <v>749</v>
      </c>
      <c r="H2252" s="88" t="s">
        <v>596</v>
      </c>
    </row>
    <row r="2253" spans="1:8" x14ac:dyDescent="0.3">
      <c r="A2253" s="88" t="s">
        <v>716</v>
      </c>
      <c r="B2253" s="88">
        <v>145</v>
      </c>
      <c r="C2253" s="88">
        <v>33</v>
      </c>
      <c r="D2253" s="88" t="s">
        <v>229</v>
      </c>
      <c r="E2253" s="88" t="s">
        <v>750</v>
      </c>
      <c r="F2253" s="88" t="s">
        <v>751</v>
      </c>
      <c r="G2253" s="88" t="s">
        <v>752</v>
      </c>
      <c r="H2253" s="88" t="s">
        <v>596</v>
      </c>
    </row>
    <row r="2254" spans="1:8" x14ac:dyDescent="0.3">
      <c r="A2254" s="88" t="s">
        <v>716</v>
      </c>
      <c r="B2254" s="88">
        <v>145</v>
      </c>
      <c r="C2254" s="88">
        <v>34</v>
      </c>
      <c r="D2254" s="88" t="s">
        <v>229</v>
      </c>
      <c r="E2254" s="88" t="s">
        <v>820</v>
      </c>
      <c r="F2254" s="88" t="s">
        <v>771</v>
      </c>
      <c r="G2254" s="88" t="s">
        <v>755</v>
      </c>
      <c r="H2254" s="88" t="s">
        <v>596</v>
      </c>
    </row>
    <row r="2255" spans="1:8" x14ac:dyDescent="0.3">
      <c r="A2255" s="88" t="s">
        <v>716</v>
      </c>
      <c r="B2255" s="88">
        <v>145</v>
      </c>
      <c r="C2255" s="88">
        <v>35</v>
      </c>
      <c r="D2255" s="88" t="s">
        <v>229</v>
      </c>
      <c r="E2255" s="88" t="s">
        <v>1241</v>
      </c>
      <c r="F2255" s="88" t="s">
        <v>1000</v>
      </c>
      <c r="G2255" s="88" t="s">
        <v>758</v>
      </c>
      <c r="H2255" s="88" t="s">
        <v>596</v>
      </c>
    </row>
    <row r="2256" spans="1:8" ht="28.8" x14ac:dyDescent="0.3">
      <c r="A2256" s="88" t="s">
        <v>716</v>
      </c>
      <c r="B2256" s="88">
        <v>145</v>
      </c>
      <c r="C2256" s="88">
        <v>38</v>
      </c>
      <c r="D2256" s="88" t="s">
        <v>229</v>
      </c>
      <c r="E2256" s="88" t="s">
        <v>1834</v>
      </c>
      <c r="F2256" s="88" t="s">
        <v>1363</v>
      </c>
      <c r="G2256" s="88" t="s">
        <v>719</v>
      </c>
      <c r="H2256" s="88" t="s">
        <v>596</v>
      </c>
    </row>
    <row r="2257" spans="1:8" ht="28.8" x14ac:dyDescent="0.3">
      <c r="A2257" s="88" t="s">
        <v>716</v>
      </c>
      <c r="B2257" s="88">
        <v>145</v>
      </c>
      <c r="C2257" s="88">
        <v>39</v>
      </c>
      <c r="D2257" s="88" t="s">
        <v>229</v>
      </c>
      <c r="E2257" s="88" t="s">
        <v>1325</v>
      </c>
      <c r="F2257" s="88" t="s">
        <v>1365</v>
      </c>
      <c r="G2257" s="88" t="s">
        <v>724</v>
      </c>
      <c r="H2257" s="88" t="s">
        <v>596</v>
      </c>
    </row>
    <row r="2258" spans="1:8" x14ac:dyDescent="0.3">
      <c r="A2258" s="88" t="s">
        <v>716</v>
      </c>
      <c r="B2258" s="88">
        <v>146</v>
      </c>
      <c r="C2258" s="88">
        <v>32</v>
      </c>
      <c r="D2258" s="88" t="s">
        <v>230</v>
      </c>
      <c r="E2258" s="88" t="s">
        <v>1835</v>
      </c>
      <c r="F2258" s="88" t="s">
        <v>866</v>
      </c>
      <c r="G2258" s="88" t="s">
        <v>749</v>
      </c>
      <c r="H2258" s="88" t="s">
        <v>596</v>
      </c>
    </row>
    <row r="2259" spans="1:8" x14ac:dyDescent="0.3">
      <c r="A2259" s="88" t="s">
        <v>716</v>
      </c>
      <c r="B2259" s="88">
        <v>146</v>
      </c>
      <c r="C2259" s="88">
        <v>33</v>
      </c>
      <c r="D2259" s="88" t="s">
        <v>230</v>
      </c>
      <c r="E2259" s="88" t="s">
        <v>1036</v>
      </c>
      <c r="F2259" s="88" t="s">
        <v>1323</v>
      </c>
      <c r="G2259" s="88" t="s">
        <v>752</v>
      </c>
      <c r="H2259" s="88" t="s">
        <v>596</v>
      </c>
    </row>
    <row r="2260" spans="1:8" x14ac:dyDescent="0.3">
      <c r="A2260" s="88" t="s">
        <v>716</v>
      </c>
      <c r="B2260" s="88">
        <v>146</v>
      </c>
      <c r="C2260" s="88">
        <v>34</v>
      </c>
      <c r="D2260" s="88" t="s">
        <v>230</v>
      </c>
      <c r="E2260" s="88" t="s">
        <v>1366</v>
      </c>
      <c r="F2260" s="88" t="s">
        <v>960</v>
      </c>
      <c r="G2260" s="88" t="s">
        <v>755</v>
      </c>
      <c r="H2260" s="88" t="s">
        <v>596</v>
      </c>
    </row>
    <row r="2261" spans="1:8" x14ac:dyDescent="0.3">
      <c r="A2261" s="88" t="s">
        <v>716</v>
      </c>
      <c r="B2261" s="88">
        <v>146</v>
      </c>
      <c r="C2261" s="88">
        <v>35</v>
      </c>
      <c r="D2261" s="88" t="s">
        <v>230</v>
      </c>
      <c r="E2261" s="88" t="s">
        <v>886</v>
      </c>
      <c r="F2261" s="88" t="s">
        <v>1324</v>
      </c>
      <c r="G2261" s="88" t="s">
        <v>758</v>
      </c>
      <c r="H2261" s="88" t="s">
        <v>596</v>
      </c>
    </row>
    <row r="2262" spans="1:8" ht="28.8" x14ac:dyDescent="0.3">
      <c r="A2262" s="88" t="s">
        <v>716</v>
      </c>
      <c r="B2262" s="88">
        <v>146</v>
      </c>
      <c r="C2262" s="88">
        <v>38</v>
      </c>
      <c r="D2262" s="88" t="s">
        <v>230</v>
      </c>
      <c r="E2262" s="88" t="s">
        <v>1836</v>
      </c>
      <c r="F2262" s="88" t="s">
        <v>1368</v>
      </c>
      <c r="G2262" s="88" t="s">
        <v>719</v>
      </c>
      <c r="H2262" s="88" t="s">
        <v>596</v>
      </c>
    </row>
    <row r="2263" spans="1:8" ht="28.8" x14ac:dyDescent="0.3">
      <c r="A2263" s="88" t="s">
        <v>716</v>
      </c>
      <c r="B2263" s="88">
        <v>146</v>
      </c>
      <c r="C2263" s="88">
        <v>39</v>
      </c>
      <c r="D2263" s="88" t="s">
        <v>230</v>
      </c>
      <c r="E2263" s="88" t="s">
        <v>1367</v>
      </c>
      <c r="F2263" s="88" t="s">
        <v>666</v>
      </c>
      <c r="G2263" s="88" t="s">
        <v>724</v>
      </c>
      <c r="H2263" s="88" t="s">
        <v>596</v>
      </c>
    </row>
    <row r="2264" spans="1:8" x14ac:dyDescent="0.3">
      <c r="A2264" s="88" t="s">
        <v>716</v>
      </c>
      <c r="B2264" s="88">
        <v>147</v>
      </c>
      <c r="C2264" s="88">
        <v>32</v>
      </c>
      <c r="D2264" s="88" t="s">
        <v>231</v>
      </c>
      <c r="E2264" s="88" t="s">
        <v>1837</v>
      </c>
      <c r="F2264" s="88" t="s">
        <v>1231</v>
      </c>
      <c r="G2264" s="88" t="s">
        <v>749</v>
      </c>
      <c r="H2264" s="88" t="s">
        <v>596</v>
      </c>
    </row>
    <row r="2265" spans="1:8" x14ac:dyDescent="0.3">
      <c r="A2265" s="88" t="s">
        <v>716</v>
      </c>
      <c r="B2265" s="88">
        <v>147</v>
      </c>
      <c r="C2265" s="88">
        <v>33</v>
      </c>
      <c r="D2265" s="88" t="s">
        <v>231</v>
      </c>
      <c r="E2265" s="88" t="s">
        <v>1309</v>
      </c>
      <c r="F2265" s="88" t="s">
        <v>1024</v>
      </c>
      <c r="G2265" s="88" t="s">
        <v>752</v>
      </c>
      <c r="H2265" s="88" t="s">
        <v>596</v>
      </c>
    </row>
    <row r="2266" spans="1:8" x14ac:dyDescent="0.3">
      <c r="A2266" s="88" t="s">
        <v>716</v>
      </c>
      <c r="B2266" s="88">
        <v>147</v>
      </c>
      <c r="C2266" s="88">
        <v>34</v>
      </c>
      <c r="D2266" s="88" t="s">
        <v>231</v>
      </c>
      <c r="E2266" s="88" t="s">
        <v>1205</v>
      </c>
      <c r="F2266" s="88" t="s">
        <v>866</v>
      </c>
      <c r="G2266" s="88" t="s">
        <v>755</v>
      </c>
      <c r="H2266" s="88" t="s">
        <v>596</v>
      </c>
    </row>
    <row r="2267" spans="1:8" x14ac:dyDescent="0.3">
      <c r="A2267" s="88" t="s">
        <v>716</v>
      </c>
      <c r="B2267" s="88">
        <v>147</v>
      </c>
      <c r="C2267" s="88">
        <v>35</v>
      </c>
      <c r="D2267" s="88" t="s">
        <v>231</v>
      </c>
      <c r="E2267" s="88" t="s">
        <v>1369</v>
      </c>
      <c r="F2267" s="88" t="s">
        <v>1327</v>
      </c>
      <c r="G2267" s="88" t="s">
        <v>758</v>
      </c>
      <c r="H2267" s="88" t="s">
        <v>596</v>
      </c>
    </row>
    <row r="2268" spans="1:8" ht="28.8" x14ac:dyDescent="0.3">
      <c r="A2268" s="88" t="s">
        <v>716</v>
      </c>
      <c r="B2268" s="88">
        <v>147</v>
      </c>
      <c r="C2268" s="88">
        <v>38</v>
      </c>
      <c r="D2268" s="88" t="s">
        <v>231</v>
      </c>
      <c r="E2268" s="88" t="s">
        <v>1838</v>
      </c>
      <c r="F2268" s="88"/>
      <c r="G2268" s="88" t="s">
        <v>719</v>
      </c>
      <c r="H2268" s="88" t="s">
        <v>596</v>
      </c>
    </row>
    <row r="2269" spans="1:8" ht="28.8" x14ac:dyDescent="0.3">
      <c r="A2269" s="88" t="s">
        <v>716</v>
      </c>
      <c r="B2269" s="88">
        <v>147</v>
      </c>
      <c r="C2269" s="88">
        <v>39</v>
      </c>
      <c r="D2269" s="88" t="s">
        <v>231</v>
      </c>
      <c r="E2269" s="88" t="s">
        <v>734</v>
      </c>
      <c r="F2269" s="88" t="s">
        <v>1839</v>
      </c>
      <c r="G2269" s="88" t="s">
        <v>724</v>
      </c>
      <c r="H2269" s="88" t="s">
        <v>596</v>
      </c>
    </row>
    <row r="2270" spans="1:8" x14ac:dyDescent="0.3">
      <c r="A2270" s="88" t="s">
        <v>716</v>
      </c>
      <c r="B2270" s="88">
        <v>148</v>
      </c>
      <c r="C2270" s="88">
        <v>32</v>
      </c>
      <c r="D2270" s="88" t="s">
        <v>232</v>
      </c>
      <c r="E2270" s="88" t="s">
        <v>1840</v>
      </c>
      <c r="F2270" s="88" t="s">
        <v>826</v>
      </c>
      <c r="G2270" s="88" t="s">
        <v>749</v>
      </c>
      <c r="H2270" s="88" t="s">
        <v>596</v>
      </c>
    </row>
    <row r="2271" spans="1:8" x14ac:dyDescent="0.3">
      <c r="A2271" s="88" t="s">
        <v>716</v>
      </c>
      <c r="B2271" s="88">
        <v>148</v>
      </c>
      <c r="C2271" s="88">
        <v>33</v>
      </c>
      <c r="D2271" s="88" t="s">
        <v>232</v>
      </c>
      <c r="E2271" s="88" t="s">
        <v>1098</v>
      </c>
      <c r="F2271" s="88" t="s">
        <v>1231</v>
      </c>
      <c r="G2271" s="88" t="s">
        <v>752</v>
      </c>
      <c r="H2271" s="88" t="s">
        <v>596</v>
      </c>
    </row>
    <row r="2272" spans="1:8" x14ac:dyDescent="0.3">
      <c r="A2272" s="88" t="s">
        <v>716</v>
      </c>
      <c r="B2272" s="88">
        <v>148</v>
      </c>
      <c r="C2272" s="88">
        <v>34</v>
      </c>
      <c r="D2272" s="88" t="s">
        <v>232</v>
      </c>
      <c r="E2272" s="88" t="s">
        <v>1371</v>
      </c>
      <c r="F2272" s="88" t="s">
        <v>1123</v>
      </c>
      <c r="G2272" s="88" t="s">
        <v>755</v>
      </c>
      <c r="H2272" s="88" t="s">
        <v>596</v>
      </c>
    </row>
    <row r="2273" spans="1:8" x14ac:dyDescent="0.3">
      <c r="A2273" s="88" t="s">
        <v>716</v>
      </c>
      <c r="B2273" s="88">
        <v>148</v>
      </c>
      <c r="C2273" s="88">
        <v>35</v>
      </c>
      <c r="D2273" s="88" t="s">
        <v>232</v>
      </c>
      <c r="E2273" s="88" t="s">
        <v>1036</v>
      </c>
      <c r="F2273" s="88" t="s">
        <v>860</v>
      </c>
      <c r="G2273" s="88" t="s">
        <v>758</v>
      </c>
      <c r="H2273" s="88" t="s">
        <v>596</v>
      </c>
    </row>
    <row r="2274" spans="1:8" ht="28.8" x14ac:dyDescent="0.3">
      <c r="A2274" s="88" t="s">
        <v>716</v>
      </c>
      <c r="B2274" s="88">
        <v>148</v>
      </c>
      <c r="C2274" s="88">
        <v>38</v>
      </c>
      <c r="D2274" s="88" t="s">
        <v>232</v>
      </c>
      <c r="E2274" s="88" t="s">
        <v>1841</v>
      </c>
      <c r="F2274" s="88" t="s">
        <v>1372</v>
      </c>
      <c r="G2274" s="88" t="s">
        <v>719</v>
      </c>
      <c r="H2274" s="88" t="s">
        <v>596</v>
      </c>
    </row>
    <row r="2275" spans="1:8" ht="28.8" x14ac:dyDescent="0.3">
      <c r="A2275" s="88" t="s">
        <v>716</v>
      </c>
      <c r="B2275" s="88">
        <v>148</v>
      </c>
      <c r="C2275" s="88">
        <v>39</v>
      </c>
      <c r="D2275" s="88" t="s">
        <v>232</v>
      </c>
      <c r="E2275" s="88" t="s">
        <v>973</v>
      </c>
      <c r="F2275" s="88" t="s">
        <v>1374</v>
      </c>
      <c r="G2275" s="88" t="s">
        <v>724</v>
      </c>
      <c r="H2275" s="88" t="s">
        <v>596</v>
      </c>
    </row>
    <row r="2276" spans="1:8" ht="28.8" x14ac:dyDescent="0.3">
      <c r="A2276" s="88" t="s">
        <v>716</v>
      </c>
      <c r="B2276" s="88">
        <v>149</v>
      </c>
      <c r="C2276" s="88">
        <v>32</v>
      </c>
      <c r="D2276" s="88" t="s">
        <v>233</v>
      </c>
      <c r="E2276" s="88" t="s">
        <v>1842</v>
      </c>
      <c r="F2276" s="88" t="s">
        <v>747</v>
      </c>
      <c r="G2276" s="88" t="s">
        <v>749</v>
      </c>
      <c r="H2276" s="88" t="s">
        <v>596</v>
      </c>
    </row>
    <row r="2277" spans="1:8" x14ac:dyDescent="0.3">
      <c r="A2277" s="88" t="s">
        <v>716</v>
      </c>
      <c r="B2277" s="88">
        <v>149</v>
      </c>
      <c r="C2277" s="88">
        <v>33</v>
      </c>
      <c r="D2277" s="88" t="s">
        <v>233</v>
      </c>
      <c r="E2277" s="88" t="s">
        <v>926</v>
      </c>
      <c r="F2277" s="88" t="s">
        <v>917</v>
      </c>
      <c r="G2277" s="88" t="s">
        <v>752</v>
      </c>
      <c r="H2277" s="88" t="s">
        <v>596</v>
      </c>
    </row>
    <row r="2278" spans="1:8" x14ac:dyDescent="0.3">
      <c r="A2278" s="88" t="s">
        <v>716</v>
      </c>
      <c r="B2278" s="88">
        <v>149</v>
      </c>
      <c r="C2278" s="88">
        <v>34</v>
      </c>
      <c r="D2278" s="88" t="s">
        <v>233</v>
      </c>
      <c r="E2278" s="88" t="s">
        <v>1245</v>
      </c>
      <c r="F2278" s="88" t="s">
        <v>641</v>
      </c>
      <c r="G2278" s="88" t="s">
        <v>755</v>
      </c>
      <c r="H2278" s="88" t="s">
        <v>596</v>
      </c>
    </row>
    <row r="2279" spans="1:8" x14ac:dyDescent="0.3">
      <c r="A2279" s="88" t="s">
        <v>716</v>
      </c>
      <c r="B2279" s="88">
        <v>149</v>
      </c>
      <c r="C2279" s="88">
        <v>35</v>
      </c>
      <c r="D2279" s="88" t="s">
        <v>233</v>
      </c>
      <c r="E2279" s="88" t="s">
        <v>860</v>
      </c>
      <c r="F2279" s="88" t="s">
        <v>1302</v>
      </c>
      <c r="G2279" s="88" t="s">
        <v>758</v>
      </c>
      <c r="H2279" s="88" t="s">
        <v>596</v>
      </c>
    </row>
    <row r="2280" spans="1:8" ht="28.8" x14ac:dyDescent="0.3">
      <c r="A2280" s="88" t="s">
        <v>716</v>
      </c>
      <c r="B2280" s="88">
        <v>149</v>
      </c>
      <c r="C2280" s="88">
        <v>38</v>
      </c>
      <c r="D2280" s="88" t="s">
        <v>233</v>
      </c>
      <c r="E2280" s="88" t="s">
        <v>1843</v>
      </c>
      <c r="F2280" s="88" t="s">
        <v>1377</v>
      </c>
      <c r="G2280" s="88" t="s">
        <v>719</v>
      </c>
      <c r="H2280" s="88" t="s">
        <v>596</v>
      </c>
    </row>
    <row r="2281" spans="1:8" ht="28.8" x14ac:dyDescent="0.3">
      <c r="A2281" s="88" t="s">
        <v>716</v>
      </c>
      <c r="B2281" s="88">
        <v>149</v>
      </c>
      <c r="C2281" s="88">
        <v>39</v>
      </c>
      <c r="D2281" s="88" t="s">
        <v>233</v>
      </c>
      <c r="E2281" s="88" t="s">
        <v>1376</v>
      </c>
      <c r="F2281" s="88" t="s">
        <v>1379</v>
      </c>
      <c r="G2281" s="88" t="s">
        <v>724</v>
      </c>
      <c r="H2281" s="88" t="s">
        <v>596</v>
      </c>
    </row>
    <row r="2282" spans="1:8" ht="28.8" x14ac:dyDescent="0.3">
      <c r="A2282" s="88" t="s">
        <v>716</v>
      </c>
      <c r="B2282" s="88">
        <v>150</v>
      </c>
      <c r="C2282" s="88">
        <v>32</v>
      </c>
      <c r="D2282" s="88" t="s">
        <v>234</v>
      </c>
      <c r="E2282" s="88" t="s">
        <v>1844</v>
      </c>
      <c r="F2282" s="88" t="s">
        <v>1054</v>
      </c>
      <c r="G2282" s="88" t="s">
        <v>749</v>
      </c>
      <c r="H2282" s="88" t="s">
        <v>596</v>
      </c>
    </row>
    <row r="2283" spans="1:8" x14ac:dyDescent="0.3">
      <c r="A2283" s="88" t="s">
        <v>716</v>
      </c>
      <c r="B2283" s="88">
        <v>150</v>
      </c>
      <c r="C2283" s="88">
        <v>33</v>
      </c>
      <c r="D2283" s="88" t="s">
        <v>234</v>
      </c>
      <c r="E2283" s="88" t="s">
        <v>1053</v>
      </c>
      <c r="F2283" s="88" t="s">
        <v>1336</v>
      </c>
      <c r="G2283" s="88" t="s">
        <v>752</v>
      </c>
      <c r="H2283" s="88" t="s">
        <v>596</v>
      </c>
    </row>
    <row r="2284" spans="1:8" x14ac:dyDescent="0.3">
      <c r="A2284" s="88" t="s">
        <v>716</v>
      </c>
      <c r="B2284" s="88">
        <v>150</v>
      </c>
      <c r="C2284" s="88">
        <v>34</v>
      </c>
      <c r="D2284" s="88" t="s">
        <v>234</v>
      </c>
      <c r="E2284" s="88" t="s">
        <v>1380</v>
      </c>
      <c r="F2284" s="88" t="s">
        <v>1337</v>
      </c>
      <c r="G2284" s="88" t="s">
        <v>755</v>
      </c>
      <c r="H2284" s="88" t="s">
        <v>596</v>
      </c>
    </row>
    <row r="2285" spans="1:8" x14ac:dyDescent="0.3">
      <c r="A2285" s="88" t="s">
        <v>716</v>
      </c>
      <c r="B2285" s="88">
        <v>150</v>
      </c>
      <c r="C2285" s="88">
        <v>35</v>
      </c>
      <c r="D2285" s="88" t="s">
        <v>234</v>
      </c>
      <c r="E2285" s="88" t="s">
        <v>886</v>
      </c>
      <c r="F2285" s="88" t="s">
        <v>1338</v>
      </c>
      <c r="G2285" s="88" t="s">
        <v>758</v>
      </c>
      <c r="H2285" s="88" t="s">
        <v>596</v>
      </c>
    </row>
    <row r="2286" spans="1:8" ht="28.8" x14ac:dyDescent="0.3">
      <c r="A2286" s="88" t="s">
        <v>716</v>
      </c>
      <c r="B2286" s="88">
        <v>150</v>
      </c>
      <c r="C2286" s="88">
        <v>38</v>
      </c>
      <c r="D2286" s="88" t="s">
        <v>234</v>
      </c>
      <c r="E2286" s="88" t="s">
        <v>1371</v>
      </c>
      <c r="F2286" s="88" t="s">
        <v>1382</v>
      </c>
      <c r="G2286" s="88" t="s">
        <v>719</v>
      </c>
      <c r="H2286" s="88" t="s">
        <v>596</v>
      </c>
    </row>
    <row r="2287" spans="1:8" ht="28.8" x14ac:dyDescent="0.3">
      <c r="A2287" s="88" t="s">
        <v>716</v>
      </c>
      <c r="B2287" s="88">
        <v>150</v>
      </c>
      <c r="C2287" s="88">
        <v>39</v>
      </c>
      <c r="D2287" s="88" t="s">
        <v>234</v>
      </c>
      <c r="E2287" s="88" t="s">
        <v>1381</v>
      </c>
      <c r="F2287" s="88" t="s">
        <v>1384</v>
      </c>
      <c r="G2287" s="88" t="s">
        <v>724</v>
      </c>
      <c r="H2287" s="88" t="s">
        <v>596</v>
      </c>
    </row>
    <row r="2288" spans="1:8" x14ac:dyDescent="0.3">
      <c r="A2288" s="88" t="s">
        <v>716</v>
      </c>
      <c r="B2288" s="88">
        <v>151</v>
      </c>
      <c r="C2288" s="88">
        <v>32</v>
      </c>
      <c r="D2288" s="88" t="s">
        <v>235</v>
      </c>
      <c r="E2288" s="88" t="s">
        <v>1845</v>
      </c>
      <c r="F2288" s="88" t="s">
        <v>804</v>
      </c>
      <c r="G2288" s="88" t="s">
        <v>749</v>
      </c>
      <c r="H2288" s="88" t="s">
        <v>596</v>
      </c>
    </row>
    <row r="2289" spans="1:8" x14ac:dyDescent="0.3">
      <c r="A2289" s="88" t="s">
        <v>716</v>
      </c>
      <c r="B2289" s="88">
        <v>151</v>
      </c>
      <c r="C2289" s="88">
        <v>33</v>
      </c>
      <c r="D2289" s="88" t="s">
        <v>235</v>
      </c>
      <c r="E2289" s="88" t="s">
        <v>985</v>
      </c>
      <c r="F2289" s="88" t="s">
        <v>1341</v>
      </c>
      <c r="G2289" s="88" t="s">
        <v>752</v>
      </c>
      <c r="H2289" s="88" t="s">
        <v>596</v>
      </c>
    </row>
    <row r="2290" spans="1:8" x14ac:dyDescent="0.3">
      <c r="A2290" s="88" t="s">
        <v>716</v>
      </c>
      <c r="B2290" s="88">
        <v>151</v>
      </c>
      <c r="C2290" s="88">
        <v>34</v>
      </c>
      <c r="D2290" s="88" t="s">
        <v>235</v>
      </c>
      <c r="E2290" s="88" t="s">
        <v>1099</v>
      </c>
      <c r="F2290" s="88" t="s">
        <v>843</v>
      </c>
      <c r="G2290" s="88" t="s">
        <v>755</v>
      </c>
      <c r="H2290" s="88" t="s">
        <v>596</v>
      </c>
    </row>
    <row r="2291" spans="1:8" x14ac:dyDescent="0.3">
      <c r="A2291" s="88" t="s">
        <v>716</v>
      </c>
      <c r="B2291" s="88">
        <v>151</v>
      </c>
      <c r="C2291" s="88">
        <v>35</v>
      </c>
      <c r="D2291" s="88" t="s">
        <v>235</v>
      </c>
      <c r="E2291" s="88" t="s">
        <v>855</v>
      </c>
      <c r="F2291" s="88" t="s">
        <v>904</v>
      </c>
      <c r="G2291" s="88" t="s">
        <v>758</v>
      </c>
      <c r="H2291" s="88" t="s">
        <v>596</v>
      </c>
    </row>
    <row r="2292" spans="1:8" ht="28.8" x14ac:dyDescent="0.3">
      <c r="A2292" s="88" t="s">
        <v>716</v>
      </c>
      <c r="B2292" s="88">
        <v>151</v>
      </c>
      <c r="C2292" s="88">
        <v>38</v>
      </c>
      <c r="D2292" s="88" t="s">
        <v>235</v>
      </c>
      <c r="E2292" s="88" t="s">
        <v>1846</v>
      </c>
      <c r="F2292" s="88"/>
      <c r="G2292" s="88" t="s">
        <v>719</v>
      </c>
      <c r="H2292" s="88" t="s">
        <v>596</v>
      </c>
    </row>
    <row r="2293" spans="1:8" ht="28.8" x14ac:dyDescent="0.3">
      <c r="A2293" s="88" t="s">
        <v>716</v>
      </c>
      <c r="B2293" s="88">
        <v>151</v>
      </c>
      <c r="C2293" s="88">
        <v>39</v>
      </c>
      <c r="D2293" s="88" t="s">
        <v>235</v>
      </c>
      <c r="E2293" s="88" t="s">
        <v>734</v>
      </c>
      <c r="F2293" s="88" t="s">
        <v>1386</v>
      </c>
      <c r="G2293" s="88" t="s">
        <v>724</v>
      </c>
      <c r="H2293" s="88" t="s">
        <v>596</v>
      </c>
    </row>
    <row r="2294" spans="1:8" ht="28.8" x14ac:dyDescent="0.3">
      <c r="A2294" s="88" t="s">
        <v>716</v>
      </c>
      <c r="B2294" s="88">
        <v>152</v>
      </c>
      <c r="C2294" s="88">
        <v>32</v>
      </c>
      <c r="D2294" s="88" t="s">
        <v>236</v>
      </c>
      <c r="E2294" s="88" t="s">
        <v>1847</v>
      </c>
      <c r="F2294" s="88" t="s">
        <v>980</v>
      </c>
      <c r="G2294" s="88" t="s">
        <v>749</v>
      </c>
      <c r="H2294" s="88" t="s">
        <v>596</v>
      </c>
    </row>
    <row r="2295" spans="1:8" x14ac:dyDescent="0.3">
      <c r="A2295" s="88" t="s">
        <v>716</v>
      </c>
      <c r="B2295" s="88">
        <v>152</v>
      </c>
      <c r="C2295" s="88">
        <v>33</v>
      </c>
      <c r="D2295" s="88" t="s">
        <v>236</v>
      </c>
      <c r="E2295" s="88" t="s">
        <v>1214</v>
      </c>
      <c r="F2295" s="88" t="s">
        <v>1343</v>
      </c>
      <c r="G2295" s="88" t="s">
        <v>752</v>
      </c>
      <c r="H2295" s="88" t="s">
        <v>596</v>
      </c>
    </row>
    <row r="2296" spans="1:8" x14ac:dyDescent="0.3">
      <c r="A2296" s="88" t="s">
        <v>716</v>
      </c>
      <c r="B2296" s="88">
        <v>152</v>
      </c>
      <c r="C2296" s="88">
        <v>34</v>
      </c>
      <c r="D2296" s="88" t="s">
        <v>236</v>
      </c>
      <c r="E2296" s="88" t="s">
        <v>814</v>
      </c>
      <c r="F2296" s="88" t="s">
        <v>1071</v>
      </c>
      <c r="G2296" s="88" t="s">
        <v>755</v>
      </c>
      <c r="H2296" s="88" t="s">
        <v>596</v>
      </c>
    </row>
    <row r="2297" spans="1:8" x14ac:dyDescent="0.3">
      <c r="A2297" s="88" t="s">
        <v>716</v>
      </c>
      <c r="B2297" s="88">
        <v>152</v>
      </c>
      <c r="C2297" s="88">
        <v>35</v>
      </c>
      <c r="D2297" s="88" t="s">
        <v>236</v>
      </c>
      <c r="E2297" s="88" t="s">
        <v>651</v>
      </c>
      <c r="F2297" s="88" t="s">
        <v>1269</v>
      </c>
      <c r="G2297" s="88" t="s">
        <v>758</v>
      </c>
      <c r="H2297" s="88" t="s">
        <v>596</v>
      </c>
    </row>
    <row r="2298" spans="1:8" ht="28.8" x14ac:dyDescent="0.3">
      <c r="A2298" s="88" t="s">
        <v>716</v>
      </c>
      <c r="B2298" s="88">
        <v>152</v>
      </c>
      <c r="C2298" s="88">
        <v>38</v>
      </c>
      <c r="D2298" s="88" t="s">
        <v>236</v>
      </c>
      <c r="E2298" s="88" t="s">
        <v>1848</v>
      </c>
      <c r="F2298" s="88" t="s">
        <v>1388</v>
      </c>
      <c r="G2298" s="88" t="s">
        <v>719</v>
      </c>
      <c r="H2298" s="88" t="s">
        <v>596</v>
      </c>
    </row>
    <row r="2299" spans="1:8" ht="28.8" x14ac:dyDescent="0.3">
      <c r="A2299" s="88" t="s">
        <v>716</v>
      </c>
      <c r="B2299" s="88">
        <v>152</v>
      </c>
      <c r="C2299" s="88">
        <v>39</v>
      </c>
      <c r="D2299" s="88" t="s">
        <v>236</v>
      </c>
      <c r="E2299" s="88" t="s">
        <v>1387</v>
      </c>
      <c r="F2299" s="88" t="s">
        <v>1390</v>
      </c>
      <c r="G2299" s="88" t="s">
        <v>724</v>
      </c>
      <c r="H2299" s="88" t="s">
        <v>596</v>
      </c>
    </row>
    <row r="2300" spans="1:8" x14ac:dyDescent="0.3">
      <c r="A2300" s="88" t="s">
        <v>716</v>
      </c>
      <c r="B2300" s="88">
        <v>153</v>
      </c>
      <c r="C2300" s="88">
        <v>32</v>
      </c>
      <c r="D2300" s="88" t="s">
        <v>237</v>
      </c>
      <c r="E2300" s="88" t="s">
        <v>1849</v>
      </c>
      <c r="F2300" s="88" t="s">
        <v>1165</v>
      </c>
      <c r="G2300" s="88" t="s">
        <v>749</v>
      </c>
      <c r="H2300" s="88" t="s">
        <v>596</v>
      </c>
    </row>
    <row r="2301" spans="1:8" x14ac:dyDescent="0.3">
      <c r="A2301" s="88" t="s">
        <v>716</v>
      </c>
      <c r="B2301" s="88">
        <v>153</v>
      </c>
      <c r="C2301" s="88">
        <v>33</v>
      </c>
      <c r="D2301" s="88" t="s">
        <v>237</v>
      </c>
      <c r="E2301" s="88" t="s">
        <v>1204</v>
      </c>
      <c r="F2301" s="88" t="s">
        <v>1348</v>
      </c>
      <c r="G2301" s="88" t="s">
        <v>752</v>
      </c>
      <c r="H2301" s="88" t="s">
        <v>596</v>
      </c>
    </row>
    <row r="2302" spans="1:8" x14ac:dyDescent="0.3">
      <c r="A2302" s="88" t="s">
        <v>716</v>
      </c>
      <c r="B2302" s="88">
        <v>153</v>
      </c>
      <c r="C2302" s="88">
        <v>34</v>
      </c>
      <c r="D2302" s="88" t="s">
        <v>237</v>
      </c>
      <c r="E2302" s="88" t="s">
        <v>1391</v>
      </c>
      <c r="F2302" s="88" t="s">
        <v>831</v>
      </c>
      <c r="G2302" s="88" t="s">
        <v>755</v>
      </c>
      <c r="H2302" s="88" t="s">
        <v>596</v>
      </c>
    </row>
    <row r="2303" spans="1:8" x14ac:dyDescent="0.3">
      <c r="A2303" s="88" t="s">
        <v>716</v>
      </c>
      <c r="B2303" s="88">
        <v>153</v>
      </c>
      <c r="C2303" s="88">
        <v>35</v>
      </c>
      <c r="D2303" s="88" t="s">
        <v>237</v>
      </c>
      <c r="E2303" s="88" t="s">
        <v>927</v>
      </c>
      <c r="F2303" s="88" t="s">
        <v>753</v>
      </c>
      <c r="G2303" s="88" t="s">
        <v>758</v>
      </c>
      <c r="H2303" s="88" t="s">
        <v>596</v>
      </c>
    </row>
    <row r="2304" spans="1:8" ht="28.8" x14ac:dyDescent="0.3">
      <c r="A2304" s="88" t="s">
        <v>716</v>
      </c>
      <c r="B2304" s="88">
        <v>153</v>
      </c>
      <c r="C2304" s="88">
        <v>38</v>
      </c>
      <c r="D2304" s="88" t="s">
        <v>237</v>
      </c>
      <c r="E2304" s="88" t="s">
        <v>1850</v>
      </c>
      <c r="F2304" s="88" t="s">
        <v>1733</v>
      </c>
      <c r="G2304" s="88" t="s">
        <v>719</v>
      </c>
      <c r="H2304" s="88" t="s">
        <v>596</v>
      </c>
    </row>
    <row r="2305" spans="1:8" ht="28.8" x14ac:dyDescent="0.3">
      <c r="A2305" s="88" t="s">
        <v>716</v>
      </c>
      <c r="B2305" s="88">
        <v>153</v>
      </c>
      <c r="C2305" s="88">
        <v>39</v>
      </c>
      <c r="D2305" s="88" t="s">
        <v>237</v>
      </c>
      <c r="E2305" s="88" t="s">
        <v>1733</v>
      </c>
      <c r="F2305" s="88" t="s">
        <v>1851</v>
      </c>
      <c r="G2305" s="88" t="s">
        <v>724</v>
      </c>
      <c r="H2305" s="88" t="s">
        <v>596</v>
      </c>
    </row>
    <row r="2306" spans="1:8" x14ac:dyDescent="0.3">
      <c r="A2306" s="88" t="s">
        <v>716</v>
      </c>
      <c r="B2306" s="88">
        <v>154</v>
      </c>
      <c r="C2306" s="88">
        <v>32</v>
      </c>
      <c r="D2306" s="88" t="s">
        <v>238</v>
      </c>
      <c r="E2306" s="88" t="s">
        <v>1852</v>
      </c>
      <c r="F2306" s="88" t="s">
        <v>829</v>
      </c>
      <c r="G2306" s="88" t="s">
        <v>749</v>
      </c>
      <c r="H2306" s="88" t="s">
        <v>596</v>
      </c>
    </row>
    <row r="2307" spans="1:8" x14ac:dyDescent="0.3">
      <c r="A2307" s="88" t="s">
        <v>716</v>
      </c>
      <c r="B2307" s="88">
        <v>154</v>
      </c>
      <c r="C2307" s="88">
        <v>33</v>
      </c>
      <c r="D2307" s="88" t="s">
        <v>238</v>
      </c>
      <c r="E2307" s="88" t="s">
        <v>1230</v>
      </c>
      <c r="F2307" s="88" t="s">
        <v>1248</v>
      </c>
      <c r="G2307" s="88" t="s">
        <v>752</v>
      </c>
      <c r="H2307" s="88" t="s">
        <v>596</v>
      </c>
    </row>
    <row r="2308" spans="1:8" x14ac:dyDescent="0.3">
      <c r="A2308" s="88" t="s">
        <v>716</v>
      </c>
      <c r="B2308" s="88">
        <v>154</v>
      </c>
      <c r="C2308" s="88">
        <v>34</v>
      </c>
      <c r="D2308" s="88" t="s">
        <v>238</v>
      </c>
      <c r="E2308" s="88" t="s">
        <v>1173</v>
      </c>
      <c r="F2308" s="88" t="s">
        <v>784</v>
      </c>
      <c r="G2308" s="88" t="s">
        <v>755</v>
      </c>
      <c r="H2308" s="88" t="s">
        <v>596</v>
      </c>
    </row>
    <row r="2309" spans="1:8" x14ac:dyDescent="0.3">
      <c r="A2309" s="88" t="s">
        <v>716</v>
      </c>
      <c r="B2309" s="88">
        <v>154</v>
      </c>
      <c r="C2309" s="88">
        <v>35</v>
      </c>
      <c r="D2309" s="88" t="s">
        <v>238</v>
      </c>
      <c r="E2309" s="88" t="s">
        <v>866</v>
      </c>
      <c r="F2309" s="88" t="s">
        <v>919</v>
      </c>
      <c r="G2309" s="88" t="s">
        <v>758</v>
      </c>
      <c r="H2309" s="88" t="s">
        <v>596</v>
      </c>
    </row>
    <row r="2310" spans="1:8" ht="28.8" x14ac:dyDescent="0.3">
      <c r="A2310" s="88" t="s">
        <v>716</v>
      </c>
      <c r="B2310" s="88">
        <v>154</v>
      </c>
      <c r="C2310" s="88">
        <v>38</v>
      </c>
      <c r="D2310" s="88" t="s">
        <v>238</v>
      </c>
      <c r="E2310" s="88" t="s">
        <v>1853</v>
      </c>
      <c r="F2310" s="88" t="s">
        <v>1393</v>
      </c>
      <c r="G2310" s="88" t="s">
        <v>719</v>
      </c>
      <c r="H2310" s="88" t="s">
        <v>596</v>
      </c>
    </row>
    <row r="2311" spans="1:8" ht="28.8" x14ac:dyDescent="0.3">
      <c r="A2311" s="88" t="s">
        <v>716</v>
      </c>
      <c r="B2311" s="88">
        <v>154</v>
      </c>
      <c r="C2311" s="88">
        <v>39</v>
      </c>
      <c r="D2311" s="88" t="s">
        <v>238</v>
      </c>
      <c r="E2311" s="88" t="s">
        <v>1392</v>
      </c>
      <c r="F2311" s="88" t="s">
        <v>1395</v>
      </c>
      <c r="G2311" s="88" t="s">
        <v>724</v>
      </c>
      <c r="H2311" s="88" t="s">
        <v>596</v>
      </c>
    </row>
    <row r="2312" spans="1:8" x14ac:dyDescent="0.3">
      <c r="A2312" s="88" t="s">
        <v>716</v>
      </c>
      <c r="B2312" s="88">
        <v>155</v>
      </c>
      <c r="C2312" s="88">
        <v>32</v>
      </c>
      <c r="D2312" s="88" t="s">
        <v>239</v>
      </c>
      <c r="E2312" s="88" t="s">
        <v>1854</v>
      </c>
      <c r="F2312" s="88" t="s">
        <v>1353</v>
      </c>
      <c r="G2312" s="88" t="s">
        <v>749</v>
      </c>
      <c r="H2312" s="88" t="s">
        <v>596</v>
      </c>
    </row>
    <row r="2313" spans="1:8" x14ac:dyDescent="0.3">
      <c r="A2313" s="88" t="s">
        <v>716</v>
      </c>
      <c r="B2313" s="88">
        <v>155</v>
      </c>
      <c r="C2313" s="88">
        <v>33</v>
      </c>
      <c r="D2313" s="88" t="s">
        <v>239</v>
      </c>
      <c r="E2313" s="88" t="s">
        <v>698</v>
      </c>
      <c r="F2313" s="88" t="s">
        <v>1354</v>
      </c>
      <c r="G2313" s="88" t="s">
        <v>752</v>
      </c>
      <c r="H2313" s="88" t="s">
        <v>596</v>
      </c>
    </row>
    <row r="2314" spans="1:8" x14ac:dyDescent="0.3">
      <c r="A2314" s="88" t="s">
        <v>716</v>
      </c>
      <c r="B2314" s="88">
        <v>155</v>
      </c>
      <c r="C2314" s="88">
        <v>34</v>
      </c>
      <c r="D2314" s="88" t="s">
        <v>239</v>
      </c>
      <c r="E2314" s="88" t="s">
        <v>1396</v>
      </c>
      <c r="F2314" s="88" t="s">
        <v>1214</v>
      </c>
      <c r="G2314" s="88" t="s">
        <v>755</v>
      </c>
      <c r="H2314" s="88" t="s">
        <v>596</v>
      </c>
    </row>
    <row r="2315" spans="1:8" x14ac:dyDescent="0.3">
      <c r="A2315" s="88" t="s">
        <v>716</v>
      </c>
      <c r="B2315" s="88">
        <v>155</v>
      </c>
      <c r="C2315" s="88">
        <v>35</v>
      </c>
      <c r="D2315" s="88" t="s">
        <v>239</v>
      </c>
      <c r="E2315" s="88" t="s">
        <v>1205</v>
      </c>
      <c r="F2315" s="88" t="s">
        <v>844</v>
      </c>
      <c r="G2315" s="88" t="s">
        <v>758</v>
      </c>
      <c r="H2315" s="88" t="s">
        <v>596</v>
      </c>
    </row>
    <row r="2316" spans="1:8" ht="28.8" x14ac:dyDescent="0.3">
      <c r="A2316" s="88" t="s">
        <v>716</v>
      </c>
      <c r="B2316" s="88">
        <v>155</v>
      </c>
      <c r="C2316" s="88">
        <v>38</v>
      </c>
      <c r="D2316" s="88" t="s">
        <v>239</v>
      </c>
      <c r="E2316" s="88" t="s">
        <v>1855</v>
      </c>
      <c r="F2316" s="88" t="s">
        <v>1398</v>
      </c>
      <c r="G2316" s="88" t="s">
        <v>719</v>
      </c>
      <c r="H2316" s="88" t="s">
        <v>596</v>
      </c>
    </row>
    <row r="2317" spans="1:8" ht="28.8" x14ac:dyDescent="0.3">
      <c r="A2317" s="88" t="s">
        <v>716</v>
      </c>
      <c r="B2317" s="88">
        <v>155</v>
      </c>
      <c r="C2317" s="88">
        <v>39</v>
      </c>
      <c r="D2317" s="88" t="s">
        <v>239</v>
      </c>
      <c r="E2317" s="88" t="s">
        <v>1397</v>
      </c>
      <c r="F2317" s="88" t="s">
        <v>1856</v>
      </c>
      <c r="G2317" s="88" t="s">
        <v>724</v>
      </c>
      <c r="H2317" s="88" t="s">
        <v>596</v>
      </c>
    </row>
    <row r="2318" spans="1:8" x14ac:dyDescent="0.3">
      <c r="A2318" s="88" t="s">
        <v>716</v>
      </c>
      <c r="B2318" s="88">
        <v>156</v>
      </c>
      <c r="C2318" s="88">
        <v>32</v>
      </c>
      <c r="D2318" s="88" t="s">
        <v>240</v>
      </c>
      <c r="E2318" s="88" t="s">
        <v>1857</v>
      </c>
      <c r="F2318" s="88" t="s">
        <v>1093</v>
      </c>
      <c r="G2318" s="88" t="s">
        <v>749</v>
      </c>
      <c r="H2318" s="88" t="s">
        <v>596</v>
      </c>
    </row>
    <row r="2319" spans="1:8" x14ac:dyDescent="0.3">
      <c r="A2319" s="88" t="s">
        <v>716</v>
      </c>
      <c r="B2319" s="88">
        <v>156</v>
      </c>
      <c r="C2319" s="88">
        <v>33</v>
      </c>
      <c r="D2319" s="88" t="s">
        <v>240</v>
      </c>
      <c r="E2319" s="88" t="s">
        <v>797</v>
      </c>
      <c r="F2319" s="88" t="s">
        <v>1356</v>
      </c>
      <c r="G2319" s="88" t="s">
        <v>752</v>
      </c>
      <c r="H2319" s="88" t="s">
        <v>596</v>
      </c>
    </row>
    <row r="2320" spans="1:8" x14ac:dyDescent="0.3">
      <c r="A2320" s="88" t="s">
        <v>716</v>
      </c>
      <c r="B2320" s="88">
        <v>156</v>
      </c>
      <c r="C2320" s="88">
        <v>34</v>
      </c>
      <c r="D2320" s="88" t="s">
        <v>240</v>
      </c>
      <c r="E2320" s="88" t="s">
        <v>1075</v>
      </c>
      <c r="F2320" s="88" t="s">
        <v>998</v>
      </c>
      <c r="G2320" s="88" t="s">
        <v>755</v>
      </c>
      <c r="H2320" s="88" t="s">
        <v>596</v>
      </c>
    </row>
    <row r="2321" spans="1:8" x14ac:dyDescent="0.3">
      <c r="A2321" s="88" t="s">
        <v>716</v>
      </c>
      <c r="B2321" s="88">
        <v>156</v>
      </c>
      <c r="C2321" s="88">
        <v>35</v>
      </c>
      <c r="D2321" s="88" t="s">
        <v>240</v>
      </c>
      <c r="E2321" s="88" t="s">
        <v>1236</v>
      </c>
      <c r="F2321" s="88" t="s">
        <v>763</v>
      </c>
      <c r="G2321" s="88" t="s">
        <v>758</v>
      </c>
      <c r="H2321" s="88" t="s">
        <v>596</v>
      </c>
    </row>
    <row r="2322" spans="1:8" ht="28.8" x14ac:dyDescent="0.3">
      <c r="A2322" s="88" t="s">
        <v>716</v>
      </c>
      <c r="B2322" s="88">
        <v>156</v>
      </c>
      <c r="C2322" s="88">
        <v>38</v>
      </c>
      <c r="D2322" s="88" t="s">
        <v>240</v>
      </c>
      <c r="E2322" s="88" t="s">
        <v>1858</v>
      </c>
      <c r="F2322" s="88" t="s">
        <v>1400</v>
      </c>
      <c r="G2322" s="88" t="s">
        <v>719</v>
      </c>
      <c r="H2322" s="88" t="s">
        <v>596</v>
      </c>
    </row>
    <row r="2323" spans="1:8" ht="28.8" x14ac:dyDescent="0.3">
      <c r="A2323" s="88" t="s">
        <v>716</v>
      </c>
      <c r="B2323" s="88">
        <v>156</v>
      </c>
      <c r="C2323" s="88">
        <v>39</v>
      </c>
      <c r="D2323" s="88" t="s">
        <v>240</v>
      </c>
      <c r="E2323" s="88" t="s">
        <v>897</v>
      </c>
      <c r="F2323" s="88" t="s">
        <v>1859</v>
      </c>
      <c r="G2323" s="88" t="s">
        <v>724</v>
      </c>
      <c r="H2323" s="88" t="s">
        <v>596</v>
      </c>
    </row>
    <row r="2324" spans="1:8" x14ac:dyDescent="0.3">
      <c r="A2324" s="88" t="s">
        <v>716</v>
      </c>
      <c r="B2324" s="88">
        <v>157</v>
      </c>
      <c r="C2324" s="88">
        <v>32</v>
      </c>
      <c r="D2324" s="88" t="s">
        <v>241</v>
      </c>
      <c r="E2324" s="88" t="s">
        <v>1860</v>
      </c>
      <c r="F2324" s="88" t="s">
        <v>985</v>
      </c>
      <c r="G2324" s="88" t="s">
        <v>749</v>
      </c>
      <c r="H2324" s="88" t="s">
        <v>596</v>
      </c>
    </row>
    <row r="2325" spans="1:8" x14ac:dyDescent="0.3">
      <c r="A2325" s="88" t="s">
        <v>716</v>
      </c>
      <c r="B2325" s="88">
        <v>157</v>
      </c>
      <c r="C2325" s="88">
        <v>33</v>
      </c>
      <c r="D2325" s="88" t="s">
        <v>241</v>
      </c>
      <c r="E2325" s="88" t="s">
        <v>1017</v>
      </c>
      <c r="F2325" s="88" t="s">
        <v>1359</v>
      </c>
      <c r="G2325" s="88" t="s">
        <v>752</v>
      </c>
      <c r="H2325" s="88" t="s">
        <v>596</v>
      </c>
    </row>
    <row r="2326" spans="1:8" x14ac:dyDescent="0.3">
      <c r="A2326" s="88" t="s">
        <v>716</v>
      </c>
      <c r="B2326" s="88">
        <v>157</v>
      </c>
      <c r="C2326" s="88">
        <v>34</v>
      </c>
      <c r="D2326" s="88" t="s">
        <v>241</v>
      </c>
      <c r="E2326" s="88" t="s">
        <v>1074</v>
      </c>
      <c r="F2326" s="88" t="s">
        <v>904</v>
      </c>
      <c r="G2326" s="88" t="s">
        <v>755</v>
      </c>
      <c r="H2326" s="88" t="s">
        <v>596</v>
      </c>
    </row>
    <row r="2327" spans="1:8" x14ac:dyDescent="0.3">
      <c r="A2327" s="88" t="s">
        <v>716</v>
      </c>
      <c r="B2327" s="88">
        <v>157</v>
      </c>
      <c r="C2327" s="88">
        <v>35</v>
      </c>
      <c r="D2327" s="88" t="s">
        <v>241</v>
      </c>
      <c r="E2327" s="88" t="s">
        <v>979</v>
      </c>
      <c r="F2327" s="88" t="s">
        <v>968</v>
      </c>
      <c r="G2327" s="88" t="s">
        <v>758</v>
      </c>
      <c r="H2327" s="88" t="s">
        <v>596</v>
      </c>
    </row>
    <row r="2328" spans="1:8" ht="28.8" x14ac:dyDescent="0.3">
      <c r="A2328" s="88" t="s">
        <v>716</v>
      </c>
      <c r="B2328" s="88">
        <v>157</v>
      </c>
      <c r="C2328" s="88">
        <v>38</v>
      </c>
      <c r="D2328" s="88" t="s">
        <v>241</v>
      </c>
      <c r="E2328" s="88" t="s">
        <v>1861</v>
      </c>
      <c r="F2328" s="88" t="s">
        <v>1403</v>
      </c>
      <c r="G2328" s="88" t="s">
        <v>719</v>
      </c>
      <c r="H2328" s="88" t="s">
        <v>596</v>
      </c>
    </row>
    <row r="2329" spans="1:8" ht="28.8" x14ac:dyDescent="0.3">
      <c r="A2329" s="88" t="s">
        <v>716</v>
      </c>
      <c r="B2329" s="88">
        <v>157</v>
      </c>
      <c r="C2329" s="88">
        <v>39</v>
      </c>
      <c r="D2329" s="88" t="s">
        <v>241</v>
      </c>
      <c r="E2329" s="88" t="s">
        <v>1402</v>
      </c>
      <c r="F2329" s="88" t="s">
        <v>1862</v>
      </c>
      <c r="G2329" s="88" t="s">
        <v>724</v>
      </c>
      <c r="H2329" s="88" t="s">
        <v>596</v>
      </c>
    </row>
    <row r="2330" spans="1:8" x14ac:dyDescent="0.3">
      <c r="A2330" s="88" t="s">
        <v>716</v>
      </c>
      <c r="B2330" s="88">
        <v>158</v>
      </c>
      <c r="C2330" s="88">
        <v>32</v>
      </c>
      <c r="D2330" s="88" t="s">
        <v>242</v>
      </c>
      <c r="E2330" s="88" t="s">
        <v>1863</v>
      </c>
      <c r="F2330" s="88" t="s">
        <v>1036</v>
      </c>
      <c r="G2330" s="88" t="s">
        <v>749</v>
      </c>
      <c r="H2330" s="88" t="s">
        <v>596</v>
      </c>
    </row>
    <row r="2331" spans="1:8" x14ac:dyDescent="0.3">
      <c r="A2331" s="88" t="s">
        <v>716</v>
      </c>
      <c r="B2331" s="88">
        <v>158</v>
      </c>
      <c r="C2331" s="88">
        <v>33</v>
      </c>
      <c r="D2331" s="88" t="s">
        <v>242</v>
      </c>
      <c r="E2331" s="88" t="s">
        <v>1130</v>
      </c>
      <c r="F2331" s="88" t="s">
        <v>1023</v>
      </c>
      <c r="G2331" s="88" t="s">
        <v>752</v>
      </c>
      <c r="H2331" s="88" t="s">
        <v>596</v>
      </c>
    </row>
    <row r="2332" spans="1:8" x14ac:dyDescent="0.3">
      <c r="A2332" s="88" t="s">
        <v>716</v>
      </c>
      <c r="B2332" s="88">
        <v>158</v>
      </c>
      <c r="C2332" s="88">
        <v>34</v>
      </c>
      <c r="D2332" s="88" t="s">
        <v>242</v>
      </c>
      <c r="E2332" s="88" t="s">
        <v>1404</v>
      </c>
      <c r="F2332" s="88" t="s">
        <v>1071</v>
      </c>
      <c r="G2332" s="88" t="s">
        <v>755</v>
      </c>
      <c r="H2332" s="88" t="s">
        <v>596</v>
      </c>
    </row>
    <row r="2333" spans="1:8" x14ac:dyDescent="0.3">
      <c r="A2333" s="88" t="s">
        <v>716</v>
      </c>
      <c r="B2333" s="88">
        <v>158</v>
      </c>
      <c r="C2333" s="88">
        <v>35</v>
      </c>
      <c r="D2333" s="88" t="s">
        <v>242</v>
      </c>
      <c r="E2333" s="88" t="s">
        <v>771</v>
      </c>
      <c r="F2333" s="88" t="s">
        <v>1025</v>
      </c>
      <c r="G2333" s="88" t="s">
        <v>758</v>
      </c>
      <c r="H2333" s="88" t="s">
        <v>596</v>
      </c>
    </row>
    <row r="2334" spans="1:8" ht="28.8" x14ac:dyDescent="0.3">
      <c r="A2334" s="88" t="s">
        <v>716</v>
      </c>
      <c r="B2334" s="88">
        <v>158</v>
      </c>
      <c r="C2334" s="88">
        <v>38</v>
      </c>
      <c r="D2334" s="88" t="s">
        <v>242</v>
      </c>
      <c r="E2334" s="88" t="s">
        <v>1103</v>
      </c>
      <c r="F2334" s="88" t="s">
        <v>1406</v>
      </c>
      <c r="G2334" s="88" t="s">
        <v>719</v>
      </c>
      <c r="H2334" s="88" t="s">
        <v>596</v>
      </c>
    </row>
    <row r="2335" spans="1:8" ht="28.8" x14ac:dyDescent="0.3">
      <c r="A2335" s="88" t="s">
        <v>716</v>
      </c>
      <c r="B2335" s="88">
        <v>158</v>
      </c>
      <c r="C2335" s="88">
        <v>39</v>
      </c>
      <c r="D2335" s="88" t="s">
        <v>242</v>
      </c>
      <c r="E2335" s="88" t="s">
        <v>1405</v>
      </c>
      <c r="F2335" s="88" t="s">
        <v>1864</v>
      </c>
      <c r="G2335" s="88" t="s">
        <v>724</v>
      </c>
      <c r="H2335" s="88" t="s">
        <v>596</v>
      </c>
    </row>
    <row r="2336" spans="1:8" x14ac:dyDescent="0.3">
      <c r="A2336" s="88" t="s">
        <v>716</v>
      </c>
      <c r="B2336" s="88">
        <v>159</v>
      </c>
      <c r="C2336" s="88">
        <v>32</v>
      </c>
      <c r="D2336" s="88" t="s">
        <v>243</v>
      </c>
      <c r="E2336" s="88" t="s">
        <v>1865</v>
      </c>
      <c r="F2336" s="88" t="s">
        <v>750</v>
      </c>
      <c r="G2336" s="88" t="s">
        <v>749</v>
      </c>
      <c r="H2336" s="88" t="s">
        <v>596</v>
      </c>
    </row>
    <row r="2337" spans="1:8" x14ac:dyDescent="0.3">
      <c r="A2337" s="88" t="s">
        <v>716</v>
      </c>
      <c r="B2337" s="88">
        <v>159</v>
      </c>
      <c r="C2337" s="88">
        <v>33</v>
      </c>
      <c r="D2337" s="88" t="s">
        <v>243</v>
      </c>
      <c r="E2337" s="88" t="s">
        <v>844</v>
      </c>
      <c r="F2337" s="88" t="s">
        <v>820</v>
      </c>
      <c r="G2337" s="88" t="s">
        <v>752</v>
      </c>
      <c r="H2337" s="88" t="s">
        <v>596</v>
      </c>
    </row>
    <row r="2338" spans="1:8" x14ac:dyDescent="0.3">
      <c r="A2338" s="88" t="s">
        <v>716</v>
      </c>
      <c r="B2338" s="88">
        <v>159</v>
      </c>
      <c r="C2338" s="88">
        <v>34</v>
      </c>
      <c r="D2338" s="88" t="s">
        <v>243</v>
      </c>
      <c r="E2338" s="88" t="s">
        <v>1407</v>
      </c>
      <c r="F2338" s="88" t="s">
        <v>1241</v>
      </c>
      <c r="G2338" s="88" t="s">
        <v>755</v>
      </c>
      <c r="H2338" s="88" t="s">
        <v>596</v>
      </c>
    </row>
    <row r="2339" spans="1:8" x14ac:dyDescent="0.3">
      <c r="A2339" s="88" t="s">
        <v>716</v>
      </c>
      <c r="B2339" s="88">
        <v>159</v>
      </c>
      <c r="C2339" s="88">
        <v>35</v>
      </c>
      <c r="D2339" s="88" t="s">
        <v>243</v>
      </c>
      <c r="E2339" s="88" t="s">
        <v>944</v>
      </c>
      <c r="F2339" s="88" t="s">
        <v>1042</v>
      </c>
      <c r="G2339" s="88" t="s">
        <v>758</v>
      </c>
      <c r="H2339" s="88" t="s">
        <v>596</v>
      </c>
    </row>
    <row r="2340" spans="1:8" ht="28.8" x14ac:dyDescent="0.3">
      <c r="A2340" s="88" t="s">
        <v>716</v>
      </c>
      <c r="B2340" s="88">
        <v>159</v>
      </c>
      <c r="C2340" s="88">
        <v>38</v>
      </c>
      <c r="D2340" s="88" t="s">
        <v>243</v>
      </c>
      <c r="E2340" s="88" t="s">
        <v>1866</v>
      </c>
      <c r="F2340" s="88" t="s">
        <v>1409</v>
      </c>
      <c r="G2340" s="88" t="s">
        <v>719</v>
      </c>
      <c r="H2340" s="88" t="s">
        <v>596</v>
      </c>
    </row>
    <row r="2341" spans="1:8" ht="28.8" x14ac:dyDescent="0.3">
      <c r="A2341" s="88" t="s">
        <v>716</v>
      </c>
      <c r="B2341" s="88">
        <v>159</v>
      </c>
      <c r="C2341" s="88">
        <v>39</v>
      </c>
      <c r="D2341" s="88" t="s">
        <v>243</v>
      </c>
      <c r="E2341" s="88" t="s">
        <v>1254</v>
      </c>
      <c r="F2341" s="88" t="s">
        <v>1411</v>
      </c>
      <c r="G2341" s="88" t="s">
        <v>724</v>
      </c>
      <c r="H2341" s="88" t="s">
        <v>596</v>
      </c>
    </row>
    <row r="2342" spans="1:8" x14ac:dyDescent="0.3">
      <c r="A2342" s="88" t="s">
        <v>716</v>
      </c>
      <c r="B2342" s="88">
        <v>160</v>
      </c>
      <c r="C2342" s="88">
        <v>32</v>
      </c>
      <c r="D2342" s="88" t="s">
        <v>244</v>
      </c>
      <c r="E2342" s="88" t="s">
        <v>1867</v>
      </c>
      <c r="F2342" s="88" t="s">
        <v>1036</v>
      </c>
      <c r="G2342" s="88" t="s">
        <v>749</v>
      </c>
      <c r="H2342" s="88" t="s">
        <v>596</v>
      </c>
    </row>
    <row r="2343" spans="1:8" x14ac:dyDescent="0.3">
      <c r="A2343" s="88" t="s">
        <v>716</v>
      </c>
      <c r="B2343" s="88">
        <v>160</v>
      </c>
      <c r="C2343" s="88">
        <v>33</v>
      </c>
      <c r="D2343" s="88" t="s">
        <v>244</v>
      </c>
      <c r="E2343" s="88" t="s">
        <v>916</v>
      </c>
      <c r="F2343" s="88" t="s">
        <v>1366</v>
      </c>
      <c r="G2343" s="88" t="s">
        <v>752</v>
      </c>
      <c r="H2343" s="88" t="s">
        <v>596</v>
      </c>
    </row>
    <row r="2344" spans="1:8" x14ac:dyDescent="0.3">
      <c r="A2344" s="88" t="s">
        <v>716</v>
      </c>
      <c r="B2344" s="88">
        <v>160</v>
      </c>
      <c r="C2344" s="88">
        <v>34</v>
      </c>
      <c r="D2344" s="88" t="s">
        <v>244</v>
      </c>
      <c r="E2344" s="88" t="s">
        <v>1412</v>
      </c>
      <c r="F2344" s="88" t="s">
        <v>886</v>
      </c>
      <c r="G2344" s="88" t="s">
        <v>755</v>
      </c>
      <c r="H2344" s="88" t="s">
        <v>596</v>
      </c>
    </row>
    <row r="2345" spans="1:8" x14ac:dyDescent="0.3">
      <c r="A2345" s="88" t="s">
        <v>716</v>
      </c>
      <c r="B2345" s="88">
        <v>160</v>
      </c>
      <c r="C2345" s="88">
        <v>35</v>
      </c>
      <c r="D2345" s="88" t="s">
        <v>244</v>
      </c>
      <c r="E2345" s="88" t="s">
        <v>1413</v>
      </c>
      <c r="F2345" s="88" t="s">
        <v>1180</v>
      </c>
      <c r="G2345" s="88" t="s">
        <v>758</v>
      </c>
      <c r="H2345" s="88" t="s">
        <v>596</v>
      </c>
    </row>
    <row r="2346" spans="1:8" ht="28.8" x14ac:dyDescent="0.3">
      <c r="A2346" s="88" t="s">
        <v>716</v>
      </c>
      <c r="B2346" s="88">
        <v>160</v>
      </c>
      <c r="C2346" s="88">
        <v>38</v>
      </c>
      <c r="D2346" s="88" t="s">
        <v>244</v>
      </c>
      <c r="E2346" s="88" t="s">
        <v>1868</v>
      </c>
      <c r="F2346" s="88"/>
      <c r="G2346" s="88" t="s">
        <v>719</v>
      </c>
      <c r="H2346" s="88" t="s">
        <v>596</v>
      </c>
    </row>
    <row r="2347" spans="1:8" ht="28.8" x14ac:dyDescent="0.3">
      <c r="A2347" s="88" t="s">
        <v>716</v>
      </c>
      <c r="B2347" s="88">
        <v>160</v>
      </c>
      <c r="C2347" s="88">
        <v>39</v>
      </c>
      <c r="D2347" s="88" t="s">
        <v>244</v>
      </c>
      <c r="E2347" s="88" t="s">
        <v>734</v>
      </c>
      <c r="F2347" s="88" t="s">
        <v>1869</v>
      </c>
      <c r="G2347" s="88" t="s">
        <v>724</v>
      </c>
      <c r="H2347" s="88" t="s">
        <v>596</v>
      </c>
    </row>
    <row r="2348" spans="1:8" x14ac:dyDescent="0.3">
      <c r="A2348" s="88" t="s">
        <v>716</v>
      </c>
      <c r="B2348" s="88">
        <v>161</v>
      </c>
      <c r="C2348" s="88">
        <v>32</v>
      </c>
      <c r="D2348" s="88" t="s">
        <v>245</v>
      </c>
      <c r="E2348" s="88" t="s">
        <v>666</v>
      </c>
      <c r="F2348" s="88" t="s">
        <v>1309</v>
      </c>
      <c r="G2348" s="88" t="s">
        <v>749</v>
      </c>
      <c r="H2348" s="88" t="s">
        <v>596</v>
      </c>
    </row>
    <row r="2349" spans="1:8" x14ac:dyDescent="0.3">
      <c r="A2349" s="88" t="s">
        <v>716</v>
      </c>
      <c r="B2349" s="88">
        <v>161</v>
      </c>
      <c r="C2349" s="88">
        <v>33</v>
      </c>
      <c r="D2349" s="88" t="s">
        <v>245</v>
      </c>
      <c r="E2349" s="88" t="s">
        <v>923</v>
      </c>
      <c r="F2349" s="88" t="s">
        <v>1205</v>
      </c>
      <c r="G2349" s="88" t="s">
        <v>752</v>
      </c>
      <c r="H2349" s="88" t="s">
        <v>596</v>
      </c>
    </row>
    <row r="2350" spans="1:8" x14ac:dyDescent="0.3">
      <c r="A2350" s="88" t="s">
        <v>716</v>
      </c>
      <c r="B2350" s="88">
        <v>161</v>
      </c>
      <c r="C2350" s="88">
        <v>34</v>
      </c>
      <c r="D2350" s="88" t="s">
        <v>245</v>
      </c>
      <c r="E2350" s="88" t="s">
        <v>1415</v>
      </c>
      <c r="F2350" s="88" t="s">
        <v>1369</v>
      </c>
      <c r="G2350" s="88" t="s">
        <v>755</v>
      </c>
      <c r="H2350" s="88" t="s">
        <v>596</v>
      </c>
    </row>
    <row r="2351" spans="1:8" x14ac:dyDescent="0.3">
      <c r="A2351" s="88" t="s">
        <v>716</v>
      </c>
      <c r="B2351" s="88">
        <v>161</v>
      </c>
      <c r="C2351" s="88">
        <v>35</v>
      </c>
      <c r="D2351" s="88" t="s">
        <v>245</v>
      </c>
      <c r="E2351" s="88" t="s">
        <v>831</v>
      </c>
      <c r="F2351" s="88" t="s">
        <v>1370</v>
      </c>
      <c r="G2351" s="88" t="s">
        <v>758</v>
      </c>
      <c r="H2351" s="88" t="s">
        <v>596</v>
      </c>
    </row>
    <row r="2352" spans="1:8" ht="28.8" x14ac:dyDescent="0.3">
      <c r="A2352" s="88" t="s">
        <v>716</v>
      </c>
      <c r="B2352" s="88">
        <v>161</v>
      </c>
      <c r="C2352" s="88">
        <v>38</v>
      </c>
      <c r="D2352" s="88" t="s">
        <v>245</v>
      </c>
      <c r="E2352" s="88" t="s">
        <v>1870</v>
      </c>
      <c r="F2352" s="88" t="s">
        <v>1417</v>
      </c>
      <c r="G2352" s="88" t="s">
        <v>719</v>
      </c>
      <c r="H2352" s="88" t="s">
        <v>596</v>
      </c>
    </row>
    <row r="2353" spans="1:8" ht="28.8" x14ac:dyDescent="0.3">
      <c r="A2353" s="88" t="s">
        <v>716</v>
      </c>
      <c r="B2353" s="88">
        <v>161</v>
      </c>
      <c r="C2353" s="88">
        <v>39</v>
      </c>
      <c r="D2353" s="88" t="s">
        <v>245</v>
      </c>
      <c r="E2353" s="88" t="s">
        <v>1416</v>
      </c>
      <c r="F2353" s="88" t="s">
        <v>1871</v>
      </c>
      <c r="G2353" s="88" t="s">
        <v>724</v>
      </c>
      <c r="H2353" s="88" t="s">
        <v>596</v>
      </c>
    </row>
    <row r="2354" spans="1:8" x14ac:dyDescent="0.3">
      <c r="A2354" s="88" t="s">
        <v>716</v>
      </c>
      <c r="B2354" s="88">
        <v>162</v>
      </c>
      <c r="C2354" s="88">
        <v>18</v>
      </c>
      <c r="D2354" s="88" t="s">
        <v>246</v>
      </c>
      <c r="E2354" s="88" t="s">
        <v>628</v>
      </c>
      <c r="F2354" s="88" t="s">
        <v>627</v>
      </c>
      <c r="G2354" s="88" t="s">
        <v>896</v>
      </c>
      <c r="H2354" s="88" t="s">
        <v>596</v>
      </c>
    </row>
    <row r="2355" spans="1:8" x14ac:dyDescent="0.3">
      <c r="A2355" s="88" t="s">
        <v>716</v>
      </c>
      <c r="B2355" s="88">
        <v>162</v>
      </c>
      <c r="C2355" s="88">
        <v>32</v>
      </c>
      <c r="D2355" s="88" t="s">
        <v>246</v>
      </c>
      <c r="E2355" s="88" t="s">
        <v>650</v>
      </c>
      <c r="F2355" s="88" t="s">
        <v>1098</v>
      </c>
      <c r="G2355" s="88" t="s">
        <v>749</v>
      </c>
      <c r="H2355" s="88" t="s">
        <v>596</v>
      </c>
    </row>
    <row r="2356" spans="1:8" x14ac:dyDescent="0.3">
      <c r="A2356" s="88" t="s">
        <v>716</v>
      </c>
      <c r="B2356" s="88">
        <v>162</v>
      </c>
      <c r="C2356" s="88">
        <v>33</v>
      </c>
      <c r="D2356" s="88" t="s">
        <v>246</v>
      </c>
      <c r="E2356" s="88" t="s">
        <v>652</v>
      </c>
      <c r="F2356" s="88" t="s">
        <v>1371</v>
      </c>
      <c r="G2356" s="88" t="s">
        <v>752</v>
      </c>
      <c r="H2356" s="88" t="s">
        <v>596</v>
      </c>
    </row>
    <row r="2357" spans="1:8" x14ac:dyDescent="0.3">
      <c r="A2357" s="88" t="s">
        <v>716</v>
      </c>
      <c r="B2357" s="88">
        <v>162</v>
      </c>
      <c r="C2357" s="88">
        <v>34</v>
      </c>
      <c r="D2357" s="88" t="s">
        <v>246</v>
      </c>
      <c r="E2357" s="88" t="s">
        <v>654</v>
      </c>
      <c r="F2357" s="88" t="s">
        <v>1036</v>
      </c>
      <c r="G2357" s="88" t="s">
        <v>755</v>
      </c>
      <c r="H2357" s="88" t="s">
        <v>596</v>
      </c>
    </row>
    <row r="2358" spans="1:8" x14ac:dyDescent="0.3">
      <c r="A2358" s="88" t="s">
        <v>716</v>
      </c>
      <c r="B2358" s="88">
        <v>162</v>
      </c>
      <c r="C2358" s="88">
        <v>35</v>
      </c>
      <c r="D2358" s="88" t="s">
        <v>246</v>
      </c>
      <c r="E2358" s="88" t="s">
        <v>656</v>
      </c>
      <c r="F2358" s="88" t="s">
        <v>1251</v>
      </c>
      <c r="G2358" s="88" t="s">
        <v>758</v>
      </c>
      <c r="H2358" s="88" t="s">
        <v>596</v>
      </c>
    </row>
    <row r="2359" spans="1:8" ht="28.8" x14ac:dyDescent="0.3">
      <c r="A2359" s="88" t="s">
        <v>716</v>
      </c>
      <c r="B2359" s="88">
        <v>162</v>
      </c>
      <c r="C2359" s="88">
        <v>38</v>
      </c>
      <c r="D2359" s="88" t="s">
        <v>246</v>
      </c>
      <c r="E2359" s="88" t="s">
        <v>662</v>
      </c>
      <c r="F2359" s="88" t="s">
        <v>1418</v>
      </c>
      <c r="G2359" s="88" t="s">
        <v>719</v>
      </c>
      <c r="H2359" s="88" t="s">
        <v>596</v>
      </c>
    </row>
    <row r="2360" spans="1:8" ht="28.8" x14ac:dyDescent="0.3">
      <c r="A2360" s="88" t="s">
        <v>716</v>
      </c>
      <c r="B2360" s="88">
        <v>162</v>
      </c>
      <c r="C2360" s="88">
        <v>39</v>
      </c>
      <c r="D2360" s="88" t="s">
        <v>246</v>
      </c>
      <c r="E2360" s="88" t="s">
        <v>664</v>
      </c>
      <c r="F2360" s="88" t="s">
        <v>665</v>
      </c>
      <c r="G2360" s="88" t="s">
        <v>724</v>
      </c>
      <c r="H2360" s="88" t="s">
        <v>596</v>
      </c>
    </row>
    <row r="2361" spans="1:8" ht="28.8" x14ac:dyDescent="0.3">
      <c r="A2361" s="88" t="s">
        <v>716</v>
      </c>
      <c r="B2361" s="88">
        <v>162</v>
      </c>
      <c r="C2361" s="88">
        <v>11</v>
      </c>
      <c r="D2361" s="88" t="s">
        <v>246</v>
      </c>
      <c r="E2361" s="88" t="s">
        <v>614</v>
      </c>
      <c r="F2361" s="88" t="s">
        <v>1419</v>
      </c>
      <c r="G2361" s="88" t="s">
        <v>1420</v>
      </c>
      <c r="H2361" s="88" t="s">
        <v>596</v>
      </c>
    </row>
    <row r="2362" spans="1:8" x14ac:dyDescent="0.3">
      <c r="A2362" s="88" t="s">
        <v>716</v>
      </c>
      <c r="B2362" s="88">
        <v>163</v>
      </c>
      <c r="C2362" s="88">
        <v>18</v>
      </c>
      <c r="D2362" s="88" t="s">
        <v>247</v>
      </c>
      <c r="E2362" s="88" t="s">
        <v>627</v>
      </c>
      <c r="F2362" s="88" t="s">
        <v>692</v>
      </c>
      <c r="G2362" s="88" t="s">
        <v>896</v>
      </c>
      <c r="H2362" s="88" t="s">
        <v>596</v>
      </c>
    </row>
    <row r="2363" spans="1:8" x14ac:dyDescent="0.3">
      <c r="A2363" s="88" t="s">
        <v>716</v>
      </c>
      <c r="B2363" s="88">
        <v>163</v>
      </c>
      <c r="C2363" s="88">
        <v>32</v>
      </c>
      <c r="D2363" s="88" t="s">
        <v>247</v>
      </c>
      <c r="E2363" s="88" t="s">
        <v>649</v>
      </c>
      <c r="F2363" s="88" t="s">
        <v>926</v>
      </c>
      <c r="G2363" s="88" t="s">
        <v>749</v>
      </c>
      <c r="H2363" s="88" t="s">
        <v>596</v>
      </c>
    </row>
    <row r="2364" spans="1:8" x14ac:dyDescent="0.3">
      <c r="A2364" s="88" t="s">
        <v>716</v>
      </c>
      <c r="B2364" s="88">
        <v>163</v>
      </c>
      <c r="C2364" s="88">
        <v>33</v>
      </c>
      <c r="D2364" s="88" t="s">
        <v>247</v>
      </c>
      <c r="E2364" s="88" t="s">
        <v>651</v>
      </c>
      <c r="F2364" s="88" t="s">
        <v>1245</v>
      </c>
      <c r="G2364" s="88" t="s">
        <v>752</v>
      </c>
      <c r="H2364" s="88" t="s">
        <v>596</v>
      </c>
    </row>
    <row r="2365" spans="1:8" x14ac:dyDescent="0.3">
      <c r="A2365" s="88" t="s">
        <v>716</v>
      </c>
      <c r="B2365" s="88">
        <v>163</v>
      </c>
      <c r="C2365" s="88">
        <v>34</v>
      </c>
      <c r="D2365" s="88" t="s">
        <v>247</v>
      </c>
      <c r="E2365" s="88" t="s">
        <v>653</v>
      </c>
      <c r="F2365" s="88" t="s">
        <v>860</v>
      </c>
      <c r="G2365" s="88" t="s">
        <v>755</v>
      </c>
      <c r="H2365" s="88" t="s">
        <v>596</v>
      </c>
    </row>
    <row r="2366" spans="1:8" x14ac:dyDescent="0.3">
      <c r="A2366" s="88" t="s">
        <v>716</v>
      </c>
      <c r="B2366" s="88">
        <v>163</v>
      </c>
      <c r="C2366" s="88">
        <v>35</v>
      </c>
      <c r="D2366" s="88" t="s">
        <v>247</v>
      </c>
      <c r="E2366" s="88" t="s">
        <v>655</v>
      </c>
      <c r="F2366" s="88" t="s">
        <v>1375</v>
      </c>
      <c r="G2366" s="88" t="s">
        <v>758</v>
      </c>
      <c r="H2366" s="88" t="s">
        <v>596</v>
      </c>
    </row>
    <row r="2367" spans="1:8" ht="28.8" x14ac:dyDescent="0.3">
      <c r="A2367" s="88" t="s">
        <v>716</v>
      </c>
      <c r="B2367" s="88">
        <v>163</v>
      </c>
      <c r="C2367" s="88">
        <v>38</v>
      </c>
      <c r="D2367" s="88" t="s">
        <v>247</v>
      </c>
      <c r="E2367" s="88" t="s">
        <v>661</v>
      </c>
      <c r="F2367" s="88" t="s">
        <v>1421</v>
      </c>
      <c r="G2367" s="88" t="s">
        <v>719</v>
      </c>
      <c r="H2367" s="88" t="s">
        <v>596</v>
      </c>
    </row>
    <row r="2368" spans="1:8" ht="28.8" x14ac:dyDescent="0.3">
      <c r="A2368" s="88" t="s">
        <v>716</v>
      </c>
      <c r="B2368" s="88">
        <v>163</v>
      </c>
      <c r="C2368" s="88">
        <v>39</v>
      </c>
      <c r="D2368" s="88" t="s">
        <v>247</v>
      </c>
      <c r="E2368" s="88" t="s">
        <v>663</v>
      </c>
      <c r="F2368" s="88" t="s">
        <v>710</v>
      </c>
      <c r="G2368" s="88" t="s">
        <v>724</v>
      </c>
      <c r="H2368" s="88" t="s">
        <v>596</v>
      </c>
    </row>
    <row r="2369" spans="1:8" ht="28.8" x14ac:dyDescent="0.3">
      <c r="A2369" s="88" t="s">
        <v>716</v>
      </c>
      <c r="B2369" s="88">
        <v>163</v>
      </c>
      <c r="C2369" s="88">
        <v>11</v>
      </c>
      <c r="D2369" s="88" t="s">
        <v>247</v>
      </c>
      <c r="E2369" s="88" t="s">
        <v>613</v>
      </c>
      <c r="F2369" s="88" t="s">
        <v>1422</v>
      </c>
      <c r="G2369" s="88" t="s">
        <v>1420</v>
      </c>
      <c r="H2369" s="88" t="s">
        <v>596</v>
      </c>
    </row>
    <row r="2370" spans="1:8" x14ac:dyDescent="0.3">
      <c r="A2370" s="88" t="s">
        <v>716</v>
      </c>
      <c r="B2370" s="88">
        <v>164</v>
      </c>
      <c r="C2370" s="88">
        <v>18</v>
      </c>
      <c r="D2370" s="88" t="s">
        <v>248</v>
      </c>
      <c r="E2370" s="88" t="s">
        <v>692</v>
      </c>
      <c r="F2370" s="88" t="s">
        <v>628</v>
      </c>
      <c r="G2370" s="88" t="s">
        <v>896</v>
      </c>
      <c r="H2370" s="88" t="s">
        <v>596</v>
      </c>
    </row>
    <row r="2371" spans="1:8" x14ac:dyDescent="0.3">
      <c r="A2371" s="88" t="s">
        <v>716</v>
      </c>
      <c r="B2371" s="88">
        <v>164</v>
      </c>
      <c r="C2371" s="88">
        <v>32</v>
      </c>
      <c r="D2371" s="88" t="s">
        <v>248</v>
      </c>
      <c r="E2371" s="88" t="s">
        <v>702</v>
      </c>
      <c r="F2371" s="88" t="s">
        <v>1053</v>
      </c>
      <c r="G2371" s="88" t="s">
        <v>749</v>
      </c>
      <c r="H2371" s="88" t="s">
        <v>596</v>
      </c>
    </row>
    <row r="2372" spans="1:8" x14ac:dyDescent="0.3">
      <c r="A2372" s="88" t="s">
        <v>716</v>
      </c>
      <c r="B2372" s="88">
        <v>164</v>
      </c>
      <c r="C2372" s="88">
        <v>33</v>
      </c>
      <c r="D2372" s="88" t="s">
        <v>248</v>
      </c>
      <c r="E2372" s="88" t="s">
        <v>703</v>
      </c>
      <c r="F2372" s="88" t="s">
        <v>1380</v>
      </c>
      <c r="G2372" s="88" t="s">
        <v>752</v>
      </c>
      <c r="H2372" s="88" t="s">
        <v>596</v>
      </c>
    </row>
    <row r="2373" spans="1:8" x14ac:dyDescent="0.3">
      <c r="A2373" s="88" t="s">
        <v>716</v>
      </c>
      <c r="B2373" s="88">
        <v>164</v>
      </c>
      <c r="C2373" s="88">
        <v>34</v>
      </c>
      <c r="D2373" s="88" t="s">
        <v>248</v>
      </c>
      <c r="E2373" s="88" t="s">
        <v>704</v>
      </c>
      <c r="F2373" s="88" t="s">
        <v>886</v>
      </c>
      <c r="G2373" s="88" t="s">
        <v>755</v>
      </c>
      <c r="H2373" s="88" t="s">
        <v>596</v>
      </c>
    </row>
    <row r="2374" spans="1:8" x14ac:dyDescent="0.3">
      <c r="A2374" s="88" t="s">
        <v>716</v>
      </c>
      <c r="B2374" s="88">
        <v>164</v>
      </c>
      <c r="C2374" s="88">
        <v>35</v>
      </c>
      <c r="D2374" s="88" t="s">
        <v>248</v>
      </c>
      <c r="E2374" s="88" t="s">
        <v>705</v>
      </c>
      <c r="F2374" s="88" t="s">
        <v>816</v>
      </c>
      <c r="G2374" s="88" t="s">
        <v>758</v>
      </c>
      <c r="H2374" s="88" t="s">
        <v>596</v>
      </c>
    </row>
    <row r="2375" spans="1:8" ht="28.8" x14ac:dyDescent="0.3">
      <c r="A2375" s="88" t="s">
        <v>716</v>
      </c>
      <c r="B2375" s="88">
        <v>164</v>
      </c>
      <c r="C2375" s="88">
        <v>38</v>
      </c>
      <c r="D2375" s="88" t="s">
        <v>248</v>
      </c>
      <c r="E2375" s="88" t="s">
        <v>708</v>
      </c>
      <c r="F2375" s="88" t="s">
        <v>1423</v>
      </c>
      <c r="G2375" s="88" t="s">
        <v>719</v>
      </c>
      <c r="H2375" s="88" t="s">
        <v>596</v>
      </c>
    </row>
    <row r="2376" spans="1:8" ht="28.8" x14ac:dyDescent="0.3">
      <c r="A2376" s="88" t="s">
        <v>716</v>
      </c>
      <c r="B2376" s="88">
        <v>164</v>
      </c>
      <c r="C2376" s="88">
        <v>39</v>
      </c>
      <c r="D2376" s="88" t="s">
        <v>248</v>
      </c>
      <c r="E2376" s="88" t="s">
        <v>709</v>
      </c>
      <c r="F2376" s="88" t="s">
        <v>666</v>
      </c>
      <c r="G2376" s="88" t="s">
        <v>724</v>
      </c>
      <c r="H2376" s="88" t="s">
        <v>596</v>
      </c>
    </row>
    <row r="2377" spans="1:8" ht="28.8" x14ac:dyDescent="0.3">
      <c r="A2377" s="88" t="s">
        <v>716</v>
      </c>
      <c r="B2377" s="88">
        <v>164</v>
      </c>
      <c r="C2377" s="88">
        <v>11</v>
      </c>
      <c r="D2377" s="88" t="s">
        <v>248</v>
      </c>
      <c r="E2377" s="88" t="s">
        <v>686</v>
      </c>
      <c r="F2377" s="88" t="s">
        <v>1424</v>
      </c>
      <c r="G2377" s="88" t="s">
        <v>1420</v>
      </c>
      <c r="H2377" s="88" t="s">
        <v>596</v>
      </c>
    </row>
    <row r="2378" spans="1:8" x14ac:dyDescent="0.3">
      <c r="A2378" s="88" t="s">
        <v>716</v>
      </c>
      <c r="B2378" s="88">
        <v>165</v>
      </c>
      <c r="C2378" s="88">
        <v>18</v>
      </c>
      <c r="D2378" s="88" t="s">
        <v>249</v>
      </c>
      <c r="E2378" s="88" t="s">
        <v>1047</v>
      </c>
      <c r="F2378" s="88" t="s">
        <v>894</v>
      </c>
      <c r="G2378" s="88" t="s">
        <v>896</v>
      </c>
      <c r="H2378" s="88" t="s">
        <v>596</v>
      </c>
    </row>
    <row r="2379" spans="1:8" x14ac:dyDescent="0.3">
      <c r="A2379" s="88" t="s">
        <v>716</v>
      </c>
      <c r="B2379" s="88">
        <v>165</v>
      </c>
      <c r="C2379" s="88">
        <v>32</v>
      </c>
      <c r="D2379" s="88" t="s">
        <v>249</v>
      </c>
      <c r="E2379" s="88" t="s">
        <v>1872</v>
      </c>
      <c r="F2379" s="88" t="s">
        <v>698</v>
      </c>
      <c r="G2379" s="88" t="s">
        <v>749</v>
      </c>
      <c r="H2379" s="88" t="s">
        <v>596</v>
      </c>
    </row>
    <row r="2380" spans="1:8" x14ac:dyDescent="0.3">
      <c r="A2380" s="88" t="s">
        <v>716</v>
      </c>
      <c r="B2380" s="88">
        <v>165</v>
      </c>
      <c r="C2380" s="88">
        <v>33</v>
      </c>
      <c r="D2380" s="88" t="s">
        <v>249</v>
      </c>
      <c r="E2380" s="88" t="s">
        <v>1002</v>
      </c>
      <c r="F2380" s="88" t="s">
        <v>1396</v>
      </c>
      <c r="G2380" s="88" t="s">
        <v>752</v>
      </c>
      <c r="H2380" s="88" t="s">
        <v>596</v>
      </c>
    </row>
    <row r="2381" spans="1:8" x14ac:dyDescent="0.3">
      <c r="A2381" s="88" t="s">
        <v>716</v>
      </c>
      <c r="B2381" s="88">
        <v>165</v>
      </c>
      <c r="C2381" s="88">
        <v>34</v>
      </c>
      <c r="D2381" s="88" t="s">
        <v>249</v>
      </c>
      <c r="E2381" s="88" t="s">
        <v>1425</v>
      </c>
      <c r="F2381" s="88" t="s">
        <v>1205</v>
      </c>
      <c r="G2381" s="88" t="s">
        <v>755</v>
      </c>
      <c r="H2381" s="88" t="s">
        <v>596</v>
      </c>
    </row>
    <row r="2382" spans="1:8" x14ac:dyDescent="0.3">
      <c r="A2382" s="88" t="s">
        <v>716</v>
      </c>
      <c r="B2382" s="88">
        <v>165</v>
      </c>
      <c r="C2382" s="88">
        <v>35</v>
      </c>
      <c r="D2382" s="88" t="s">
        <v>249</v>
      </c>
      <c r="E2382" s="88" t="s">
        <v>1110</v>
      </c>
      <c r="F2382" s="88" t="s">
        <v>1221</v>
      </c>
      <c r="G2382" s="88" t="s">
        <v>758</v>
      </c>
      <c r="H2382" s="88" t="s">
        <v>596</v>
      </c>
    </row>
    <row r="2383" spans="1:8" ht="28.8" x14ac:dyDescent="0.3">
      <c r="A2383" s="88" t="s">
        <v>716</v>
      </c>
      <c r="B2383" s="88">
        <v>165</v>
      </c>
      <c r="C2383" s="88">
        <v>38</v>
      </c>
      <c r="D2383" s="88" t="s">
        <v>249</v>
      </c>
      <c r="E2383" s="88" t="s">
        <v>1873</v>
      </c>
      <c r="F2383" s="88" t="s">
        <v>1428</v>
      </c>
      <c r="G2383" s="88" t="s">
        <v>719</v>
      </c>
      <c r="H2383" s="88" t="s">
        <v>596</v>
      </c>
    </row>
    <row r="2384" spans="1:8" ht="28.8" x14ac:dyDescent="0.3">
      <c r="A2384" s="88" t="s">
        <v>716</v>
      </c>
      <c r="B2384" s="88">
        <v>165</v>
      </c>
      <c r="C2384" s="88">
        <v>39</v>
      </c>
      <c r="D2384" s="88" t="s">
        <v>249</v>
      </c>
      <c r="E2384" s="88" t="s">
        <v>1427</v>
      </c>
      <c r="F2384" s="88" t="s">
        <v>1430</v>
      </c>
      <c r="G2384" s="88" t="s">
        <v>724</v>
      </c>
      <c r="H2384" s="88" t="s">
        <v>596</v>
      </c>
    </row>
    <row r="2385" spans="1:8" x14ac:dyDescent="0.3">
      <c r="A2385" s="88" t="s">
        <v>716</v>
      </c>
      <c r="B2385" s="88">
        <v>166</v>
      </c>
      <c r="C2385" s="88">
        <v>18</v>
      </c>
      <c r="D2385" s="88" t="s">
        <v>250</v>
      </c>
      <c r="E2385" s="88" t="s">
        <v>1160</v>
      </c>
      <c r="F2385" s="88" t="s">
        <v>1431</v>
      </c>
      <c r="G2385" s="88" t="s">
        <v>896</v>
      </c>
      <c r="H2385" s="88" t="s">
        <v>596</v>
      </c>
    </row>
    <row r="2386" spans="1:8" x14ac:dyDescent="0.3">
      <c r="A2386" s="88" t="s">
        <v>716</v>
      </c>
      <c r="B2386" s="88">
        <v>166</v>
      </c>
      <c r="C2386" s="88">
        <v>32</v>
      </c>
      <c r="D2386" s="88" t="s">
        <v>250</v>
      </c>
      <c r="E2386" s="88" t="s">
        <v>1874</v>
      </c>
      <c r="F2386" s="88" t="s">
        <v>706</v>
      </c>
      <c r="G2386" s="88" t="s">
        <v>749</v>
      </c>
      <c r="H2386" s="88" t="s">
        <v>596</v>
      </c>
    </row>
    <row r="2387" spans="1:8" x14ac:dyDescent="0.3">
      <c r="A2387" s="88" t="s">
        <v>716</v>
      </c>
      <c r="B2387" s="88">
        <v>166</v>
      </c>
      <c r="C2387" s="88">
        <v>33</v>
      </c>
      <c r="D2387" s="88" t="s">
        <v>250</v>
      </c>
      <c r="E2387" s="88" t="s">
        <v>1005</v>
      </c>
      <c r="F2387" s="88" t="s">
        <v>1433</v>
      </c>
      <c r="G2387" s="88" t="s">
        <v>752</v>
      </c>
      <c r="H2387" s="88" t="s">
        <v>596</v>
      </c>
    </row>
    <row r="2388" spans="1:8" x14ac:dyDescent="0.3">
      <c r="A2388" s="88" t="s">
        <v>716</v>
      </c>
      <c r="B2388" s="88">
        <v>166</v>
      </c>
      <c r="C2388" s="88">
        <v>34</v>
      </c>
      <c r="D2388" s="88" t="s">
        <v>250</v>
      </c>
      <c r="E2388" s="88" t="s">
        <v>1432</v>
      </c>
      <c r="F2388" s="88" t="s">
        <v>771</v>
      </c>
      <c r="G2388" s="88" t="s">
        <v>755</v>
      </c>
      <c r="H2388" s="88" t="s">
        <v>596</v>
      </c>
    </row>
    <row r="2389" spans="1:8" x14ac:dyDescent="0.3">
      <c r="A2389" s="88" t="s">
        <v>716</v>
      </c>
      <c r="B2389" s="88">
        <v>166</v>
      </c>
      <c r="C2389" s="88">
        <v>35</v>
      </c>
      <c r="D2389" s="88" t="s">
        <v>250</v>
      </c>
      <c r="E2389" s="88" t="s">
        <v>966</v>
      </c>
      <c r="F2389" s="88" t="s">
        <v>970</v>
      </c>
      <c r="G2389" s="88" t="s">
        <v>758</v>
      </c>
      <c r="H2389" s="88" t="s">
        <v>596</v>
      </c>
    </row>
    <row r="2390" spans="1:8" ht="28.8" x14ac:dyDescent="0.3">
      <c r="A2390" s="88" t="s">
        <v>716</v>
      </c>
      <c r="B2390" s="88">
        <v>166</v>
      </c>
      <c r="C2390" s="88">
        <v>38</v>
      </c>
      <c r="D2390" s="88" t="s">
        <v>250</v>
      </c>
      <c r="E2390" s="88" t="s">
        <v>1875</v>
      </c>
      <c r="F2390" s="88" t="s">
        <v>1435</v>
      </c>
      <c r="G2390" s="88" t="s">
        <v>719</v>
      </c>
      <c r="H2390" s="88" t="s">
        <v>596</v>
      </c>
    </row>
    <row r="2391" spans="1:8" ht="28.8" x14ac:dyDescent="0.3">
      <c r="A2391" s="88" t="s">
        <v>716</v>
      </c>
      <c r="B2391" s="88">
        <v>166</v>
      </c>
      <c r="C2391" s="88">
        <v>39</v>
      </c>
      <c r="D2391" s="88" t="s">
        <v>250</v>
      </c>
      <c r="E2391" s="88" t="s">
        <v>1434</v>
      </c>
      <c r="F2391" s="88" t="s">
        <v>1437</v>
      </c>
      <c r="G2391" s="88" t="s">
        <v>724</v>
      </c>
      <c r="H2391" s="88" t="s">
        <v>596</v>
      </c>
    </row>
    <row r="2392" spans="1:8" x14ac:dyDescent="0.3">
      <c r="A2392" s="88" t="s">
        <v>716</v>
      </c>
      <c r="B2392" s="88">
        <v>167</v>
      </c>
      <c r="C2392" s="88">
        <v>18</v>
      </c>
      <c r="D2392" s="88" t="s">
        <v>251</v>
      </c>
      <c r="E2392" s="88" t="s">
        <v>1438</v>
      </c>
      <c r="F2392" s="88" t="s">
        <v>627</v>
      </c>
      <c r="G2392" s="88" t="s">
        <v>896</v>
      </c>
      <c r="H2392" s="88" t="s">
        <v>596</v>
      </c>
    </row>
    <row r="2393" spans="1:8" x14ac:dyDescent="0.3">
      <c r="A2393" s="88" t="s">
        <v>716</v>
      </c>
      <c r="B2393" s="88">
        <v>167</v>
      </c>
      <c r="C2393" s="88">
        <v>32</v>
      </c>
      <c r="D2393" s="88" t="s">
        <v>251</v>
      </c>
      <c r="E2393" s="88" t="s">
        <v>1876</v>
      </c>
      <c r="F2393" s="88" t="s">
        <v>797</v>
      </c>
      <c r="G2393" s="88" t="s">
        <v>749</v>
      </c>
      <c r="H2393" s="88" t="s">
        <v>596</v>
      </c>
    </row>
    <row r="2394" spans="1:8" x14ac:dyDescent="0.3">
      <c r="A2394" s="88" t="s">
        <v>716</v>
      </c>
      <c r="B2394" s="88">
        <v>167</v>
      </c>
      <c r="C2394" s="88">
        <v>33</v>
      </c>
      <c r="D2394" s="88" t="s">
        <v>251</v>
      </c>
      <c r="E2394" s="88" t="s">
        <v>1439</v>
      </c>
      <c r="F2394" s="88" t="s">
        <v>1075</v>
      </c>
      <c r="G2394" s="88" t="s">
        <v>752</v>
      </c>
      <c r="H2394" s="88" t="s">
        <v>596</v>
      </c>
    </row>
    <row r="2395" spans="1:8" x14ac:dyDescent="0.3">
      <c r="A2395" s="88" t="s">
        <v>716</v>
      </c>
      <c r="B2395" s="88">
        <v>167</v>
      </c>
      <c r="C2395" s="88">
        <v>34</v>
      </c>
      <c r="D2395" s="88" t="s">
        <v>251</v>
      </c>
      <c r="E2395" s="88" t="s">
        <v>1440</v>
      </c>
      <c r="F2395" s="88" t="s">
        <v>1236</v>
      </c>
      <c r="G2395" s="88" t="s">
        <v>755</v>
      </c>
      <c r="H2395" s="88" t="s">
        <v>596</v>
      </c>
    </row>
    <row r="2396" spans="1:8" x14ac:dyDescent="0.3">
      <c r="A2396" s="88" t="s">
        <v>716</v>
      </c>
      <c r="B2396" s="88">
        <v>167</v>
      </c>
      <c r="C2396" s="88">
        <v>35</v>
      </c>
      <c r="D2396" s="88" t="s">
        <v>251</v>
      </c>
      <c r="E2396" s="88" t="s">
        <v>805</v>
      </c>
      <c r="F2396" s="88" t="s">
        <v>1399</v>
      </c>
      <c r="G2396" s="88" t="s">
        <v>758</v>
      </c>
      <c r="H2396" s="88" t="s">
        <v>596</v>
      </c>
    </row>
    <row r="2397" spans="1:8" ht="28.8" x14ac:dyDescent="0.3">
      <c r="A2397" s="88" t="s">
        <v>716</v>
      </c>
      <c r="B2397" s="88">
        <v>167</v>
      </c>
      <c r="C2397" s="88">
        <v>38</v>
      </c>
      <c r="D2397" s="88" t="s">
        <v>251</v>
      </c>
      <c r="E2397" s="88" t="s">
        <v>1877</v>
      </c>
      <c r="F2397" s="88" t="s">
        <v>1442</v>
      </c>
      <c r="G2397" s="88" t="s">
        <v>719</v>
      </c>
      <c r="H2397" s="88" t="s">
        <v>596</v>
      </c>
    </row>
    <row r="2398" spans="1:8" ht="28.8" x14ac:dyDescent="0.3">
      <c r="A2398" s="88" t="s">
        <v>716</v>
      </c>
      <c r="B2398" s="88">
        <v>167</v>
      </c>
      <c r="C2398" s="88">
        <v>39</v>
      </c>
      <c r="D2398" s="88" t="s">
        <v>251</v>
      </c>
      <c r="E2398" s="88" t="s">
        <v>1441</v>
      </c>
      <c r="F2398" s="88" t="s">
        <v>1444</v>
      </c>
      <c r="G2398" s="88" t="s">
        <v>724</v>
      </c>
      <c r="H2398" s="88" t="s">
        <v>596</v>
      </c>
    </row>
    <row r="2399" spans="1:8" x14ac:dyDescent="0.3">
      <c r="A2399" s="88" t="s">
        <v>716</v>
      </c>
      <c r="B2399" s="88">
        <v>168</v>
      </c>
      <c r="C2399" s="88">
        <v>18</v>
      </c>
      <c r="D2399" s="88" t="s">
        <v>252</v>
      </c>
      <c r="E2399" s="88" t="s">
        <v>1047</v>
      </c>
      <c r="F2399" s="88" t="s">
        <v>628</v>
      </c>
      <c r="G2399" s="88" t="s">
        <v>896</v>
      </c>
      <c r="H2399" s="88" t="s">
        <v>596</v>
      </c>
    </row>
    <row r="2400" spans="1:8" x14ac:dyDescent="0.3">
      <c r="A2400" s="88" t="s">
        <v>716</v>
      </c>
      <c r="B2400" s="88">
        <v>168</v>
      </c>
      <c r="C2400" s="88">
        <v>32</v>
      </c>
      <c r="D2400" s="88" t="s">
        <v>252</v>
      </c>
      <c r="E2400" s="88" t="s">
        <v>1878</v>
      </c>
      <c r="F2400" s="88" t="s">
        <v>1017</v>
      </c>
      <c r="G2400" s="88" t="s">
        <v>749</v>
      </c>
      <c r="H2400" s="88" t="s">
        <v>596</v>
      </c>
    </row>
    <row r="2401" spans="1:8" x14ac:dyDescent="0.3">
      <c r="A2401" s="88" t="s">
        <v>716</v>
      </c>
      <c r="B2401" s="88">
        <v>168</v>
      </c>
      <c r="C2401" s="88">
        <v>33</v>
      </c>
      <c r="D2401" s="88" t="s">
        <v>252</v>
      </c>
      <c r="E2401" s="88" t="s">
        <v>843</v>
      </c>
      <c r="F2401" s="88" t="s">
        <v>1074</v>
      </c>
      <c r="G2401" s="88" t="s">
        <v>752</v>
      </c>
      <c r="H2401" s="88" t="s">
        <v>596</v>
      </c>
    </row>
    <row r="2402" spans="1:8" x14ac:dyDescent="0.3">
      <c r="A2402" s="88" t="s">
        <v>716</v>
      </c>
      <c r="B2402" s="88">
        <v>168</v>
      </c>
      <c r="C2402" s="88">
        <v>34</v>
      </c>
      <c r="D2402" s="88" t="s">
        <v>252</v>
      </c>
      <c r="E2402" s="88" t="s">
        <v>1445</v>
      </c>
      <c r="F2402" s="88" t="s">
        <v>979</v>
      </c>
      <c r="G2402" s="88" t="s">
        <v>755</v>
      </c>
      <c r="H2402" s="88" t="s">
        <v>596</v>
      </c>
    </row>
    <row r="2403" spans="1:8" x14ac:dyDescent="0.3">
      <c r="A2403" s="88" t="s">
        <v>716</v>
      </c>
      <c r="B2403" s="88">
        <v>168</v>
      </c>
      <c r="C2403" s="88">
        <v>35</v>
      </c>
      <c r="D2403" s="88" t="s">
        <v>252</v>
      </c>
      <c r="E2403" s="88" t="s">
        <v>891</v>
      </c>
      <c r="F2403" s="88" t="s">
        <v>1401</v>
      </c>
      <c r="G2403" s="88" t="s">
        <v>758</v>
      </c>
      <c r="H2403" s="88" t="s">
        <v>596</v>
      </c>
    </row>
    <row r="2404" spans="1:8" ht="28.8" x14ac:dyDescent="0.3">
      <c r="A2404" s="88" t="s">
        <v>716</v>
      </c>
      <c r="B2404" s="88">
        <v>168</v>
      </c>
      <c r="C2404" s="88">
        <v>38</v>
      </c>
      <c r="D2404" s="88" t="s">
        <v>252</v>
      </c>
      <c r="E2404" s="88" t="s">
        <v>1879</v>
      </c>
      <c r="F2404" s="88" t="s">
        <v>1249</v>
      </c>
      <c r="G2404" s="88" t="s">
        <v>719</v>
      </c>
      <c r="H2404" s="88" t="s">
        <v>596</v>
      </c>
    </row>
    <row r="2405" spans="1:8" ht="28.8" x14ac:dyDescent="0.3">
      <c r="A2405" s="88" t="s">
        <v>716</v>
      </c>
      <c r="B2405" s="88">
        <v>168</v>
      </c>
      <c r="C2405" s="88">
        <v>39</v>
      </c>
      <c r="D2405" s="88" t="s">
        <v>252</v>
      </c>
      <c r="E2405" s="88" t="s">
        <v>895</v>
      </c>
      <c r="F2405" s="88" t="s">
        <v>1447</v>
      </c>
      <c r="G2405" s="88" t="s">
        <v>724</v>
      </c>
      <c r="H2405" s="88" t="s">
        <v>596</v>
      </c>
    </row>
    <row r="2406" spans="1:8" x14ac:dyDescent="0.3">
      <c r="A2406" s="88" t="s">
        <v>716</v>
      </c>
      <c r="B2406" s="88">
        <v>169</v>
      </c>
      <c r="C2406" s="88">
        <v>18</v>
      </c>
      <c r="D2406" s="88" t="s">
        <v>253</v>
      </c>
      <c r="E2406" s="88" t="s">
        <v>894</v>
      </c>
      <c r="F2406" s="88" t="s">
        <v>1047</v>
      </c>
      <c r="G2406" s="88" t="s">
        <v>896</v>
      </c>
      <c r="H2406" s="88" t="s">
        <v>596</v>
      </c>
    </row>
    <row r="2407" spans="1:8" x14ac:dyDescent="0.3">
      <c r="A2407" s="88" t="s">
        <v>716</v>
      </c>
      <c r="B2407" s="88">
        <v>169</v>
      </c>
      <c r="C2407" s="88">
        <v>32</v>
      </c>
      <c r="D2407" s="88" t="s">
        <v>253</v>
      </c>
      <c r="E2407" s="88" t="s">
        <v>1014</v>
      </c>
      <c r="F2407" s="88" t="s">
        <v>985</v>
      </c>
      <c r="G2407" s="88" t="s">
        <v>749</v>
      </c>
      <c r="H2407" s="88" t="s">
        <v>596</v>
      </c>
    </row>
    <row r="2408" spans="1:8" x14ac:dyDescent="0.3">
      <c r="A2408" s="88" t="s">
        <v>716</v>
      </c>
      <c r="B2408" s="88">
        <v>169</v>
      </c>
      <c r="C2408" s="88">
        <v>33</v>
      </c>
      <c r="D2408" s="88" t="s">
        <v>253</v>
      </c>
      <c r="E2408" s="88" t="s">
        <v>784</v>
      </c>
      <c r="F2408" s="88" t="s">
        <v>1099</v>
      </c>
      <c r="G2408" s="88" t="s">
        <v>752</v>
      </c>
      <c r="H2408" s="88" t="s">
        <v>596</v>
      </c>
    </row>
    <row r="2409" spans="1:8" x14ac:dyDescent="0.3">
      <c r="A2409" s="88" t="s">
        <v>716</v>
      </c>
      <c r="B2409" s="88">
        <v>169</v>
      </c>
      <c r="C2409" s="88">
        <v>34</v>
      </c>
      <c r="D2409" s="88" t="s">
        <v>253</v>
      </c>
      <c r="E2409" s="88" t="s">
        <v>1448</v>
      </c>
      <c r="F2409" s="88" t="s">
        <v>855</v>
      </c>
      <c r="G2409" s="88" t="s">
        <v>755</v>
      </c>
      <c r="H2409" s="88" t="s">
        <v>596</v>
      </c>
    </row>
    <row r="2410" spans="1:8" x14ac:dyDescent="0.3">
      <c r="A2410" s="88" t="s">
        <v>716</v>
      </c>
      <c r="B2410" s="88">
        <v>169</v>
      </c>
      <c r="C2410" s="88">
        <v>35</v>
      </c>
      <c r="D2410" s="88" t="s">
        <v>253</v>
      </c>
      <c r="E2410" s="88" t="s">
        <v>855</v>
      </c>
      <c r="F2410" s="88" t="s">
        <v>1089</v>
      </c>
      <c r="G2410" s="88" t="s">
        <v>758</v>
      </c>
      <c r="H2410" s="88" t="s">
        <v>596</v>
      </c>
    </row>
    <row r="2411" spans="1:8" ht="28.8" x14ac:dyDescent="0.3">
      <c r="A2411" s="88" t="s">
        <v>716</v>
      </c>
      <c r="B2411" s="88">
        <v>169</v>
      </c>
      <c r="C2411" s="88">
        <v>38</v>
      </c>
      <c r="D2411" s="88" t="s">
        <v>253</v>
      </c>
      <c r="E2411" s="88" t="s">
        <v>917</v>
      </c>
      <c r="F2411" s="88" t="s">
        <v>1451</v>
      </c>
      <c r="G2411" s="88" t="s">
        <v>719</v>
      </c>
      <c r="H2411" s="88" t="s">
        <v>596</v>
      </c>
    </row>
    <row r="2412" spans="1:8" ht="28.8" x14ac:dyDescent="0.3">
      <c r="A2412" s="88" t="s">
        <v>716</v>
      </c>
      <c r="B2412" s="88">
        <v>169</v>
      </c>
      <c r="C2412" s="88">
        <v>39</v>
      </c>
      <c r="D2412" s="88" t="s">
        <v>253</v>
      </c>
      <c r="E2412" s="88" t="s">
        <v>1450</v>
      </c>
      <c r="F2412" s="88" t="s">
        <v>1429</v>
      </c>
      <c r="G2412" s="88" t="s">
        <v>724</v>
      </c>
      <c r="H2412" s="88" t="s">
        <v>596</v>
      </c>
    </row>
    <row r="2413" spans="1:8" x14ac:dyDescent="0.3">
      <c r="A2413" s="88" t="s">
        <v>716</v>
      </c>
      <c r="B2413" s="88">
        <v>170</v>
      </c>
      <c r="C2413" s="88">
        <v>18</v>
      </c>
      <c r="D2413" s="88" t="s">
        <v>254</v>
      </c>
      <c r="E2413" s="88" t="s">
        <v>1431</v>
      </c>
      <c r="F2413" s="88" t="s">
        <v>1160</v>
      </c>
      <c r="G2413" s="88" t="s">
        <v>896</v>
      </c>
      <c r="H2413" s="88" t="s">
        <v>596</v>
      </c>
    </row>
    <row r="2414" spans="1:8" ht="28.8" x14ac:dyDescent="0.3">
      <c r="A2414" s="88" t="s">
        <v>716</v>
      </c>
      <c r="B2414" s="88">
        <v>170</v>
      </c>
      <c r="C2414" s="88">
        <v>32</v>
      </c>
      <c r="D2414" s="88" t="s">
        <v>254</v>
      </c>
      <c r="E2414" s="88" t="s">
        <v>1880</v>
      </c>
      <c r="F2414" s="88" t="s">
        <v>1214</v>
      </c>
      <c r="G2414" s="88" t="s">
        <v>749</v>
      </c>
      <c r="H2414" s="88" t="s">
        <v>596</v>
      </c>
    </row>
    <row r="2415" spans="1:8" x14ac:dyDescent="0.3">
      <c r="A2415" s="88" t="s">
        <v>716</v>
      </c>
      <c r="B2415" s="88">
        <v>170</v>
      </c>
      <c r="C2415" s="88">
        <v>33</v>
      </c>
      <c r="D2415" s="88" t="s">
        <v>254</v>
      </c>
      <c r="E2415" s="88" t="s">
        <v>849</v>
      </c>
      <c r="F2415" s="88" t="s">
        <v>814</v>
      </c>
      <c r="G2415" s="88" t="s">
        <v>752</v>
      </c>
      <c r="H2415" s="88" t="s">
        <v>596</v>
      </c>
    </row>
    <row r="2416" spans="1:8" x14ac:dyDescent="0.3">
      <c r="A2416" s="88" t="s">
        <v>716</v>
      </c>
      <c r="B2416" s="88">
        <v>170</v>
      </c>
      <c r="C2416" s="88">
        <v>34</v>
      </c>
      <c r="D2416" s="88" t="s">
        <v>254</v>
      </c>
      <c r="E2416" s="88" t="s">
        <v>1453</v>
      </c>
      <c r="F2416" s="88" t="s">
        <v>651</v>
      </c>
      <c r="G2416" s="88" t="s">
        <v>755</v>
      </c>
      <c r="H2416" s="88" t="s">
        <v>596</v>
      </c>
    </row>
    <row r="2417" spans="1:8" x14ac:dyDescent="0.3">
      <c r="A2417" s="88" t="s">
        <v>716</v>
      </c>
      <c r="B2417" s="88">
        <v>170</v>
      </c>
      <c r="C2417" s="88">
        <v>35</v>
      </c>
      <c r="D2417" s="88" t="s">
        <v>254</v>
      </c>
      <c r="E2417" s="88" t="s">
        <v>1454</v>
      </c>
      <c r="F2417" s="88" t="s">
        <v>1071</v>
      </c>
      <c r="G2417" s="88" t="s">
        <v>758</v>
      </c>
      <c r="H2417" s="88" t="s">
        <v>596</v>
      </c>
    </row>
    <row r="2418" spans="1:8" ht="28.8" x14ac:dyDescent="0.3">
      <c r="A2418" s="88" t="s">
        <v>716</v>
      </c>
      <c r="B2418" s="88">
        <v>170</v>
      </c>
      <c r="C2418" s="88">
        <v>38</v>
      </c>
      <c r="D2418" s="88" t="s">
        <v>254</v>
      </c>
      <c r="E2418" s="88" t="s">
        <v>1620</v>
      </c>
      <c r="F2418" s="88" t="s">
        <v>1046</v>
      </c>
      <c r="G2418" s="88" t="s">
        <v>719</v>
      </c>
      <c r="H2418" s="88" t="s">
        <v>596</v>
      </c>
    </row>
    <row r="2419" spans="1:8" ht="28.8" x14ac:dyDescent="0.3">
      <c r="A2419" s="88" t="s">
        <v>716</v>
      </c>
      <c r="B2419" s="88">
        <v>170</v>
      </c>
      <c r="C2419" s="88">
        <v>39</v>
      </c>
      <c r="D2419" s="88" t="s">
        <v>254</v>
      </c>
      <c r="E2419" s="88" t="s">
        <v>1045</v>
      </c>
      <c r="F2419" s="88" t="s">
        <v>1436</v>
      </c>
      <c r="G2419" s="88" t="s">
        <v>724</v>
      </c>
      <c r="H2419" s="88" t="s">
        <v>596</v>
      </c>
    </row>
    <row r="2420" spans="1:8" x14ac:dyDescent="0.3">
      <c r="A2420" s="88" t="s">
        <v>716</v>
      </c>
      <c r="B2420" s="88">
        <v>171</v>
      </c>
      <c r="C2420" s="88">
        <v>18</v>
      </c>
      <c r="D2420" s="88" t="s">
        <v>255</v>
      </c>
      <c r="E2420" s="88" t="s">
        <v>627</v>
      </c>
      <c r="F2420" s="88" t="s">
        <v>1438</v>
      </c>
      <c r="G2420" s="88" t="s">
        <v>896</v>
      </c>
      <c r="H2420" s="88" t="s">
        <v>596</v>
      </c>
    </row>
    <row r="2421" spans="1:8" x14ac:dyDescent="0.3">
      <c r="A2421" s="88" t="s">
        <v>716</v>
      </c>
      <c r="B2421" s="88">
        <v>171</v>
      </c>
      <c r="C2421" s="88">
        <v>32</v>
      </c>
      <c r="D2421" s="88" t="s">
        <v>255</v>
      </c>
      <c r="E2421" s="88" t="s">
        <v>1881</v>
      </c>
      <c r="F2421" s="88" t="s">
        <v>1204</v>
      </c>
      <c r="G2421" s="88" t="s">
        <v>749</v>
      </c>
      <c r="H2421" s="88" t="s">
        <v>596</v>
      </c>
    </row>
    <row r="2422" spans="1:8" x14ac:dyDescent="0.3">
      <c r="A2422" s="88" t="s">
        <v>716</v>
      </c>
      <c r="B2422" s="88">
        <v>171</v>
      </c>
      <c r="C2422" s="88">
        <v>33</v>
      </c>
      <c r="D2422" s="88" t="s">
        <v>255</v>
      </c>
      <c r="E2422" s="88" t="s">
        <v>1165</v>
      </c>
      <c r="F2422" s="88" t="s">
        <v>1391</v>
      </c>
      <c r="G2422" s="88" t="s">
        <v>752</v>
      </c>
      <c r="H2422" s="88" t="s">
        <v>596</v>
      </c>
    </row>
    <row r="2423" spans="1:8" x14ac:dyDescent="0.3">
      <c r="A2423" s="88" t="s">
        <v>716</v>
      </c>
      <c r="B2423" s="88">
        <v>171</v>
      </c>
      <c r="C2423" s="88">
        <v>34</v>
      </c>
      <c r="D2423" s="88" t="s">
        <v>255</v>
      </c>
      <c r="E2423" s="88" t="s">
        <v>1404</v>
      </c>
      <c r="F2423" s="88" t="s">
        <v>927</v>
      </c>
      <c r="G2423" s="88" t="s">
        <v>755</v>
      </c>
      <c r="H2423" s="88" t="s">
        <v>596</v>
      </c>
    </row>
    <row r="2424" spans="1:8" x14ac:dyDescent="0.3">
      <c r="A2424" s="88" t="s">
        <v>716</v>
      </c>
      <c r="B2424" s="88">
        <v>171</v>
      </c>
      <c r="C2424" s="88">
        <v>35</v>
      </c>
      <c r="D2424" s="88" t="s">
        <v>255</v>
      </c>
      <c r="E2424" s="88" t="s">
        <v>1067</v>
      </c>
      <c r="F2424" s="88" t="s">
        <v>1318</v>
      </c>
      <c r="G2424" s="88" t="s">
        <v>758</v>
      </c>
      <c r="H2424" s="88" t="s">
        <v>596</v>
      </c>
    </row>
    <row r="2425" spans="1:8" ht="28.8" x14ac:dyDescent="0.3">
      <c r="A2425" s="88" t="s">
        <v>716</v>
      </c>
      <c r="B2425" s="88">
        <v>171</v>
      </c>
      <c r="C2425" s="88">
        <v>38</v>
      </c>
      <c r="D2425" s="88" t="s">
        <v>255</v>
      </c>
      <c r="E2425" s="88" t="s">
        <v>1882</v>
      </c>
      <c r="F2425" s="88" t="s">
        <v>1457</v>
      </c>
      <c r="G2425" s="88" t="s">
        <v>719</v>
      </c>
      <c r="H2425" s="88" t="s">
        <v>596</v>
      </c>
    </row>
    <row r="2426" spans="1:8" ht="28.8" x14ac:dyDescent="0.3">
      <c r="A2426" s="88" t="s">
        <v>716</v>
      </c>
      <c r="B2426" s="88">
        <v>171</v>
      </c>
      <c r="C2426" s="88">
        <v>39</v>
      </c>
      <c r="D2426" s="88" t="s">
        <v>255</v>
      </c>
      <c r="E2426" s="88" t="s">
        <v>1456</v>
      </c>
      <c r="F2426" s="88" t="s">
        <v>1443</v>
      </c>
      <c r="G2426" s="88" t="s">
        <v>724</v>
      </c>
      <c r="H2426" s="88" t="s">
        <v>596</v>
      </c>
    </row>
    <row r="2427" spans="1:8" x14ac:dyDescent="0.3">
      <c r="A2427" s="88" t="s">
        <v>716</v>
      </c>
      <c r="B2427" s="88">
        <v>172</v>
      </c>
      <c r="C2427" s="88">
        <v>18</v>
      </c>
      <c r="D2427" s="88" t="s">
        <v>256</v>
      </c>
      <c r="E2427" s="88" t="s">
        <v>628</v>
      </c>
      <c r="F2427" s="88" t="s">
        <v>1047</v>
      </c>
      <c r="G2427" s="88" t="s">
        <v>896</v>
      </c>
      <c r="H2427" s="88" t="s">
        <v>596</v>
      </c>
    </row>
    <row r="2428" spans="1:8" x14ac:dyDescent="0.3">
      <c r="A2428" s="88" t="s">
        <v>716</v>
      </c>
      <c r="B2428" s="88">
        <v>172</v>
      </c>
      <c r="C2428" s="88">
        <v>32</v>
      </c>
      <c r="D2428" s="88" t="s">
        <v>256</v>
      </c>
      <c r="E2428" s="88" t="s">
        <v>1883</v>
      </c>
      <c r="F2428" s="88" t="s">
        <v>1230</v>
      </c>
      <c r="G2428" s="88" t="s">
        <v>749</v>
      </c>
      <c r="H2428" s="88" t="s">
        <v>596</v>
      </c>
    </row>
    <row r="2429" spans="1:8" x14ac:dyDescent="0.3">
      <c r="A2429" s="88" t="s">
        <v>716</v>
      </c>
      <c r="B2429" s="88">
        <v>172</v>
      </c>
      <c r="C2429" s="88">
        <v>33</v>
      </c>
      <c r="D2429" s="88" t="s">
        <v>256</v>
      </c>
      <c r="E2429" s="88" t="s">
        <v>1067</v>
      </c>
      <c r="F2429" s="88" t="s">
        <v>1173</v>
      </c>
      <c r="G2429" s="88" t="s">
        <v>752</v>
      </c>
      <c r="H2429" s="88" t="s">
        <v>596</v>
      </c>
    </row>
    <row r="2430" spans="1:8" x14ac:dyDescent="0.3">
      <c r="A2430" s="88" t="s">
        <v>716</v>
      </c>
      <c r="B2430" s="88">
        <v>172</v>
      </c>
      <c r="C2430" s="88">
        <v>34</v>
      </c>
      <c r="D2430" s="88" t="s">
        <v>256</v>
      </c>
      <c r="E2430" s="88" t="s">
        <v>1458</v>
      </c>
      <c r="F2430" s="88" t="s">
        <v>866</v>
      </c>
      <c r="G2430" s="88" t="s">
        <v>755</v>
      </c>
      <c r="H2430" s="88" t="s">
        <v>596</v>
      </c>
    </row>
    <row r="2431" spans="1:8" x14ac:dyDescent="0.3">
      <c r="A2431" s="88" t="s">
        <v>716</v>
      </c>
      <c r="B2431" s="88">
        <v>172</v>
      </c>
      <c r="C2431" s="88">
        <v>35</v>
      </c>
      <c r="D2431" s="88" t="s">
        <v>256</v>
      </c>
      <c r="E2431" s="88" t="s">
        <v>1179</v>
      </c>
      <c r="F2431" s="88" t="s">
        <v>1221</v>
      </c>
      <c r="G2431" s="88" t="s">
        <v>758</v>
      </c>
      <c r="H2431" s="88" t="s">
        <v>596</v>
      </c>
    </row>
    <row r="2432" spans="1:8" ht="28.8" x14ac:dyDescent="0.3">
      <c r="A2432" s="88" t="s">
        <v>716</v>
      </c>
      <c r="B2432" s="88">
        <v>172</v>
      </c>
      <c r="C2432" s="88">
        <v>38</v>
      </c>
      <c r="D2432" s="88" t="s">
        <v>256</v>
      </c>
      <c r="E2432" s="88" t="s">
        <v>1884</v>
      </c>
      <c r="F2432" s="88" t="s">
        <v>1460</v>
      </c>
      <c r="G2432" s="88" t="s">
        <v>719</v>
      </c>
      <c r="H2432" s="88" t="s">
        <v>596</v>
      </c>
    </row>
    <row r="2433" spans="1:8" ht="28.8" x14ac:dyDescent="0.3">
      <c r="A2433" s="88" t="s">
        <v>716</v>
      </c>
      <c r="B2433" s="88">
        <v>172</v>
      </c>
      <c r="C2433" s="88">
        <v>39</v>
      </c>
      <c r="D2433" s="88" t="s">
        <v>256</v>
      </c>
      <c r="E2433" s="88" t="s">
        <v>1459</v>
      </c>
      <c r="F2433" s="88" t="s">
        <v>1446</v>
      </c>
      <c r="G2433" s="88" t="s">
        <v>724</v>
      </c>
      <c r="H2433" s="88" t="s">
        <v>596</v>
      </c>
    </row>
    <row r="2434" spans="1:8" ht="28.8" x14ac:dyDescent="0.3">
      <c r="A2434" s="88" t="s">
        <v>716</v>
      </c>
      <c r="B2434" s="88">
        <v>173</v>
      </c>
      <c r="C2434" s="88">
        <v>32</v>
      </c>
      <c r="D2434" s="88" t="s">
        <v>257</v>
      </c>
      <c r="E2434" s="88" t="s">
        <v>1885</v>
      </c>
      <c r="F2434" s="88" t="s">
        <v>1130</v>
      </c>
      <c r="G2434" s="88" t="s">
        <v>749</v>
      </c>
      <c r="H2434" s="88" t="s">
        <v>596</v>
      </c>
    </row>
    <row r="2435" spans="1:8" x14ac:dyDescent="0.3">
      <c r="A2435" s="88" t="s">
        <v>716</v>
      </c>
      <c r="B2435" s="88">
        <v>173</v>
      </c>
      <c r="C2435" s="88">
        <v>33</v>
      </c>
      <c r="D2435" s="88" t="s">
        <v>257</v>
      </c>
      <c r="E2435" s="88" t="s">
        <v>983</v>
      </c>
      <c r="F2435" s="88" t="s">
        <v>1404</v>
      </c>
      <c r="G2435" s="88" t="s">
        <v>752</v>
      </c>
      <c r="H2435" s="88" t="s">
        <v>596</v>
      </c>
    </row>
    <row r="2436" spans="1:8" x14ac:dyDescent="0.3">
      <c r="A2436" s="88" t="s">
        <v>716</v>
      </c>
      <c r="B2436" s="88">
        <v>173</v>
      </c>
      <c r="C2436" s="88">
        <v>34</v>
      </c>
      <c r="D2436" s="88" t="s">
        <v>257</v>
      </c>
      <c r="E2436" s="88" t="s">
        <v>952</v>
      </c>
      <c r="F2436" s="88" t="s">
        <v>771</v>
      </c>
      <c r="G2436" s="88" t="s">
        <v>755</v>
      </c>
      <c r="H2436" s="88" t="s">
        <v>596</v>
      </c>
    </row>
    <row r="2437" spans="1:8" x14ac:dyDescent="0.3">
      <c r="A2437" s="88" t="s">
        <v>716</v>
      </c>
      <c r="B2437" s="88">
        <v>173</v>
      </c>
      <c r="C2437" s="88">
        <v>35</v>
      </c>
      <c r="D2437" s="88" t="s">
        <v>257</v>
      </c>
      <c r="E2437" s="88" t="s">
        <v>1071</v>
      </c>
      <c r="F2437" s="88" t="s">
        <v>890</v>
      </c>
      <c r="G2437" s="88" t="s">
        <v>758</v>
      </c>
      <c r="H2437" s="88" t="s">
        <v>596</v>
      </c>
    </row>
    <row r="2438" spans="1:8" ht="28.8" x14ac:dyDescent="0.3">
      <c r="A2438" s="88" t="s">
        <v>716</v>
      </c>
      <c r="B2438" s="88">
        <v>173</v>
      </c>
      <c r="C2438" s="88">
        <v>38</v>
      </c>
      <c r="D2438" s="88" t="s">
        <v>257</v>
      </c>
      <c r="E2438" s="88" t="s">
        <v>1886</v>
      </c>
      <c r="F2438" s="88" t="s">
        <v>1270</v>
      </c>
      <c r="G2438" s="88" t="s">
        <v>719</v>
      </c>
      <c r="H2438" s="88" t="s">
        <v>596</v>
      </c>
    </row>
    <row r="2439" spans="1:8" ht="28.8" x14ac:dyDescent="0.3">
      <c r="A2439" s="88" t="s">
        <v>716</v>
      </c>
      <c r="B2439" s="88">
        <v>173</v>
      </c>
      <c r="C2439" s="88">
        <v>39</v>
      </c>
      <c r="D2439" s="88" t="s">
        <v>257</v>
      </c>
      <c r="E2439" s="88" t="s">
        <v>1008</v>
      </c>
      <c r="F2439" s="88" t="s">
        <v>1463</v>
      </c>
      <c r="G2439" s="88" t="s">
        <v>724</v>
      </c>
      <c r="H2439" s="88" t="s">
        <v>596</v>
      </c>
    </row>
    <row r="2440" spans="1:8" ht="28.8" x14ac:dyDescent="0.3">
      <c r="A2440" s="88" t="s">
        <v>716</v>
      </c>
      <c r="B2440" s="88">
        <v>174</v>
      </c>
      <c r="C2440" s="88">
        <v>32</v>
      </c>
      <c r="D2440" s="88" t="s">
        <v>258</v>
      </c>
      <c r="E2440" s="88" t="s">
        <v>1887</v>
      </c>
      <c r="F2440" s="88" t="s">
        <v>844</v>
      </c>
      <c r="G2440" s="88" t="s">
        <v>749</v>
      </c>
      <c r="H2440" s="88" t="s">
        <v>596</v>
      </c>
    </row>
    <row r="2441" spans="1:8" x14ac:dyDescent="0.3">
      <c r="A2441" s="88" t="s">
        <v>716</v>
      </c>
      <c r="B2441" s="88">
        <v>174</v>
      </c>
      <c r="C2441" s="88">
        <v>33</v>
      </c>
      <c r="D2441" s="88" t="s">
        <v>258</v>
      </c>
      <c r="E2441" s="88" t="s">
        <v>748</v>
      </c>
      <c r="F2441" s="88" t="s">
        <v>1407</v>
      </c>
      <c r="G2441" s="88" t="s">
        <v>752</v>
      </c>
      <c r="H2441" s="88" t="s">
        <v>596</v>
      </c>
    </row>
    <row r="2442" spans="1:8" x14ac:dyDescent="0.3">
      <c r="A2442" s="88" t="s">
        <v>716</v>
      </c>
      <c r="B2442" s="88">
        <v>174</v>
      </c>
      <c r="C2442" s="88">
        <v>34</v>
      </c>
      <c r="D2442" s="88" t="s">
        <v>258</v>
      </c>
      <c r="E2442" s="88" t="s">
        <v>751</v>
      </c>
      <c r="F2442" s="88" t="s">
        <v>944</v>
      </c>
      <c r="G2442" s="88" t="s">
        <v>755</v>
      </c>
      <c r="H2442" s="88" t="s">
        <v>596</v>
      </c>
    </row>
    <row r="2443" spans="1:8" x14ac:dyDescent="0.3">
      <c r="A2443" s="88" t="s">
        <v>716</v>
      </c>
      <c r="B2443" s="88">
        <v>174</v>
      </c>
      <c r="C2443" s="88">
        <v>35</v>
      </c>
      <c r="D2443" s="88" t="s">
        <v>258</v>
      </c>
      <c r="E2443" s="88" t="s">
        <v>754</v>
      </c>
      <c r="F2443" s="88" t="s">
        <v>1408</v>
      </c>
      <c r="G2443" s="88" t="s">
        <v>758</v>
      </c>
      <c r="H2443" s="88" t="s">
        <v>596</v>
      </c>
    </row>
    <row r="2444" spans="1:8" ht="28.8" x14ac:dyDescent="0.3">
      <c r="A2444" s="88" t="s">
        <v>716</v>
      </c>
      <c r="B2444" s="88">
        <v>174</v>
      </c>
      <c r="C2444" s="88">
        <v>38</v>
      </c>
      <c r="D2444" s="88" t="s">
        <v>258</v>
      </c>
      <c r="E2444" s="88" t="s">
        <v>1888</v>
      </c>
      <c r="F2444" s="88" t="s">
        <v>1464</v>
      </c>
      <c r="G2444" s="88" t="s">
        <v>719</v>
      </c>
      <c r="H2444" s="88" t="s">
        <v>596</v>
      </c>
    </row>
    <row r="2445" spans="1:8" ht="28.8" x14ac:dyDescent="0.3">
      <c r="A2445" s="88" t="s">
        <v>716</v>
      </c>
      <c r="B2445" s="88">
        <v>174</v>
      </c>
      <c r="C2445" s="88">
        <v>39</v>
      </c>
      <c r="D2445" s="88" t="s">
        <v>258</v>
      </c>
      <c r="E2445" s="88" t="s">
        <v>1325</v>
      </c>
      <c r="F2445" s="88" t="s">
        <v>1466</v>
      </c>
      <c r="G2445" s="88" t="s">
        <v>724</v>
      </c>
      <c r="H2445" s="88" t="s">
        <v>596</v>
      </c>
    </row>
    <row r="2446" spans="1:8" ht="28.8" x14ac:dyDescent="0.3">
      <c r="A2446" s="88" t="s">
        <v>716</v>
      </c>
      <c r="B2446" s="88">
        <v>175</v>
      </c>
      <c r="C2446" s="88">
        <v>32</v>
      </c>
      <c r="D2446" s="88" t="s">
        <v>259</v>
      </c>
      <c r="E2446" s="88" t="s">
        <v>1889</v>
      </c>
      <c r="F2446" s="88" t="s">
        <v>916</v>
      </c>
      <c r="G2446" s="88" t="s">
        <v>749</v>
      </c>
      <c r="H2446" s="88" t="s">
        <v>596</v>
      </c>
    </row>
    <row r="2447" spans="1:8" x14ac:dyDescent="0.3">
      <c r="A2447" s="88" t="s">
        <v>716</v>
      </c>
      <c r="B2447" s="88">
        <v>175</v>
      </c>
      <c r="C2447" s="88">
        <v>33</v>
      </c>
      <c r="D2447" s="88" t="s">
        <v>259</v>
      </c>
      <c r="E2447" s="88" t="s">
        <v>866</v>
      </c>
      <c r="F2447" s="88" t="s">
        <v>1412</v>
      </c>
      <c r="G2447" s="88" t="s">
        <v>752</v>
      </c>
      <c r="H2447" s="88" t="s">
        <v>596</v>
      </c>
    </row>
    <row r="2448" spans="1:8" x14ac:dyDescent="0.3">
      <c r="A2448" s="88" t="s">
        <v>716</v>
      </c>
      <c r="B2448" s="88">
        <v>175</v>
      </c>
      <c r="C2448" s="88">
        <v>34</v>
      </c>
      <c r="D2448" s="88" t="s">
        <v>259</v>
      </c>
      <c r="E2448" s="88" t="s">
        <v>835</v>
      </c>
      <c r="F2448" s="88" t="s">
        <v>1413</v>
      </c>
      <c r="G2448" s="88" t="s">
        <v>755</v>
      </c>
      <c r="H2448" s="88" t="s">
        <v>596</v>
      </c>
    </row>
    <row r="2449" spans="1:8" x14ac:dyDescent="0.3">
      <c r="A2449" s="88" t="s">
        <v>716</v>
      </c>
      <c r="B2449" s="88">
        <v>175</v>
      </c>
      <c r="C2449" s="88">
        <v>35</v>
      </c>
      <c r="D2449" s="88" t="s">
        <v>259</v>
      </c>
      <c r="E2449" s="88" t="s">
        <v>854</v>
      </c>
      <c r="F2449" s="88" t="s">
        <v>1414</v>
      </c>
      <c r="G2449" s="88" t="s">
        <v>758</v>
      </c>
      <c r="H2449" s="88" t="s">
        <v>596</v>
      </c>
    </row>
    <row r="2450" spans="1:8" ht="28.8" x14ac:dyDescent="0.3">
      <c r="A2450" s="88" t="s">
        <v>716</v>
      </c>
      <c r="B2450" s="88">
        <v>175</v>
      </c>
      <c r="C2450" s="88">
        <v>38</v>
      </c>
      <c r="D2450" s="88" t="s">
        <v>259</v>
      </c>
      <c r="E2450" s="88" t="s">
        <v>1890</v>
      </c>
      <c r="F2450" s="88" t="s">
        <v>1467</v>
      </c>
      <c r="G2450" s="88" t="s">
        <v>719</v>
      </c>
      <c r="H2450" s="88" t="s">
        <v>596</v>
      </c>
    </row>
    <row r="2451" spans="1:8" ht="28.8" x14ac:dyDescent="0.3">
      <c r="A2451" s="88" t="s">
        <v>716</v>
      </c>
      <c r="B2451" s="88">
        <v>175</v>
      </c>
      <c r="C2451" s="88">
        <v>39</v>
      </c>
      <c r="D2451" s="88" t="s">
        <v>259</v>
      </c>
      <c r="E2451" s="88" t="s">
        <v>1260</v>
      </c>
      <c r="F2451" s="88" t="s">
        <v>1469</v>
      </c>
      <c r="G2451" s="88" t="s">
        <v>724</v>
      </c>
      <c r="H2451" s="88" t="s">
        <v>596</v>
      </c>
    </row>
    <row r="2452" spans="1:8" x14ac:dyDescent="0.3">
      <c r="A2452" s="88" t="s">
        <v>716</v>
      </c>
      <c r="B2452" s="88">
        <v>176</v>
      </c>
      <c r="C2452" s="88">
        <v>32</v>
      </c>
      <c r="D2452" s="88" t="s">
        <v>260</v>
      </c>
      <c r="E2452" s="88" t="s">
        <v>1891</v>
      </c>
      <c r="F2452" s="88" t="s">
        <v>923</v>
      </c>
      <c r="G2452" s="88" t="s">
        <v>749</v>
      </c>
      <c r="H2452" s="88" t="s">
        <v>596</v>
      </c>
    </row>
    <row r="2453" spans="1:8" x14ac:dyDescent="0.3">
      <c r="A2453" s="88" t="s">
        <v>716</v>
      </c>
      <c r="B2453" s="88">
        <v>176</v>
      </c>
      <c r="C2453" s="88">
        <v>33</v>
      </c>
      <c r="D2453" s="88" t="s">
        <v>260</v>
      </c>
      <c r="E2453" s="88" t="s">
        <v>934</v>
      </c>
      <c r="F2453" s="88" t="s">
        <v>1415</v>
      </c>
      <c r="G2453" s="88" t="s">
        <v>752</v>
      </c>
      <c r="H2453" s="88" t="s">
        <v>596</v>
      </c>
    </row>
    <row r="2454" spans="1:8" x14ac:dyDescent="0.3">
      <c r="A2454" s="88" t="s">
        <v>716</v>
      </c>
      <c r="B2454" s="88">
        <v>176</v>
      </c>
      <c r="C2454" s="88">
        <v>34</v>
      </c>
      <c r="D2454" s="88" t="s">
        <v>260</v>
      </c>
      <c r="E2454" s="88" t="s">
        <v>879</v>
      </c>
      <c r="F2454" s="88" t="s">
        <v>831</v>
      </c>
      <c r="G2454" s="88" t="s">
        <v>755</v>
      </c>
      <c r="H2454" s="88" t="s">
        <v>596</v>
      </c>
    </row>
    <row r="2455" spans="1:8" x14ac:dyDescent="0.3">
      <c r="A2455" s="88" t="s">
        <v>716</v>
      </c>
      <c r="B2455" s="88">
        <v>176</v>
      </c>
      <c r="C2455" s="88">
        <v>35</v>
      </c>
      <c r="D2455" s="88" t="s">
        <v>260</v>
      </c>
      <c r="E2455" s="88" t="s">
        <v>747</v>
      </c>
      <c r="F2455" s="88" t="s">
        <v>656</v>
      </c>
      <c r="G2455" s="88" t="s">
        <v>758</v>
      </c>
      <c r="H2455" s="88" t="s">
        <v>596</v>
      </c>
    </row>
    <row r="2456" spans="1:8" ht="28.8" x14ac:dyDescent="0.3">
      <c r="A2456" s="88" t="s">
        <v>716</v>
      </c>
      <c r="B2456" s="88">
        <v>176</v>
      </c>
      <c r="C2456" s="88">
        <v>38</v>
      </c>
      <c r="D2456" s="88" t="s">
        <v>260</v>
      </c>
      <c r="E2456" s="88" t="s">
        <v>1892</v>
      </c>
      <c r="F2456" s="88" t="s">
        <v>1471</v>
      </c>
      <c r="G2456" s="88" t="s">
        <v>719</v>
      </c>
      <c r="H2456" s="88" t="s">
        <v>596</v>
      </c>
    </row>
    <row r="2457" spans="1:8" ht="28.8" x14ac:dyDescent="0.3">
      <c r="A2457" s="88" t="s">
        <v>716</v>
      </c>
      <c r="B2457" s="88">
        <v>176</v>
      </c>
      <c r="C2457" s="88">
        <v>39</v>
      </c>
      <c r="D2457" s="88" t="s">
        <v>260</v>
      </c>
      <c r="E2457" s="88" t="s">
        <v>1470</v>
      </c>
      <c r="F2457" s="88" t="s">
        <v>1473</v>
      </c>
      <c r="G2457" s="88" t="s">
        <v>724</v>
      </c>
      <c r="H2457" s="88" t="s">
        <v>596</v>
      </c>
    </row>
    <row r="2458" spans="1:8" x14ac:dyDescent="0.3">
      <c r="A2458" s="88" t="s">
        <v>716</v>
      </c>
      <c r="B2458" s="88">
        <v>177</v>
      </c>
      <c r="C2458" s="88">
        <v>32</v>
      </c>
      <c r="D2458" s="88" t="s">
        <v>261</v>
      </c>
      <c r="E2458" s="88" t="s">
        <v>1893</v>
      </c>
      <c r="F2458" s="88" t="s">
        <v>651</v>
      </c>
      <c r="G2458" s="88" t="s">
        <v>749</v>
      </c>
      <c r="H2458" s="88" t="s">
        <v>596</v>
      </c>
    </row>
    <row r="2459" spans="1:8" x14ac:dyDescent="0.3">
      <c r="A2459" s="88" t="s">
        <v>716</v>
      </c>
      <c r="B2459" s="88">
        <v>177</v>
      </c>
      <c r="C2459" s="88">
        <v>33</v>
      </c>
      <c r="D2459" s="88" t="s">
        <v>261</v>
      </c>
      <c r="E2459" s="88" t="s">
        <v>763</v>
      </c>
      <c r="F2459" s="88" t="s">
        <v>653</v>
      </c>
      <c r="G2459" s="88" t="s">
        <v>752</v>
      </c>
      <c r="H2459" s="88" t="s">
        <v>596</v>
      </c>
    </row>
    <row r="2460" spans="1:8" x14ac:dyDescent="0.3">
      <c r="A2460" s="88" t="s">
        <v>716</v>
      </c>
      <c r="B2460" s="88">
        <v>177</v>
      </c>
      <c r="C2460" s="88">
        <v>34</v>
      </c>
      <c r="D2460" s="88" t="s">
        <v>261</v>
      </c>
      <c r="E2460" s="88" t="s">
        <v>959</v>
      </c>
      <c r="F2460" s="88" t="s">
        <v>655</v>
      </c>
      <c r="G2460" s="88" t="s">
        <v>755</v>
      </c>
      <c r="H2460" s="88" t="s">
        <v>596</v>
      </c>
    </row>
    <row r="2461" spans="1:8" x14ac:dyDescent="0.3">
      <c r="A2461" s="88" t="s">
        <v>716</v>
      </c>
      <c r="B2461" s="88">
        <v>177</v>
      </c>
      <c r="C2461" s="88">
        <v>35</v>
      </c>
      <c r="D2461" s="88" t="s">
        <v>261</v>
      </c>
      <c r="E2461" s="88" t="s">
        <v>961</v>
      </c>
      <c r="F2461" s="88" t="s">
        <v>657</v>
      </c>
      <c r="G2461" s="88" t="s">
        <v>758</v>
      </c>
      <c r="H2461" s="88" t="s">
        <v>596</v>
      </c>
    </row>
    <row r="2462" spans="1:8" ht="28.8" x14ac:dyDescent="0.3">
      <c r="A2462" s="88" t="s">
        <v>716</v>
      </c>
      <c r="B2462" s="88">
        <v>177</v>
      </c>
      <c r="C2462" s="88">
        <v>38</v>
      </c>
      <c r="D2462" s="88" t="s">
        <v>261</v>
      </c>
      <c r="E2462" s="88" t="s">
        <v>1894</v>
      </c>
      <c r="F2462" s="88" t="s">
        <v>1474</v>
      </c>
      <c r="G2462" s="88" t="s">
        <v>719</v>
      </c>
      <c r="H2462" s="88" t="s">
        <v>596</v>
      </c>
    </row>
    <row r="2463" spans="1:8" ht="28.8" x14ac:dyDescent="0.3">
      <c r="A2463" s="88" t="s">
        <v>716</v>
      </c>
      <c r="B2463" s="88">
        <v>177</v>
      </c>
      <c r="C2463" s="88">
        <v>39</v>
      </c>
      <c r="D2463" s="88" t="s">
        <v>261</v>
      </c>
      <c r="E2463" s="88" t="s">
        <v>1296</v>
      </c>
      <c r="F2463" s="88" t="s">
        <v>1476</v>
      </c>
      <c r="G2463" s="88" t="s">
        <v>724</v>
      </c>
      <c r="H2463" s="88" t="s">
        <v>596</v>
      </c>
    </row>
    <row r="2464" spans="1:8" x14ac:dyDescent="0.3">
      <c r="A2464" s="88" t="s">
        <v>716</v>
      </c>
      <c r="B2464" s="88">
        <v>178</v>
      </c>
      <c r="C2464" s="88">
        <v>32</v>
      </c>
      <c r="D2464" s="88" t="s">
        <v>262</v>
      </c>
      <c r="E2464" s="88" t="s">
        <v>1895</v>
      </c>
      <c r="F2464" s="88" t="s">
        <v>703</v>
      </c>
      <c r="G2464" s="88" t="s">
        <v>749</v>
      </c>
      <c r="H2464" s="88" t="s">
        <v>596</v>
      </c>
    </row>
    <row r="2465" spans="1:8" x14ac:dyDescent="0.3">
      <c r="A2465" s="88" t="s">
        <v>716</v>
      </c>
      <c r="B2465" s="88">
        <v>178</v>
      </c>
      <c r="C2465" s="88">
        <v>33</v>
      </c>
      <c r="D2465" s="88" t="s">
        <v>262</v>
      </c>
      <c r="E2465" s="88" t="s">
        <v>1005</v>
      </c>
      <c r="F2465" s="88" t="s">
        <v>704</v>
      </c>
      <c r="G2465" s="88" t="s">
        <v>752</v>
      </c>
      <c r="H2465" s="88" t="s">
        <v>596</v>
      </c>
    </row>
    <row r="2466" spans="1:8" x14ac:dyDescent="0.3">
      <c r="A2466" s="88" t="s">
        <v>716</v>
      </c>
      <c r="B2466" s="88">
        <v>178</v>
      </c>
      <c r="C2466" s="88">
        <v>34</v>
      </c>
      <c r="D2466" s="88" t="s">
        <v>262</v>
      </c>
      <c r="E2466" s="88" t="s">
        <v>791</v>
      </c>
      <c r="F2466" s="88" t="s">
        <v>705</v>
      </c>
      <c r="G2466" s="88" t="s">
        <v>755</v>
      </c>
      <c r="H2466" s="88" t="s">
        <v>596</v>
      </c>
    </row>
    <row r="2467" spans="1:8" x14ac:dyDescent="0.3">
      <c r="A2467" s="88" t="s">
        <v>716</v>
      </c>
      <c r="B2467" s="88">
        <v>178</v>
      </c>
      <c r="C2467" s="88">
        <v>35</v>
      </c>
      <c r="D2467" s="88" t="s">
        <v>262</v>
      </c>
      <c r="E2467" s="88" t="s">
        <v>972</v>
      </c>
      <c r="F2467" s="88" t="s">
        <v>706</v>
      </c>
      <c r="G2467" s="88" t="s">
        <v>758</v>
      </c>
      <c r="H2467" s="88" t="s">
        <v>596</v>
      </c>
    </row>
    <row r="2468" spans="1:8" ht="28.8" x14ac:dyDescent="0.3">
      <c r="A2468" s="88" t="s">
        <v>716</v>
      </c>
      <c r="B2468" s="88">
        <v>178</v>
      </c>
      <c r="C2468" s="88">
        <v>38</v>
      </c>
      <c r="D2468" s="88" t="s">
        <v>262</v>
      </c>
      <c r="E2468" s="88" t="s">
        <v>1896</v>
      </c>
      <c r="F2468" s="88" t="s">
        <v>1477</v>
      </c>
      <c r="G2468" s="88" t="s">
        <v>719</v>
      </c>
      <c r="H2468" s="88" t="s">
        <v>596</v>
      </c>
    </row>
    <row r="2469" spans="1:8" ht="28.8" x14ac:dyDescent="0.3">
      <c r="A2469" s="88" t="s">
        <v>716</v>
      </c>
      <c r="B2469" s="88">
        <v>178</v>
      </c>
      <c r="C2469" s="88">
        <v>39</v>
      </c>
      <c r="D2469" s="88" t="s">
        <v>262</v>
      </c>
      <c r="E2469" s="88" t="s">
        <v>1027</v>
      </c>
      <c r="F2469" s="88" t="s">
        <v>1479</v>
      </c>
      <c r="G2469" s="88" t="s">
        <v>724</v>
      </c>
      <c r="H2469" s="88" t="s">
        <v>596</v>
      </c>
    </row>
    <row r="2470" spans="1:8" ht="28.8" x14ac:dyDescent="0.3">
      <c r="A2470" s="88" t="s">
        <v>716</v>
      </c>
      <c r="B2470" s="88">
        <v>179</v>
      </c>
      <c r="C2470" s="88">
        <v>32</v>
      </c>
      <c r="D2470" s="88" t="s">
        <v>263</v>
      </c>
      <c r="E2470" s="88" t="s">
        <v>1569</v>
      </c>
      <c r="F2470" s="88" t="s">
        <v>652</v>
      </c>
      <c r="G2470" s="88" t="s">
        <v>749</v>
      </c>
      <c r="H2470" s="88" t="s">
        <v>596</v>
      </c>
    </row>
    <row r="2471" spans="1:8" x14ac:dyDescent="0.3">
      <c r="A2471" s="88" t="s">
        <v>716</v>
      </c>
      <c r="B2471" s="88">
        <v>179</v>
      </c>
      <c r="C2471" s="88">
        <v>33</v>
      </c>
      <c r="D2471" s="88" t="s">
        <v>263</v>
      </c>
      <c r="E2471" s="88" t="s">
        <v>1022</v>
      </c>
      <c r="F2471" s="88" t="s">
        <v>654</v>
      </c>
      <c r="G2471" s="88" t="s">
        <v>752</v>
      </c>
      <c r="H2471" s="88" t="s">
        <v>596</v>
      </c>
    </row>
    <row r="2472" spans="1:8" x14ac:dyDescent="0.3">
      <c r="A2472" s="88" t="s">
        <v>716</v>
      </c>
      <c r="B2472" s="88">
        <v>179</v>
      </c>
      <c r="C2472" s="88">
        <v>34</v>
      </c>
      <c r="D2472" s="88" t="s">
        <v>263</v>
      </c>
      <c r="E2472" s="88" t="s">
        <v>1007</v>
      </c>
      <c r="F2472" s="88" t="s">
        <v>656</v>
      </c>
      <c r="G2472" s="88" t="s">
        <v>755</v>
      </c>
      <c r="H2472" s="88" t="s">
        <v>596</v>
      </c>
    </row>
    <row r="2473" spans="1:8" x14ac:dyDescent="0.3">
      <c r="A2473" s="88" t="s">
        <v>716</v>
      </c>
      <c r="B2473" s="88">
        <v>179</v>
      </c>
      <c r="C2473" s="88">
        <v>35</v>
      </c>
      <c r="D2473" s="88" t="s">
        <v>263</v>
      </c>
      <c r="E2473" s="88" t="s">
        <v>1024</v>
      </c>
      <c r="F2473" s="88" t="s">
        <v>658</v>
      </c>
      <c r="G2473" s="88" t="s">
        <v>758</v>
      </c>
      <c r="H2473" s="88" t="s">
        <v>596</v>
      </c>
    </row>
    <row r="2474" spans="1:8" ht="28.8" x14ac:dyDescent="0.3">
      <c r="A2474" s="88" t="s">
        <v>716</v>
      </c>
      <c r="B2474" s="88">
        <v>179</v>
      </c>
      <c r="C2474" s="88">
        <v>38</v>
      </c>
      <c r="D2474" s="88" t="s">
        <v>263</v>
      </c>
      <c r="E2474" s="88" t="s">
        <v>1897</v>
      </c>
      <c r="F2474" s="88" t="s">
        <v>1480</v>
      </c>
      <c r="G2474" s="88" t="s">
        <v>719</v>
      </c>
      <c r="H2474" s="88" t="s">
        <v>596</v>
      </c>
    </row>
    <row r="2475" spans="1:8" ht="28.8" x14ac:dyDescent="0.3">
      <c r="A2475" s="88" t="s">
        <v>716</v>
      </c>
      <c r="B2475" s="88">
        <v>179</v>
      </c>
      <c r="C2475" s="88">
        <v>39</v>
      </c>
      <c r="D2475" s="88" t="s">
        <v>263</v>
      </c>
      <c r="E2475" s="88" t="s">
        <v>850</v>
      </c>
      <c r="F2475" s="88" t="s">
        <v>1898</v>
      </c>
      <c r="G2475" s="88" t="s">
        <v>724</v>
      </c>
      <c r="H2475" s="88" t="s">
        <v>596</v>
      </c>
    </row>
    <row r="2476" spans="1:8" x14ac:dyDescent="0.3">
      <c r="A2476" s="88" t="s">
        <v>716</v>
      </c>
      <c r="B2476" s="88">
        <v>180</v>
      </c>
      <c r="C2476" s="88">
        <v>32</v>
      </c>
      <c r="D2476" s="88" t="s">
        <v>264</v>
      </c>
      <c r="E2476" s="88" t="s">
        <v>1899</v>
      </c>
      <c r="F2476" s="88" t="s">
        <v>1002</v>
      </c>
      <c r="G2476" s="88" t="s">
        <v>749</v>
      </c>
      <c r="H2476" s="88" t="s">
        <v>596</v>
      </c>
    </row>
    <row r="2477" spans="1:8" x14ac:dyDescent="0.3">
      <c r="A2477" s="88" t="s">
        <v>716</v>
      </c>
      <c r="B2477" s="88">
        <v>180</v>
      </c>
      <c r="C2477" s="88">
        <v>33</v>
      </c>
      <c r="D2477" s="88" t="s">
        <v>264</v>
      </c>
      <c r="E2477" s="88" t="s">
        <v>1053</v>
      </c>
      <c r="F2477" s="88" t="s">
        <v>1425</v>
      </c>
      <c r="G2477" s="88" t="s">
        <v>752</v>
      </c>
      <c r="H2477" s="88" t="s">
        <v>596</v>
      </c>
    </row>
    <row r="2478" spans="1:8" x14ac:dyDescent="0.3">
      <c r="A2478" s="88" t="s">
        <v>716</v>
      </c>
      <c r="B2478" s="88">
        <v>180</v>
      </c>
      <c r="C2478" s="88">
        <v>34</v>
      </c>
      <c r="D2478" s="88" t="s">
        <v>264</v>
      </c>
      <c r="E2478" s="88" t="s">
        <v>1066</v>
      </c>
      <c r="F2478" s="88" t="s">
        <v>1110</v>
      </c>
      <c r="G2478" s="88" t="s">
        <v>755</v>
      </c>
      <c r="H2478" s="88" t="s">
        <v>596</v>
      </c>
    </row>
    <row r="2479" spans="1:8" x14ac:dyDescent="0.3">
      <c r="A2479" s="88" t="s">
        <v>716</v>
      </c>
      <c r="B2479" s="88">
        <v>180</v>
      </c>
      <c r="C2479" s="88">
        <v>35</v>
      </c>
      <c r="D2479" s="88" t="s">
        <v>264</v>
      </c>
      <c r="E2479" s="88" t="s">
        <v>1068</v>
      </c>
      <c r="F2479" s="88" t="s">
        <v>1426</v>
      </c>
      <c r="G2479" s="88" t="s">
        <v>758</v>
      </c>
      <c r="H2479" s="88" t="s">
        <v>596</v>
      </c>
    </row>
    <row r="2480" spans="1:8" ht="28.8" x14ac:dyDescent="0.3">
      <c r="A2480" s="88" t="s">
        <v>716</v>
      </c>
      <c r="B2480" s="88">
        <v>180</v>
      </c>
      <c r="C2480" s="88">
        <v>38</v>
      </c>
      <c r="D2480" s="88" t="s">
        <v>264</v>
      </c>
      <c r="E2480" s="88" t="s">
        <v>1590</v>
      </c>
      <c r="F2480" s="88" t="s">
        <v>1335</v>
      </c>
      <c r="G2480" s="88" t="s">
        <v>719</v>
      </c>
      <c r="H2480" s="88" t="s">
        <v>596</v>
      </c>
    </row>
    <row r="2481" spans="1:8" ht="28.8" x14ac:dyDescent="0.3">
      <c r="A2481" s="88" t="s">
        <v>716</v>
      </c>
      <c r="B2481" s="88">
        <v>180</v>
      </c>
      <c r="C2481" s="88">
        <v>39</v>
      </c>
      <c r="D2481" s="88" t="s">
        <v>264</v>
      </c>
      <c r="E2481" s="88" t="s">
        <v>1334</v>
      </c>
      <c r="F2481" s="88" t="s">
        <v>1900</v>
      </c>
      <c r="G2481" s="88" t="s">
        <v>724</v>
      </c>
      <c r="H2481" s="88" t="s">
        <v>596</v>
      </c>
    </row>
    <row r="2482" spans="1:8" x14ac:dyDescent="0.3">
      <c r="A2482" s="88" t="s">
        <v>716</v>
      </c>
      <c r="B2482" s="88">
        <v>181</v>
      </c>
      <c r="C2482" s="88">
        <v>32</v>
      </c>
      <c r="D2482" s="88" t="s">
        <v>265</v>
      </c>
      <c r="E2482" s="88" t="s">
        <v>1901</v>
      </c>
      <c r="F2482" s="88" t="s">
        <v>1005</v>
      </c>
      <c r="G2482" s="88" t="s">
        <v>749</v>
      </c>
      <c r="H2482" s="88" t="s">
        <v>596</v>
      </c>
    </row>
    <row r="2483" spans="1:8" x14ac:dyDescent="0.3">
      <c r="A2483" s="88" t="s">
        <v>716</v>
      </c>
      <c r="B2483" s="88">
        <v>181</v>
      </c>
      <c r="C2483" s="88">
        <v>33</v>
      </c>
      <c r="D2483" s="88" t="s">
        <v>265</v>
      </c>
      <c r="E2483" s="88" t="s">
        <v>1085</v>
      </c>
      <c r="F2483" s="88" t="s">
        <v>1432</v>
      </c>
      <c r="G2483" s="88" t="s">
        <v>752</v>
      </c>
      <c r="H2483" s="88" t="s">
        <v>596</v>
      </c>
    </row>
    <row r="2484" spans="1:8" x14ac:dyDescent="0.3">
      <c r="A2484" s="88" t="s">
        <v>716</v>
      </c>
      <c r="B2484" s="88">
        <v>181</v>
      </c>
      <c r="C2484" s="88">
        <v>34</v>
      </c>
      <c r="D2484" s="88" t="s">
        <v>265</v>
      </c>
      <c r="E2484" s="88" t="s">
        <v>1087</v>
      </c>
      <c r="F2484" s="88" t="s">
        <v>966</v>
      </c>
      <c r="G2484" s="88" t="s">
        <v>755</v>
      </c>
      <c r="H2484" s="88" t="s">
        <v>596</v>
      </c>
    </row>
    <row r="2485" spans="1:8" x14ac:dyDescent="0.3">
      <c r="A2485" s="88" t="s">
        <v>716</v>
      </c>
      <c r="B2485" s="88">
        <v>181</v>
      </c>
      <c r="C2485" s="88">
        <v>35</v>
      </c>
      <c r="D2485" s="88" t="s">
        <v>265</v>
      </c>
      <c r="E2485" s="88" t="s">
        <v>1081</v>
      </c>
      <c r="F2485" s="88" t="s">
        <v>879</v>
      </c>
      <c r="G2485" s="88" t="s">
        <v>758</v>
      </c>
      <c r="H2485" s="88" t="s">
        <v>596</v>
      </c>
    </row>
    <row r="2486" spans="1:8" ht="28.8" x14ac:dyDescent="0.3">
      <c r="A2486" s="88" t="s">
        <v>716</v>
      </c>
      <c r="B2486" s="88">
        <v>181</v>
      </c>
      <c r="C2486" s="88">
        <v>38</v>
      </c>
      <c r="D2486" s="88" t="s">
        <v>265</v>
      </c>
      <c r="E2486" s="88" t="s">
        <v>1902</v>
      </c>
      <c r="F2486" s="88" t="s">
        <v>1482</v>
      </c>
      <c r="G2486" s="88" t="s">
        <v>719</v>
      </c>
      <c r="H2486" s="88" t="s">
        <v>596</v>
      </c>
    </row>
    <row r="2487" spans="1:8" ht="28.8" x14ac:dyDescent="0.3">
      <c r="A2487" s="88" t="s">
        <v>716</v>
      </c>
      <c r="B2487" s="88">
        <v>181</v>
      </c>
      <c r="C2487" s="88">
        <v>39</v>
      </c>
      <c r="D2487" s="88" t="s">
        <v>265</v>
      </c>
      <c r="E2487" s="88" t="s">
        <v>1481</v>
      </c>
      <c r="F2487" s="88" t="s">
        <v>1484</v>
      </c>
      <c r="G2487" s="88" t="s">
        <v>724</v>
      </c>
      <c r="H2487" s="88" t="s">
        <v>596</v>
      </c>
    </row>
    <row r="2488" spans="1:8" x14ac:dyDescent="0.3">
      <c r="A2488" s="88" t="s">
        <v>716</v>
      </c>
      <c r="B2488" s="88">
        <v>182</v>
      </c>
      <c r="C2488" s="88">
        <v>32</v>
      </c>
      <c r="D2488" s="88" t="s">
        <v>266</v>
      </c>
      <c r="E2488" s="88" t="s">
        <v>1903</v>
      </c>
      <c r="F2488" s="88" t="s">
        <v>1439</v>
      </c>
      <c r="G2488" s="88" t="s">
        <v>749</v>
      </c>
      <c r="H2488" s="88" t="s">
        <v>596</v>
      </c>
    </row>
    <row r="2489" spans="1:8" x14ac:dyDescent="0.3">
      <c r="A2489" s="88" t="s">
        <v>716</v>
      </c>
      <c r="B2489" s="88">
        <v>182</v>
      </c>
      <c r="C2489" s="88">
        <v>33</v>
      </c>
      <c r="D2489" s="88" t="s">
        <v>266</v>
      </c>
      <c r="E2489" s="88" t="s">
        <v>705</v>
      </c>
      <c r="F2489" s="88" t="s">
        <v>1440</v>
      </c>
      <c r="G2489" s="88" t="s">
        <v>752</v>
      </c>
      <c r="H2489" s="88" t="s">
        <v>596</v>
      </c>
    </row>
    <row r="2490" spans="1:8" x14ac:dyDescent="0.3">
      <c r="A2490" s="88" t="s">
        <v>716</v>
      </c>
      <c r="B2490" s="88">
        <v>182</v>
      </c>
      <c r="C2490" s="88">
        <v>34</v>
      </c>
      <c r="D2490" s="88" t="s">
        <v>266</v>
      </c>
      <c r="E2490" s="88" t="s">
        <v>994</v>
      </c>
      <c r="F2490" s="88" t="s">
        <v>805</v>
      </c>
      <c r="G2490" s="88" t="s">
        <v>755</v>
      </c>
      <c r="H2490" s="88" t="s">
        <v>596</v>
      </c>
    </row>
    <row r="2491" spans="1:8" x14ac:dyDescent="0.3">
      <c r="A2491" s="88" t="s">
        <v>716</v>
      </c>
      <c r="B2491" s="88">
        <v>182</v>
      </c>
      <c r="C2491" s="88">
        <v>35</v>
      </c>
      <c r="D2491" s="88" t="s">
        <v>266</v>
      </c>
      <c r="E2491" s="88" t="s">
        <v>872</v>
      </c>
      <c r="F2491" s="88" t="s">
        <v>1309</v>
      </c>
      <c r="G2491" s="88" t="s">
        <v>758</v>
      </c>
      <c r="H2491" s="88" t="s">
        <v>596</v>
      </c>
    </row>
    <row r="2492" spans="1:8" ht="28.8" x14ac:dyDescent="0.3">
      <c r="A2492" s="88" t="s">
        <v>716</v>
      </c>
      <c r="B2492" s="88">
        <v>182</v>
      </c>
      <c r="C2492" s="88">
        <v>38</v>
      </c>
      <c r="D2492" s="88" t="s">
        <v>266</v>
      </c>
      <c r="E2492" s="88" t="s">
        <v>1904</v>
      </c>
      <c r="F2492" s="88"/>
      <c r="G2492" s="88" t="s">
        <v>719</v>
      </c>
      <c r="H2492" s="88" t="s">
        <v>596</v>
      </c>
    </row>
    <row r="2493" spans="1:8" ht="28.8" x14ac:dyDescent="0.3">
      <c r="A2493" s="88" t="s">
        <v>716</v>
      </c>
      <c r="B2493" s="88">
        <v>182</v>
      </c>
      <c r="C2493" s="88">
        <v>39</v>
      </c>
      <c r="D2493" s="88" t="s">
        <v>266</v>
      </c>
      <c r="E2493" s="88" t="s">
        <v>734</v>
      </c>
      <c r="F2493" s="88" t="s">
        <v>1486</v>
      </c>
      <c r="G2493" s="88" t="s">
        <v>724</v>
      </c>
      <c r="H2493" s="88" t="s">
        <v>596</v>
      </c>
    </row>
    <row r="2494" spans="1:8" x14ac:dyDescent="0.3">
      <c r="A2494" s="88" t="s">
        <v>716</v>
      </c>
      <c r="B2494" s="88">
        <v>183</v>
      </c>
      <c r="C2494" s="88">
        <v>32</v>
      </c>
      <c r="D2494" s="88" t="s">
        <v>267</v>
      </c>
      <c r="E2494" s="88" t="s">
        <v>1905</v>
      </c>
      <c r="F2494" s="88" t="s">
        <v>843</v>
      </c>
      <c r="G2494" s="88" t="s">
        <v>749</v>
      </c>
      <c r="H2494" s="88" t="s">
        <v>596</v>
      </c>
    </row>
    <row r="2495" spans="1:8" x14ac:dyDescent="0.3">
      <c r="A2495" s="88" t="s">
        <v>716</v>
      </c>
      <c r="B2495" s="88">
        <v>183</v>
      </c>
      <c r="C2495" s="88">
        <v>33</v>
      </c>
      <c r="D2495" s="88" t="s">
        <v>267</v>
      </c>
      <c r="E2495" s="88" t="s">
        <v>1235</v>
      </c>
      <c r="F2495" s="88" t="s">
        <v>1445</v>
      </c>
      <c r="G2495" s="88" t="s">
        <v>752</v>
      </c>
      <c r="H2495" s="88" t="s">
        <v>596</v>
      </c>
    </row>
    <row r="2496" spans="1:8" x14ac:dyDescent="0.3">
      <c r="A2496" s="88" t="s">
        <v>716</v>
      </c>
      <c r="B2496" s="88">
        <v>183</v>
      </c>
      <c r="C2496" s="88">
        <v>34</v>
      </c>
      <c r="D2496" s="88" t="s">
        <v>267</v>
      </c>
      <c r="E2496" s="88" t="s">
        <v>1237</v>
      </c>
      <c r="F2496" s="88" t="s">
        <v>891</v>
      </c>
      <c r="G2496" s="88" t="s">
        <v>755</v>
      </c>
      <c r="H2496" s="88" t="s">
        <v>596</v>
      </c>
    </row>
    <row r="2497" spans="1:8" x14ac:dyDescent="0.3">
      <c r="A2497" s="88" t="s">
        <v>716</v>
      </c>
      <c r="B2497" s="88">
        <v>183</v>
      </c>
      <c r="C2497" s="88">
        <v>35</v>
      </c>
      <c r="D2497" s="88" t="s">
        <v>267</v>
      </c>
      <c r="E2497" s="88" t="s">
        <v>1130</v>
      </c>
      <c r="F2497" s="88" t="s">
        <v>860</v>
      </c>
      <c r="G2497" s="88" t="s">
        <v>758</v>
      </c>
      <c r="H2497" s="88" t="s">
        <v>596</v>
      </c>
    </row>
    <row r="2498" spans="1:8" ht="28.8" x14ac:dyDescent="0.3">
      <c r="A2498" s="88" t="s">
        <v>716</v>
      </c>
      <c r="B2498" s="88">
        <v>183</v>
      </c>
      <c r="C2498" s="88">
        <v>38</v>
      </c>
      <c r="D2498" s="88" t="s">
        <v>267</v>
      </c>
      <c r="E2498" s="88" t="s">
        <v>1906</v>
      </c>
      <c r="F2498" s="88" t="s">
        <v>1487</v>
      </c>
      <c r="G2498" s="88" t="s">
        <v>719</v>
      </c>
      <c r="H2498" s="88" t="s">
        <v>596</v>
      </c>
    </row>
    <row r="2499" spans="1:8" ht="28.8" x14ac:dyDescent="0.3">
      <c r="A2499" s="88" t="s">
        <v>716</v>
      </c>
      <c r="B2499" s="88">
        <v>183</v>
      </c>
      <c r="C2499" s="88">
        <v>39</v>
      </c>
      <c r="D2499" s="88" t="s">
        <v>267</v>
      </c>
      <c r="E2499" s="88" t="s">
        <v>1387</v>
      </c>
      <c r="F2499" s="88" t="s">
        <v>1907</v>
      </c>
      <c r="G2499" s="88" t="s">
        <v>724</v>
      </c>
      <c r="H2499" s="88" t="s">
        <v>596</v>
      </c>
    </row>
    <row r="2500" spans="1:8" ht="28.8" x14ac:dyDescent="0.3">
      <c r="A2500" s="88" t="s">
        <v>716</v>
      </c>
      <c r="B2500" s="88">
        <v>184</v>
      </c>
      <c r="C2500" s="88">
        <v>32</v>
      </c>
      <c r="D2500" s="88" t="s">
        <v>268</v>
      </c>
      <c r="E2500" s="88" t="s">
        <v>1908</v>
      </c>
      <c r="F2500" s="88" t="s">
        <v>784</v>
      </c>
      <c r="G2500" s="88" t="s">
        <v>749</v>
      </c>
      <c r="H2500" s="88" t="s">
        <v>596</v>
      </c>
    </row>
    <row r="2501" spans="1:8" x14ac:dyDescent="0.3">
      <c r="A2501" s="88" t="s">
        <v>716</v>
      </c>
      <c r="B2501" s="88">
        <v>184</v>
      </c>
      <c r="C2501" s="88">
        <v>33</v>
      </c>
      <c r="D2501" s="88" t="s">
        <v>268</v>
      </c>
      <c r="E2501" s="88" t="s">
        <v>864</v>
      </c>
      <c r="F2501" s="88" t="s">
        <v>1448</v>
      </c>
      <c r="G2501" s="88" t="s">
        <v>752</v>
      </c>
      <c r="H2501" s="88" t="s">
        <v>596</v>
      </c>
    </row>
    <row r="2502" spans="1:8" x14ac:dyDescent="0.3">
      <c r="A2502" s="88" t="s">
        <v>716</v>
      </c>
      <c r="B2502" s="88">
        <v>184</v>
      </c>
      <c r="C2502" s="88">
        <v>34</v>
      </c>
      <c r="D2502" s="88" t="s">
        <v>268</v>
      </c>
      <c r="E2502" s="88" t="s">
        <v>1080</v>
      </c>
      <c r="F2502" s="88" t="s">
        <v>855</v>
      </c>
      <c r="G2502" s="88" t="s">
        <v>755</v>
      </c>
      <c r="H2502" s="88" t="s">
        <v>596</v>
      </c>
    </row>
    <row r="2503" spans="1:8" x14ac:dyDescent="0.3">
      <c r="A2503" s="88" t="s">
        <v>716</v>
      </c>
      <c r="B2503" s="88">
        <v>184</v>
      </c>
      <c r="C2503" s="88">
        <v>35</v>
      </c>
      <c r="D2503" s="88" t="s">
        <v>268</v>
      </c>
      <c r="E2503" s="88" t="s">
        <v>753</v>
      </c>
      <c r="F2503" s="88" t="s">
        <v>1449</v>
      </c>
      <c r="G2503" s="88" t="s">
        <v>758</v>
      </c>
      <c r="H2503" s="88" t="s">
        <v>596</v>
      </c>
    </row>
    <row r="2504" spans="1:8" ht="28.8" x14ac:dyDescent="0.3">
      <c r="A2504" s="88" t="s">
        <v>716</v>
      </c>
      <c r="B2504" s="88">
        <v>184</v>
      </c>
      <c r="C2504" s="88">
        <v>38</v>
      </c>
      <c r="D2504" s="88" t="s">
        <v>268</v>
      </c>
      <c r="E2504" s="88" t="s">
        <v>1909</v>
      </c>
      <c r="F2504" s="88" t="s">
        <v>1489</v>
      </c>
      <c r="G2504" s="88" t="s">
        <v>719</v>
      </c>
      <c r="H2504" s="88" t="s">
        <v>596</v>
      </c>
    </row>
    <row r="2505" spans="1:8" ht="28.8" x14ac:dyDescent="0.3">
      <c r="A2505" s="88" t="s">
        <v>716</v>
      </c>
      <c r="B2505" s="88">
        <v>184</v>
      </c>
      <c r="C2505" s="88">
        <v>39</v>
      </c>
      <c r="D2505" s="88" t="s">
        <v>268</v>
      </c>
      <c r="E2505" s="88" t="s">
        <v>1488</v>
      </c>
      <c r="F2505" s="88" t="s">
        <v>1491</v>
      </c>
      <c r="G2505" s="88" t="s">
        <v>724</v>
      </c>
      <c r="H2505" s="88" t="s">
        <v>596</v>
      </c>
    </row>
    <row r="2506" spans="1:8" x14ac:dyDescent="0.3">
      <c r="A2506" s="88" t="s">
        <v>716</v>
      </c>
      <c r="B2506" s="88">
        <v>185</v>
      </c>
      <c r="C2506" s="88">
        <v>32</v>
      </c>
      <c r="D2506" s="88" t="s">
        <v>269</v>
      </c>
      <c r="E2506" s="88" t="s">
        <v>939</v>
      </c>
      <c r="F2506" s="88" t="s">
        <v>849</v>
      </c>
      <c r="G2506" s="88" t="s">
        <v>749</v>
      </c>
      <c r="H2506" s="88" t="s">
        <v>596</v>
      </c>
    </row>
    <row r="2507" spans="1:8" x14ac:dyDescent="0.3">
      <c r="A2507" s="88" t="s">
        <v>716</v>
      </c>
      <c r="B2507" s="88">
        <v>185</v>
      </c>
      <c r="C2507" s="88">
        <v>33</v>
      </c>
      <c r="D2507" s="88" t="s">
        <v>269</v>
      </c>
      <c r="E2507" s="88" t="s">
        <v>1318</v>
      </c>
      <c r="F2507" s="88" t="s">
        <v>1453</v>
      </c>
      <c r="G2507" s="88" t="s">
        <v>752</v>
      </c>
      <c r="H2507" s="88" t="s">
        <v>596</v>
      </c>
    </row>
    <row r="2508" spans="1:8" x14ac:dyDescent="0.3">
      <c r="A2508" s="88" t="s">
        <v>716</v>
      </c>
      <c r="B2508" s="88">
        <v>185</v>
      </c>
      <c r="C2508" s="88">
        <v>34</v>
      </c>
      <c r="D2508" s="88" t="s">
        <v>269</v>
      </c>
      <c r="E2508" s="88" t="s">
        <v>1320</v>
      </c>
      <c r="F2508" s="88" t="s">
        <v>1454</v>
      </c>
      <c r="G2508" s="88" t="s">
        <v>755</v>
      </c>
      <c r="H2508" s="88" t="s">
        <v>596</v>
      </c>
    </row>
    <row r="2509" spans="1:8" x14ac:dyDescent="0.3">
      <c r="A2509" s="88" t="s">
        <v>716</v>
      </c>
      <c r="B2509" s="88">
        <v>185</v>
      </c>
      <c r="C2509" s="88">
        <v>35</v>
      </c>
      <c r="D2509" s="88" t="s">
        <v>269</v>
      </c>
      <c r="E2509" s="88" t="s">
        <v>966</v>
      </c>
      <c r="F2509" s="88" t="s">
        <v>1375</v>
      </c>
      <c r="G2509" s="88" t="s">
        <v>758</v>
      </c>
      <c r="H2509" s="88" t="s">
        <v>596</v>
      </c>
    </row>
    <row r="2510" spans="1:8" ht="28.8" x14ac:dyDescent="0.3">
      <c r="A2510" s="88" t="s">
        <v>716</v>
      </c>
      <c r="B2510" s="88">
        <v>185</v>
      </c>
      <c r="C2510" s="88">
        <v>38</v>
      </c>
      <c r="D2510" s="88" t="s">
        <v>269</v>
      </c>
      <c r="E2510" s="88" t="s">
        <v>1720</v>
      </c>
      <c r="F2510" s="88" t="s">
        <v>1492</v>
      </c>
      <c r="G2510" s="88" t="s">
        <v>719</v>
      </c>
      <c r="H2510" s="88" t="s">
        <v>596</v>
      </c>
    </row>
    <row r="2511" spans="1:8" ht="28.8" x14ac:dyDescent="0.3">
      <c r="A2511" s="88" t="s">
        <v>716</v>
      </c>
      <c r="B2511" s="88">
        <v>185</v>
      </c>
      <c r="C2511" s="88">
        <v>39</v>
      </c>
      <c r="D2511" s="88" t="s">
        <v>269</v>
      </c>
      <c r="E2511" s="88" t="s">
        <v>1055</v>
      </c>
      <c r="F2511" s="88" t="s">
        <v>1494</v>
      </c>
      <c r="G2511" s="88" t="s">
        <v>724</v>
      </c>
      <c r="H2511" s="88" t="s">
        <v>596</v>
      </c>
    </row>
    <row r="2512" spans="1:8" x14ac:dyDescent="0.3">
      <c r="A2512" s="88" t="s">
        <v>716</v>
      </c>
      <c r="B2512" s="88">
        <v>186</v>
      </c>
      <c r="C2512" s="88">
        <v>32</v>
      </c>
      <c r="D2512" s="88" t="s">
        <v>270</v>
      </c>
      <c r="E2512" s="88" t="s">
        <v>939</v>
      </c>
      <c r="F2512" s="88" t="s">
        <v>1165</v>
      </c>
      <c r="G2512" s="88" t="s">
        <v>749</v>
      </c>
      <c r="H2512" s="88" t="s">
        <v>596</v>
      </c>
    </row>
    <row r="2513" spans="1:8" x14ac:dyDescent="0.3">
      <c r="A2513" s="88" t="s">
        <v>716</v>
      </c>
      <c r="B2513" s="88">
        <v>186</v>
      </c>
      <c r="C2513" s="88">
        <v>33</v>
      </c>
      <c r="D2513" s="88" t="s">
        <v>270</v>
      </c>
      <c r="E2513" s="88" t="s">
        <v>829</v>
      </c>
      <c r="F2513" s="88" t="s">
        <v>1404</v>
      </c>
      <c r="G2513" s="88" t="s">
        <v>752</v>
      </c>
      <c r="H2513" s="88" t="s">
        <v>596</v>
      </c>
    </row>
    <row r="2514" spans="1:8" x14ac:dyDescent="0.3">
      <c r="A2514" s="88" t="s">
        <v>716</v>
      </c>
      <c r="B2514" s="88">
        <v>186</v>
      </c>
      <c r="C2514" s="88">
        <v>34</v>
      </c>
      <c r="D2514" s="88" t="s">
        <v>270</v>
      </c>
      <c r="E2514" s="88" t="s">
        <v>1109</v>
      </c>
      <c r="F2514" s="88" t="s">
        <v>1067</v>
      </c>
      <c r="G2514" s="88" t="s">
        <v>755</v>
      </c>
      <c r="H2514" s="88" t="s">
        <v>596</v>
      </c>
    </row>
    <row r="2515" spans="1:8" x14ac:dyDescent="0.3">
      <c r="A2515" s="88" t="s">
        <v>716</v>
      </c>
      <c r="B2515" s="88">
        <v>186</v>
      </c>
      <c r="C2515" s="88">
        <v>35</v>
      </c>
      <c r="D2515" s="88" t="s">
        <v>270</v>
      </c>
      <c r="E2515" s="88" t="s">
        <v>822</v>
      </c>
      <c r="F2515" s="88" t="s">
        <v>825</v>
      </c>
      <c r="G2515" s="88" t="s">
        <v>758</v>
      </c>
      <c r="H2515" s="88" t="s">
        <v>596</v>
      </c>
    </row>
    <row r="2516" spans="1:8" ht="28.8" x14ac:dyDescent="0.3">
      <c r="A2516" s="88" t="s">
        <v>716</v>
      </c>
      <c r="B2516" s="88">
        <v>186</v>
      </c>
      <c r="C2516" s="88">
        <v>38</v>
      </c>
      <c r="D2516" s="88" t="s">
        <v>270</v>
      </c>
      <c r="E2516" s="88" t="s">
        <v>1752</v>
      </c>
      <c r="F2516" s="88" t="s">
        <v>1496</v>
      </c>
      <c r="G2516" s="88" t="s">
        <v>719</v>
      </c>
      <c r="H2516" s="88" t="s">
        <v>596</v>
      </c>
    </row>
    <row r="2517" spans="1:8" ht="28.8" x14ac:dyDescent="0.3">
      <c r="A2517" s="88" t="s">
        <v>716</v>
      </c>
      <c r="B2517" s="88">
        <v>186</v>
      </c>
      <c r="C2517" s="88">
        <v>39</v>
      </c>
      <c r="D2517" s="88" t="s">
        <v>270</v>
      </c>
      <c r="E2517" s="88" t="s">
        <v>1495</v>
      </c>
      <c r="F2517" s="88" t="s">
        <v>1498</v>
      </c>
      <c r="G2517" s="88" t="s">
        <v>724</v>
      </c>
      <c r="H2517" s="88" t="s">
        <v>596</v>
      </c>
    </row>
    <row r="2518" spans="1:8" x14ac:dyDescent="0.3">
      <c r="A2518" s="88" t="s">
        <v>716</v>
      </c>
      <c r="B2518" s="88">
        <v>187</v>
      </c>
      <c r="C2518" s="88">
        <v>18</v>
      </c>
      <c r="D2518" s="88" t="s">
        <v>271</v>
      </c>
      <c r="E2518" s="88" t="s">
        <v>949</v>
      </c>
      <c r="F2518" s="88" t="s">
        <v>1047</v>
      </c>
      <c r="G2518" s="88" t="s">
        <v>896</v>
      </c>
      <c r="H2518" s="88" t="s">
        <v>596</v>
      </c>
    </row>
    <row r="2519" spans="1:8" x14ac:dyDescent="0.3">
      <c r="A2519" s="88" t="s">
        <v>716</v>
      </c>
      <c r="B2519" s="88">
        <v>187</v>
      </c>
      <c r="C2519" s="88">
        <v>32</v>
      </c>
      <c r="D2519" s="88" t="s">
        <v>271</v>
      </c>
      <c r="E2519" s="88" t="s">
        <v>1910</v>
      </c>
      <c r="F2519" s="88" t="s">
        <v>983</v>
      </c>
      <c r="G2519" s="88" t="s">
        <v>749</v>
      </c>
      <c r="H2519" s="88" t="s">
        <v>596</v>
      </c>
    </row>
    <row r="2520" spans="1:8" x14ac:dyDescent="0.3">
      <c r="A2520" s="88" t="s">
        <v>716</v>
      </c>
      <c r="B2520" s="88">
        <v>187</v>
      </c>
      <c r="C2520" s="88">
        <v>33</v>
      </c>
      <c r="D2520" s="88" t="s">
        <v>271</v>
      </c>
      <c r="E2520" s="88" t="s">
        <v>923</v>
      </c>
      <c r="F2520" s="88" t="s">
        <v>952</v>
      </c>
      <c r="G2520" s="88" t="s">
        <v>752</v>
      </c>
      <c r="H2520" s="88" t="s">
        <v>596</v>
      </c>
    </row>
    <row r="2521" spans="1:8" x14ac:dyDescent="0.3">
      <c r="A2521" s="88" t="s">
        <v>716</v>
      </c>
      <c r="B2521" s="88">
        <v>187</v>
      </c>
      <c r="C2521" s="88">
        <v>34</v>
      </c>
      <c r="D2521" s="88" t="s">
        <v>271</v>
      </c>
      <c r="E2521" s="88" t="s">
        <v>751</v>
      </c>
      <c r="F2521" s="88" t="s">
        <v>1071</v>
      </c>
      <c r="G2521" s="88" t="s">
        <v>755</v>
      </c>
      <c r="H2521" s="88" t="s">
        <v>596</v>
      </c>
    </row>
    <row r="2522" spans="1:8" x14ac:dyDescent="0.3">
      <c r="A2522" s="88" t="s">
        <v>716</v>
      </c>
      <c r="B2522" s="88">
        <v>187</v>
      </c>
      <c r="C2522" s="88">
        <v>35</v>
      </c>
      <c r="D2522" s="88" t="s">
        <v>271</v>
      </c>
      <c r="E2522" s="88" t="s">
        <v>771</v>
      </c>
      <c r="F2522" s="88" t="s">
        <v>903</v>
      </c>
      <c r="G2522" s="88" t="s">
        <v>758</v>
      </c>
      <c r="H2522" s="88" t="s">
        <v>596</v>
      </c>
    </row>
    <row r="2523" spans="1:8" ht="28.8" x14ac:dyDescent="0.3">
      <c r="A2523" s="88" t="s">
        <v>716</v>
      </c>
      <c r="B2523" s="88">
        <v>187</v>
      </c>
      <c r="C2523" s="88">
        <v>38</v>
      </c>
      <c r="D2523" s="88" t="s">
        <v>271</v>
      </c>
      <c r="E2523" s="88" t="s">
        <v>1911</v>
      </c>
      <c r="F2523" s="88" t="s">
        <v>1499</v>
      </c>
      <c r="G2523" s="88" t="s">
        <v>719</v>
      </c>
      <c r="H2523" s="88" t="s">
        <v>596</v>
      </c>
    </row>
    <row r="2524" spans="1:8" ht="28.8" x14ac:dyDescent="0.3">
      <c r="A2524" s="88" t="s">
        <v>716</v>
      </c>
      <c r="B2524" s="88">
        <v>187</v>
      </c>
      <c r="C2524" s="88">
        <v>39</v>
      </c>
      <c r="D2524" s="88" t="s">
        <v>271</v>
      </c>
      <c r="E2524" s="88" t="s">
        <v>995</v>
      </c>
      <c r="F2524" s="88" t="s">
        <v>1912</v>
      </c>
      <c r="G2524" s="88" t="s">
        <v>724</v>
      </c>
      <c r="H2524" s="88" t="s">
        <v>596</v>
      </c>
    </row>
    <row r="2525" spans="1:8" x14ac:dyDescent="0.3">
      <c r="A2525" s="88" t="s">
        <v>716</v>
      </c>
      <c r="B2525" s="88">
        <v>188</v>
      </c>
      <c r="C2525" s="88">
        <v>18</v>
      </c>
      <c r="D2525" s="88" t="s">
        <v>272</v>
      </c>
      <c r="E2525" s="88" t="s">
        <v>1047</v>
      </c>
      <c r="F2525" s="88" t="s">
        <v>949</v>
      </c>
      <c r="G2525" s="88" t="s">
        <v>896</v>
      </c>
      <c r="H2525" s="88" t="s">
        <v>596</v>
      </c>
    </row>
    <row r="2526" spans="1:8" x14ac:dyDescent="0.3">
      <c r="A2526" s="88" t="s">
        <v>716</v>
      </c>
      <c r="B2526" s="88">
        <v>188</v>
      </c>
      <c r="C2526" s="88">
        <v>32</v>
      </c>
      <c r="D2526" s="88" t="s">
        <v>272</v>
      </c>
      <c r="E2526" s="88" t="s">
        <v>1913</v>
      </c>
      <c r="F2526" s="88" t="s">
        <v>1067</v>
      </c>
      <c r="G2526" s="88" t="s">
        <v>749</v>
      </c>
      <c r="H2526" s="88" t="s">
        <v>596</v>
      </c>
    </row>
    <row r="2527" spans="1:8" x14ac:dyDescent="0.3">
      <c r="A2527" s="88" t="s">
        <v>716</v>
      </c>
      <c r="B2527" s="88">
        <v>188</v>
      </c>
      <c r="C2527" s="88">
        <v>33</v>
      </c>
      <c r="D2527" s="88" t="s">
        <v>272</v>
      </c>
      <c r="E2527" s="88" t="s">
        <v>706</v>
      </c>
      <c r="F2527" s="88" t="s">
        <v>1458</v>
      </c>
      <c r="G2527" s="88" t="s">
        <v>752</v>
      </c>
      <c r="H2527" s="88" t="s">
        <v>596</v>
      </c>
    </row>
    <row r="2528" spans="1:8" x14ac:dyDescent="0.3">
      <c r="A2528" s="88" t="s">
        <v>716</v>
      </c>
      <c r="B2528" s="88">
        <v>188</v>
      </c>
      <c r="C2528" s="88">
        <v>34</v>
      </c>
      <c r="D2528" s="88" t="s">
        <v>272</v>
      </c>
      <c r="E2528" s="88" t="s">
        <v>1433</v>
      </c>
      <c r="F2528" s="88" t="s">
        <v>1179</v>
      </c>
      <c r="G2528" s="88" t="s">
        <v>755</v>
      </c>
      <c r="H2528" s="88" t="s">
        <v>596</v>
      </c>
    </row>
    <row r="2529" spans="1:8" x14ac:dyDescent="0.3">
      <c r="A2529" s="88" t="s">
        <v>716</v>
      </c>
      <c r="B2529" s="88">
        <v>188</v>
      </c>
      <c r="C2529" s="88">
        <v>35</v>
      </c>
      <c r="D2529" s="88" t="s">
        <v>272</v>
      </c>
      <c r="E2529" s="88" t="s">
        <v>771</v>
      </c>
      <c r="F2529" s="88" t="s">
        <v>1324</v>
      </c>
      <c r="G2529" s="88" t="s">
        <v>758</v>
      </c>
      <c r="H2529" s="88" t="s">
        <v>596</v>
      </c>
    </row>
    <row r="2530" spans="1:8" ht="28.8" x14ac:dyDescent="0.3">
      <c r="A2530" s="88" t="s">
        <v>716</v>
      </c>
      <c r="B2530" s="88">
        <v>188</v>
      </c>
      <c r="C2530" s="88">
        <v>38</v>
      </c>
      <c r="D2530" s="88" t="s">
        <v>272</v>
      </c>
      <c r="E2530" s="88" t="s">
        <v>1914</v>
      </c>
      <c r="F2530" s="88" t="s">
        <v>1501</v>
      </c>
      <c r="G2530" s="88" t="s">
        <v>719</v>
      </c>
      <c r="H2530" s="88" t="s">
        <v>596</v>
      </c>
    </row>
    <row r="2531" spans="1:8" ht="28.8" x14ac:dyDescent="0.3">
      <c r="A2531" s="88" t="s">
        <v>716</v>
      </c>
      <c r="B2531" s="88">
        <v>188</v>
      </c>
      <c r="C2531" s="88">
        <v>39</v>
      </c>
      <c r="D2531" s="88" t="s">
        <v>272</v>
      </c>
      <c r="E2531" s="88" t="s">
        <v>1500</v>
      </c>
      <c r="F2531" s="88" t="s">
        <v>1915</v>
      </c>
      <c r="G2531" s="88" t="s">
        <v>724</v>
      </c>
      <c r="H2531" s="88" t="s">
        <v>596</v>
      </c>
    </row>
    <row r="2532" spans="1:8" x14ac:dyDescent="0.3">
      <c r="A2532" s="88" t="s">
        <v>716</v>
      </c>
      <c r="B2532" s="88">
        <v>5</v>
      </c>
      <c r="C2532" s="88">
        <v>47</v>
      </c>
      <c r="D2532" s="88" t="s">
        <v>89</v>
      </c>
      <c r="E2532" s="88"/>
      <c r="F2532" s="88" t="s">
        <v>343</v>
      </c>
      <c r="G2532" s="88" t="s">
        <v>1502</v>
      </c>
      <c r="H2532" s="88" t="s">
        <v>596</v>
      </c>
    </row>
    <row r="2533" spans="1:8" x14ac:dyDescent="0.3">
      <c r="A2533" s="88" t="s">
        <v>716</v>
      </c>
      <c r="B2533" s="88">
        <v>6</v>
      </c>
      <c r="C2533" s="88">
        <v>47</v>
      </c>
      <c r="D2533" s="88" t="s">
        <v>90</v>
      </c>
      <c r="E2533" s="88"/>
      <c r="F2533" s="88" t="s">
        <v>344</v>
      </c>
      <c r="G2533" s="88" t="s">
        <v>1502</v>
      </c>
      <c r="H2533" s="88" t="s">
        <v>596</v>
      </c>
    </row>
    <row r="2534" spans="1:8" x14ac:dyDescent="0.3">
      <c r="A2534" s="88" t="s">
        <v>716</v>
      </c>
      <c r="B2534" s="88">
        <v>7</v>
      </c>
      <c r="C2534" s="88">
        <v>47</v>
      </c>
      <c r="D2534" s="88" t="s">
        <v>91</v>
      </c>
      <c r="E2534" s="88"/>
      <c r="F2534" s="88" t="s">
        <v>346</v>
      </c>
      <c r="G2534" s="88" t="s">
        <v>1502</v>
      </c>
      <c r="H2534" s="88" t="s">
        <v>596</v>
      </c>
    </row>
    <row r="2535" spans="1:8" x14ac:dyDescent="0.3">
      <c r="A2535" s="88" t="s">
        <v>716</v>
      </c>
      <c r="B2535" s="88">
        <v>8</v>
      </c>
      <c r="C2535" s="88">
        <v>47</v>
      </c>
      <c r="D2535" s="88" t="s">
        <v>92</v>
      </c>
      <c r="E2535" s="88"/>
      <c r="F2535" s="88" t="s">
        <v>347</v>
      </c>
      <c r="G2535" s="88" t="s">
        <v>1502</v>
      </c>
      <c r="H2535" s="88" t="s">
        <v>596</v>
      </c>
    </row>
    <row r="2536" spans="1:8" x14ac:dyDescent="0.3">
      <c r="A2536" s="88" t="s">
        <v>716</v>
      </c>
      <c r="B2536" s="88">
        <v>9</v>
      </c>
      <c r="C2536" s="88">
        <v>47</v>
      </c>
      <c r="D2536" s="88" t="s">
        <v>93</v>
      </c>
      <c r="E2536" s="88"/>
      <c r="F2536" s="88" t="s">
        <v>348</v>
      </c>
      <c r="G2536" s="88" t="s">
        <v>1502</v>
      </c>
      <c r="H2536" s="88" t="s">
        <v>596</v>
      </c>
    </row>
    <row r="2537" spans="1:8" x14ac:dyDescent="0.3">
      <c r="A2537" s="88" t="s">
        <v>716</v>
      </c>
      <c r="B2537" s="88">
        <v>10</v>
      </c>
      <c r="C2537" s="88">
        <v>47</v>
      </c>
      <c r="D2537" s="88" t="s">
        <v>94</v>
      </c>
      <c r="E2537" s="88"/>
      <c r="F2537" s="88" t="s">
        <v>350</v>
      </c>
      <c r="G2537" s="88" t="s">
        <v>1502</v>
      </c>
      <c r="H2537" s="88" t="s">
        <v>596</v>
      </c>
    </row>
    <row r="2538" spans="1:8" x14ac:dyDescent="0.3">
      <c r="A2538" s="88" t="s">
        <v>716</v>
      </c>
      <c r="B2538" s="88">
        <v>11</v>
      </c>
      <c r="C2538" s="88">
        <v>47</v>
      </c>
      <c r="D2538" s="88" t="s">
        <v>95</v>
      </c>
      <c r="E2538" s="88"/>
      <c r="F2538" s="88" t="s">
        <v>351</v>
      </c>
      <c r="G2538" s="88" t="s">
        <v>1502</v>
      </c>
      <c r="H2538" s="88" t="s">
        <v>596</v>
      </c>
    </row>
    <row r="2539" spans="1:8" x14ac:dyDescent="0.3">
      <c r="A2539" s="88" t="s">
        <v>716</v>
      </c>
      <c r="B2539" s="88">
        <v>12</v>
      </c>
      <c r="C2539" s="88">
        <v>47</v>
      </c>
      <c r="D2539" s="88" t="s">
        <v>96</v>
      </c>
      <c r="E2539" s="88"/>
      <c r="F2539" s="88" t="s">
        <v>352</v>
      </c>
      <c r="G2539" s="88" t="s">
        <v>1502</v>
      </c>
      <c r="H2539" s="88" t="s">
        <v>596</v>
      </c>
    </row>
    <row r="2540" spans="1:8" x14ac:dyDescent="0.3">
      <c r="A2540" s="88" t="s">
        <v>716</v>
      </c>
      <c r="B2540" s="88">
        <v>13</v>
      </c>
      <c r="C2540" s="88">
        <v>47</v>
      </c>
      <c r="D2540" s="88" t="s">
        <v>97</v>
      </c>
      <c r="E2540" s="88"/>
      <c r="F2540" s="88" t="s">
        <v>353</v>
      </c>
      <c r="G2540" s="88" t="s">
        <v>1502</v>
      </c>
      <c r="H2540" s="88" t="s">
        <v>596</v>
      </c>
    </row>
    <row r="2541" spans="1:8" x14ac:dyDescent="0.3">
      <c r="A2541" s="88" t="s">
        <v>716</v>
      </c>
      <c r="B2541" s="88">
        <v>14</v>
      </c>
      <c r="C2541" s="88">
        <v>47</v>
      </c>
      <c r="D2541" s="88" t="s">
        <v>98</v>
      </c>
      <c r="E2541" s="88"/>
      <c r="F2541" s="88" t="s">
        <v>354</v>
      </c>
      <c r="G2541" s="88" t="s">
        <v>1502</v>
      </c>
      <c r="H2541" s="88" t="s">
        <v>596</v>
      </c>
    </row>
    <row r="2542" spans="1:8" x14ac:dyDescent="0.3">
      <c r="A2542" s="88" t="s">
        <v>716</v>
      </c>
      <c r="B2542" s="88">
        <v>15</v>
      </c>
      <c r="C2542" s="88">
        <v>47</v>
      </c>
      <c r="D2542" s="88" t="s">
        <v>99</v>
      </c>
      <c r="E2542" s="88"/>
      <c r="F2542" s="88" t="s">
        <v>356</v>
      </c>
      <c r="G2542" s="88" t="s">
        <v>1502</v>
      </c>
      <c r="H2542" s="88" t="s">
        <v>596</v>
      </c>
    </row>
    <row r="2543" spans="1:8" x14ac:dyDescent="0.3">
      <c r="A2543" s="88" t="s">
        <v>716</v>
      </c>
      <c r="B2543" s="88">
        <v>16</v>
      </c>
      <c r="C2543" s="88">
        <v>47</v>
      </c>
      <c r="D2543" s="88" t="s">
        <v>100</v>
      </c>
      <c r="E2543" s="88"/>
      <c r="F2543" s="88" t="s">
        <v>357</v>
      </c>
      <c r="G2543" s="88" t="s">
        <v>1502</v>
      </c>
      <c r="H2543" s="88" t="s">
        <v>596</v>
      </c>
    </row>
    <row r="2544" spans="1:8" x14ac:dyDescent="0.3">
      <c r="A2544" s="88" t="s">
        <v>716</v>
      </c>
      <c r="B2544" s="88">
        <v>17</v>
      </c>
      <c r="C2544" s="88">
        <v>47</v>
      </c>
      <c r="D2544" s="88" t="s">
        <v>101</v>
      </c>
      <c r="E2544" s="88"/>
      <c r="F2544" s="88" t="s">
        <v>358</v>
      </c>
      <c r="G2544" s="88" t="s">
        <v>1502</v>
      </c>
      <c r="H2544" s="88" t="s">
        <v>596</v>
      </c>
    </row>
    <row r="2545" spans="1:8" x14ac:dyDescent="0.3">
      <c r="A2545" s="88" t="s">
        <v>716</v>
      </c>
      <c r="B2545" s="88">
        <v>18</v>
      </c>
      <c r="C2545" s="88">
        <v>47</v>
      </c>
      <c r="D2545" s="88" t="s">
        <v>102</v>
      </c>
      <c r="E2545" s="88"/>
      <c r="F2545" s="88" t="s">
        <v>359</v>
      </c>
      <c r="G2545" s="88" t="s">
        <v>1502</v>
      </c>
      <c r="H2545" s="88" t="s">
        <v>596</v>
      </c>
    </row>
    <row r="2546" spans="1:8" x14ac:dyDescent="0.3">
      <c r="A2546" s="88" t="s">
        <v>716</v>
      </c>
      <c r="B2546" s="88">
        <v>19</v>
      </c>
      <c r="C2546" s="88">
        <v>47</v>
      </c>
      <c r="D2546" s="88" t="s">
        <v>103</v>
      </c>
      <c r="E2546" s="88"/>
      <c r="F2546" s="88" t="s">
        <v>361</v>
      </c>
      <c r="G2546" s="88" t="s">
        <v>1502</v>
      </c>
      <c r="H2546" s="88" t="s">
        <v>596</v>
      </c>
    </row>
    <row r="2547" spans="1:8" x14ac:dyDescent="0.3">
      <c r="A2547" s="88" t="s">
        <v>716</v>
      </c>
      <c r="B2547" s="88">
        <v>20</v>
      </c>
      <c r="C2547" s="88">
        <v>47</v>
      </c>
      <c r="D2547" s="88" t="s">
        <v>104</v>
      </c>
      <c r="E2547" s="88"/>
      <c r="F2547" s="88" t="s">
        <v>362</v>
      </c>
      <c r="G2547" s="88" t="s">
        <v>1502</v>
      </c>
      <c r="H2547" s="88" t="s">
        <v>596</v>
      </c>
    </row>
    <row r="2548" spans="1:8" x14ac:dyDescent="0.3">
      <c r="A2548" s="88" t="s">
        <v>716</v>
      </c>
      <c r="B2548" s="88">
        <v>21</v>
      </c>
      <c r="C2548" s="88">
        <v>47</v>
      </c>
      <c r="D2548" s="88" t="s">
        <v>105</v>
      </c>
      <c r="E2548" s="88"/>
      <c r="F2548" s="88" t="s">
        <v>363</v>
      </c>
      <c r="G2548" s="88" t="s">
        <v>1502</v>
      </c>
      <c r="H2548" s="88" t="s">
        <v>596</v>
      </c>
    </row>
    <row r="2549" spans="1:8" x14ac:dyDescent="0.3">
      <c r="A2549" s="88" t="s">
        <v>716</v>
      </c>
      <c r="B2549" s="88">
        <v>22</v>
      </c>
      <c r="C2549" s="88">
        <v>47</v>
      </c>
      <c r="D2549" s="88" t="s">
        <v>106</v>
      </c>
      <c r="E2549" s="88"/>
      <c r="F2549" s="88" t="s">
        <v>364</v>
      </c>
      <c r="G2549" s="88" t="s">
        <v>1502</v>
      </c>
      <c r="H2549" s="88" t="s">
        <v>596</v>
      </c>
    </row>
    <row r="2550" spans="1:8" x14ac:dyDescent="0.3">
      <c r="A2550" s="88" t="s">
        <v>716</v>
      </c>
      <c r="B2550" s="88">
        <v>23</v>
      </c>
      <c r="C2550" s="88">
        <v>47</v>
      </c>
      <c r="D2550" s="88" t="s">
        <v>107</v>
      </c>
      <c r="E2550" s="88"/>
      <c r="F2550" s="88" t="s">
        <v>366</v>
      </c>
      <c r="G2550" s="88" t="s">
        <v>1502</v>
      </c>
      <c r="H2550" s="88" t="s">
        <v>596</v>
      </c>
    </row>
    <row r="2551" spans="1:8" x14ac:dyDescent="0.3">
      <c r="A2551" s="88" t="s">
        <v>716</v>
      </c>
      <c r="B2551" s="88">
        <v>24</v>
      </c>
      <c r="C2551" s="88">
        <v>47</v>
      </c>
      <c r="D2551" s="88" t="s">
        <v>108</v>
      </c>
      <c r="E2551" s="88"/>
      <c r="F2551" s="88" t="s">
        <v>367</v>
      </c>
      <c r="G2551" s="88" t="s">
        <v>1502</v>
      </c>
      <c r="H2551" s="88" t="s">
        <v>596</v>
      </c>
    </row>
    <row r="2552" spans="1:8" x14ac:dyDescent="0.3">
      <c r="A2552" s="88" t="s">
        <v>716</v>
      </c>
      <c r="B2552" s="88">
        <v>25</v>
      </c>
      <c r="C2552" s="88">
        <v>47</v>
      </c>
      <c r="D2552" s="88" t="s">
        <v>109</v>
      </c>
      <c r="E2552" s="88"/>
      <c r="F2552" s="88" t="s">
        <v>368</v>
      </c>
      <c r="G2552" s="88" t="s">
        <v>1502</v>
      </c>
      <c r="H2552" s="88" t="s">
        <v>596</v>
      </c>
    </row>
    <row r="2553" spans="1:8" x14ac:dyDescent="0.3">
      <c r="A2553" s="88" t="s">
        <v>716</v>
      </c>
      <c r="B2553" s="88">
        <v>26</v>
      </c>
      <c r="C2553" s="88">
        <v>47</v>
      </c>
      <c r="D2553" s="88" t="s">
        <v>110</v>
      </c>
      <c r="E2553" s="88"/>
      <c r="F2553" s="88" t="s">
        <v>370</v>
      </c>
      <c r="G2553" s="88" t="s">
        <v>1502</v>
      </c>
      <c r="H2553" s="88" t="s">
        <v>596</v>
      </c>
    </row>
    <row r="2554" spans="1:8" x14ac:dyDescent="0.3">
      <c r="A2554" s="88" t="s">
        <v>716</v>
      </c>
      <c r="B2554" s="88">
        <v>27</v>
      </c>
      <c r="C2554" s="88">
        <v>47</v>
      </c>
      <c r="D2554" s="88" t="s">
        <v>111</v>
      </c>
      <c r="E2554" s="88"/>
      <c r="F2554" s="88" t="s">
        <v>371</v>
      </c>
      <c r="G2554" s="88" t="s">
        <v>1502</v>
      </c>
      <c r="H2554" s="88" t="s">
        <v>596</v>
      </c>
    </row>
    <row r="2555" spans="1:8" x14ac:dyDescent="0.3">
      <c r="A2555" s="88" t="s">
        <v>716</v>
      </c>
      <c r="B2555" s="88">
        <v>28</v>
      </c>
      <c r="C2555" s="88">
        <v>47</v>
      </c>
      <c r="D2555" s="88" t="s">
        <v>112</v>
      </c>
      <c r="E2555" s="88"/>
      <c r="F2555" s="88" t="s">
        <v>372</v>
      </c>
      <c r="G2555" s="88" t="s">
        <v>1502</v>
      </c>
      <c r="H2555" s="88" t="s">
        <v>596</v>
      </c>
    </row>
    <row r="2556" spans="1:8" x14ac:dyDescent="0.3">
      <c r="A2556" s="88" t="s">
        <v>716</v>
      </c>
      <c r="B2556" s="88">
        <v>29</v>
      </c>
      <c r="C2556" s="88">
        <v>47</v>
      </c>
      <c r="D2556" s="88" t="s">
        <v>113</v>
      </c>
      <c r="E2556" s="88"/>
      <c r="F2556" s="88" t="s">
        <v>373</v>
      </c>
      <c r="G2556" s="88" t="s">
        <v>1502</v>
      </c>
      <c r="H2556" s="88" t="s">
        <v>596</v>
      </c>
    </row>
    <row r="2557" spans="1:8" x14ac:dyDescent="0.3">
      <c r="A2557" s="88" t="s">
        <v>716</v>
      </c>
      <c r="B2557" s="88">
        <v>30</v>
      </c>
      <c r="C2557" s="88">
        <v>47</v>
      </c>
      <c r="D2557" s="88" t="s">
        <v>114</v>
      </c>
      <c r="E2557" s="88"/>
      <c r="F2557" s="88" t="s">
        <v>374</v>
      </c>
      <c r="G2557" s="88" t="s">
        <v>1502</v>
      </c>
      <c r="H2557" s="88" t="s">
        <v>596</v>
      </c>
    </row>
    <row r="2558" spans="1:8" x14ac:dyDescent="0.3">
      <c r="A2558" s="88" t="s">
        <v>716</v>
      </c>
      <c r="B2558" s="88">
        <v>31</v>
      </c>
      <c r="C2558" s="88">
        <v>47</v>
      </c>
      <c r="D2558" s="88" t="s">
        <v>115</v>
      </c>
      <c r="E2558" s="88"/>
      <c r="F2558" s="88" t="s">
        <v>376</v>
      </c>
      <c r="G2558" s="88" t="s">
        <v>1502</v>
      </c>
      <c r="H2558" s="88" t="s">
        <v>596</v>
      </c>
    </row>
    <row r="2559" spans="1:8" x14ac:dyDescent="0.3">
      <c r="A2559" s="88" t="s">
        <v>716</v>
      </c>
      <c r="B2559" s="88">
        <v>32</v>
      </c>
      <c r="C2559" s="88">
        <v>47</v>
      </c>
      <c r="D2559" s="88" t="s">
        <v>116</v>
      </c>
      <c r="E2559" s="88"/>
      <c r="F2559" s="88" t="s">
        <v>377</v>
      </c>
      <c r="G2559" s="88" t="s">
        <v>1502</v>
      </c>
      <c r="H2559" s="88" t="s">
        <v>596</v>
      </c>
    </row>
    <row r="2560" spans="1:8" x14ac:dyDescent="0.3">
      <c r="A2560" s="88" t="s">
        <v>716</v>
      </c>
      <c r="B2560" s="88">
        <v>33</v>
      </c>
      <c r="C2560" s="88">
        <v>47</v>
      </c>
      <c r="D2560" s="88" t="s">
        <v>117</v>
      </c>
      <c r="E2560" s="88"/>
      <c r="F2560" s="88" t="s">
        <v>378</v>
      </c>
      <c r="G2560" s="88" t="s">
        <v>1502</v>
      </c>
      <c r="H2560" s="88" t="s">
        <v>596</v>
      </c>
    </row>
    <row r="2561" spans="1:8" x14ac:dyDescent="0.3">
      <c r="A2561" s="88" t="s">
        <v>716</v>
      </c>
      <c r="B2561" s="88">
        <v>34</v>
      </c>
      <c r="C2561" s="88">
        <v>47</v>
      </c>
      <c r="D2561" s="88" t="s">
        <v>118</v>
      </c>
      <c r="E2561" s="88"/>
      <c r="F2561" s="88" t="s">
        <v>379</v>
      </c>
      <c r="G2561" s="88" t="s">
        <v>1502</v>
      </c>
      <c r="H2561" s="88" t="s">
        <v>596</v>
      </c>
    </row>
    <row r="2562" spans="1:8" x14ac:dyDescent="0.3">
      <c r="A2562" s="88" t="s">
        <v>716</v>
      </c>
      <c r="B2562" s="88">
        <v>35</v>
      </c>
      <c r="C2562" s="88">
        <v>47</v>
      </c>
      <c r="D2562" s="88" t="s">
        <v>119</v>
      </c>
      <c r="E2562" s="88"/>
      <c r="F2562" s="88" t="s">
        <v>380</v>
      </c>
      <c r="G2562" s="88" t="s">
        <v>1502</v>
      </c>
      <c r="H2562" s="88" t="s">
        <v>596</v>
      </c>
    </row>
    <row r="2563" spans="1:8" x14ac:dyDescent="0.3">
      <c r="A2563" s="88" t="s">
        <v>716</v>
      </c>
      <c r="B2563" s="88">
        <v>36</v>
      </c>
      <c r="C2563" s="88">
        <v>47</v>
      </c>
      <c r="D2563" s="88" t="s">
        <v>120</v>
      </c>
      <c r="E2563" s="88"/>
      <c r="F2563" s="88" t="s">
        <v>381</v>
      </c>
      <c r="G2563" s="88" t="s">
        <v>1502</v>
      </c>
      <c r="H2563" s="88" t="s">
        <v>596</v>
      </c>
    </row>
    <row r="2564" spans="1:8" x14ac:dyDescent="0.3">
      <c r="A2564" s="88" t="s">
        <v>716</v>
      </c>
      <c r="B2564" s="88">
        <v>37</v>
      </c>
      <c r="C2564" s="88">
        <v>47</v>
      </c>
      <c r="D2564" s="88" t="s">
        <v>121</v>
      </c>
      <c r="E2564" s="88"/>
      <c r="F2564" s="88" t="s">
        <v>382</v>
      </c>
      <c r="G2564" s="88" t="s">
        <v>1502</v>
      </c>
      <c r="H2564" s="88" t="s">
        <v>596</v>
      </c>
    </row>
    <row r="2565" spans="1:8" x14ac:dyDescent="0.3">
      <c r="A2565" s="88" t="s">
        <v>716</v>
      </c>
      <c r="B2565" s="88">
        <v>38</v>
      </c>
      <c r="C2565" s="88">
        <v>47</v>
      </c>
      <c r="D2565" s="88" t="s">
        <v>122</v>
      </c>
      <c r="E2565" s="88"/>
      <c r="F2565" s="88" t="s">
        <v>384</v>
      </c>
      <c r="G2565" s="88" t="s">
        <v>1502</v>
      </c>
      <c r="H2565" s="88" t="s">
        <v>596</v>
      </c>
    </row>
    <row r="2566" spans="1:8" x14ac:dyDescent="0.3">
      <c r="A2566" s="88" t="s">
        <v>716</v>
      </c>
      <c r="B2566" s="88">
        <v>39</v>
      </c>
      <c r="C2566" s="88">
        <v>47</v>
      </c>
      <c r="D2566" s="88" t="s">
        <v>123</v>
      </c>
      <c r="E2566" s="88"/>
      <c r="F2566" s="88" t="s">
        <v>385</v>
      </c>
      <c r="G2566" s="88" t="s">
        <v>1502</v>
      </c>
      <c r="H2566" s="88" t="s">
        <v>596</v>
      </c>
    </row>
    <row r="2567" spans="1:8" x14ac:dyDescent="0.3">
      <c r="A2567" s="88" t="s">
        <v>716</v>
      </c>
      <c r="B2567" s="88">
        <v>40</v>
      </c>
      <c r="C2567" s="88">
        <v>47</v>
      </c>
      <c r="D2567" s="88" t="s">
        <v>124</v>
      </c>
      <c r="E2567" s="88"/>
      <c r="F2567" s="88" t="s">
        <v>386</v>
      </c>
      <c r="G2567" s="88" t="s">
        <v>1502</v>
      </c>
      <c r="H2567" s="88" t="s">
        <v>596</v>
      </c>
    </row>
    <row r="2568" spans="1:8" x14ac:dyDescent="0.3">
      <c r="A2568" s="88" t="s">
        <v>716</v>
      </c>
      <c r="B2568" s="88">
        <v>41</v>
      </c>
      <c r="C2568" s="88">
        <v>47</v>
      </c>
      <c r="D2568" s="88" t="s">
        <v>125</v>
      </c>
      <c r="E2568" s="88"/>
      <c r="F2568" s="88" t="s">
        <v>388</v>
      </c>
      <c r="G2568" s="88" t="s">
        <v>1502</v>
      </c>
      <c r="H2568" s="88" t="s">
        <v>596</v>
      </c>
    </row>
    <row r="2569" spans="1:8" x14ac:dyDescent="0.3">
      <c r="A2569" s="88" t="s">
        <v>716</v>
      </c>
      <c r="B2569" s="88">
        <v>42</v>
      </c>
      <c r="C2569" s="88">
        <v>47</v>
      </c>
      <c r="D2569" s="88" t="s">
        <v>126</v>
      </c>
      <c r="E2569" s="88"/>
      <c r="F2569" s="88" t="s">
        <v>390</v>
      </c>
      <c r="G2569" s="88" t="s">
        <v>1502</v>
      </c>
      <c r="H2569" s="88" t="s">
        <v>596</v>
      </c>
    </row>
    <row r="2570" spans="1:8" x14ac:dyDescent="0.3">
      <c r="A2570" s="88" t="s">
        <v>716</v>
      </c>
      <c r="B2570" s="88">
        <v>43</v>
      </c>
      <c r="C2570" s="88">
        <v>47</v>
      </c>
      <c r="D2570" s="88" t="s">
        <v>127</v>
      </c>
      <c r="E2570" s="88"/>
      <c r="F2570" s="88" t="s">
        <v>392</v>
      </c>
      <c r="G2570" s="88" t="s">
        <v>1502</v>
      </c>
      <c r="H2570" s="88" t="s">
        <v>596</v>
      </c>
    </row>
    <row r="2571" spans="1:8" x14ac:dyDescent="0.3">
      <c r="A2571" s="88" t="s">
        <v>716</v>
      </c>
      <c r="B2571" s="88">
        <v>44</v>
      </c>
      <c r="C2571" s="88">
        <v>47</v>
      </c>
      <c r="D2571" s="88" t="s">
        <v>128</v>
      </c>
      <c r="E2571" s="88"/>
      <c r="F2571" s="88" t="s">
        <v>393</v>
      </c>
      <c r="G2571" s="88" t="s">
        <v>1502</v>
      </c>
      <c r="H2571" s="88" t="s">
        <v>596</v>
      </c>
    </row>
    <row r="2572" spans="1:8" x14ac:dyDescent="0.3">
      <c r="A2572" s="88" t="s">
        <v>716</v>
      </c>
      <c r="B2572" s="88">
        <v>45</v>
      </c>
      <c r="C2572" s="88">
        <v>47</v>
      </c>
      <c r="D2572" s="88" t="s">
        <v>129</v>
      </c>
      <c r="E2572" s="88"/>
      <c r="F2572" s="88" t="s">
        <v>394</v>
      </c>
      <c r="G2572" s="88" t="s">
        <v>1502</v>
      </c>
      <c r="H2572" s="88" t="s">
        <v>596</v>
      </c>
    </row>
    <row r="2573" spans="1:8" x14ac:dyDescent="0.3">
      <c r="A2573" s="88" t="s">
        <v>716</v>
      </c>
      <c r="B2573" s="88">
        <v>46</v>
      </c>
      <c r="C2573" s="88">
        <v>47</v>
      </c>
      <c r="D2573" s="88" t="s">
        <v>130</v>
      </c>
      <c r="E2573" s="88"/>
      <c r="F2573" s="88" t="s">
        <v>395</v>
      </c>
      <c r="G2573" s="88" t="s">
        <v>1502</v>
      </c>
      <c r="H2573" s="88" t="s">
        <v>596</v>
      </c>
    </row>
    <row r="2574" spans="1:8" x14ac:dyDescent="0.3">
      <c r="A2574" s="88" t="s">
        <v>716</v>
      </c>
      <c r="B2574" s="88">
        <v>47</v>
      </c>
      <c r="C2574" s="88">
        <v>47</v>
      </c>
      <c r="D2574" s="88" t="s">
        <v>131</v>
      </c>
      <c r="E2574" s="88"/>
      <c r="F2574" s="88" t="s">
        <v>396</v>
      </c>
      <c r="G2574" s="88" t="s">
        <v>1502</v>
      </c>
      <c r="H2574" s="88" t="s">
        <v>596</v>
      </c>
    </row>
    <row r="2575" spans="1:8" x14ac:dyDescent="0.3">
      <c r="A2575" s="88" t="s">
        <v>716</v>
      </c>
      <c r="B2575" s="88">
        <v>48</v>
      </c>
      <c r="C2575" s="88">
        <v>47</v>
      </c>
      <c r="D2575" s="88" t="s">
        <v>132</v>
      </c>
      <c r="E2575" s="88"/>
      <c r="F2575" s="88" t="s">
        <v>397</v>
      </c>
      <c r="G2575" s="88" t="s">
        <v>1502</v>
      </c>
      <c r="H2575" s="88" t="s">
        <v>596</v>
      </c>
    </row>
    <row r="2576" spans="1:8" x14ac:dyDescent="0.3">
      <c r="A2576" s="88" t="s">
        <v>716</v>
      </c>
      <c r="B2576" s="88">
        <v>49</v>
      </c>
      <c r="C2576" s="88">
        <v>47</v>
      </c>
      <c r="D2576" s="88" t="s">
        <v>133</v>
      </c>
      <c r="E2576" s="88"/>
      <c r="F2576" s="88" t="s">
        <v>398</v>
      </c>
      <c r="G2576" s="88" t="s">
        <v>1502</v>
      </c>
      <c r="H2576" s="88" t="s">
        <v>596</v>
      </c>
    </row>
    <row r="2577" spans="1:8" x14ac:dyDescent="0.3">
      <c r="A2577" s="88" t="s">
        <v>716</v>
      </c>
      <c r="B2577" s="88">
        <v>50</v>
      </c>
      <c r="C2577" s="88">
        <v>47</v>
      </c>
      <c r="D2577" s="88" t="s">
        <v>134</v>
      </c>
      <c r="E2577" s="88"/>
      <c r="F2577" s="88" t="s">
        <v>399</v>
      </c>
      <c r="G2577" s="88" t="s">
        <v>1502</v>
      </c>
      <c r="H2577" s="88" t="s">
        <v>596</v>
      </c>
    </row>
    <row r="2578" spans="1:8" x14ac:dyDescent="0.3">
      <c r="A2578" s="88" t="s">
        <v>716</v>
      </c>
      <c r="B2578" s="88">
        <v>51</v>
      </c>
      <c r="C2578" s="88">
        <v>47</v>
      </c>
      <c r="D2578" s="88" t="s">
        <v>135</v>
      </c>
      <c r="E2578" s="88"/>
      <c r="F2578" s="88" t="s">
        <v>401</v>
      </c>
      <c r="G2578" s="88" t="s">
        <v>1502</v>
      </c>
      <c r="H2578" s="88" t="s">
        <v>596</v>
      </c>
    </row>
    <row r="2579" spans="1:8" x14ac:dyDescent="0.3">
      <c r="A2579" s="88" t="s">
        <v>716</v>
      </c>
      <c r="B2579" s="88">
        <v>52</v>
      </c>
      <c r="C2579" s="88">
        <v>47</v>
      </c>
      <c r="D2579" s="88" t="s">
        <v>136</v>
      </c>
      <c r="E2579" s="88"/>
      <c r="F2579" s="88" t="s">
        <v>402</v>
      </c>
      <c r="G2579" s="88" t="s">
        <v>1502</v>
      </c>
      <c r="H2579" s="88" t="s">
        <v>596</v>
      </c>
    </row>
    <row r="2580" spans="1:8" x14ac:dyDescent="0.3">
      <c r="A2580" s="88" t="s">
        <v>716</v>
      </c>
      <c r="B2580" s="88">
        <v>53</v>
      </c>
      <c r="C2580" s="88">
        <v>47</v>
      </c>
      <c r="D2580" s="88" t="s">
        <v>137</v>
      </c>
      <c r="E2580" s="88"/>
      <c r="F2580" s="88" t="s">
        <v>404</v>
      </c>
      <c r="G2580" s="88" t="s">
        <v>1502</v>
      </c>
      <c r="H2580" s="88" t="s">
        <v>596</v>
      </c>
    </row>
    <row r="2581" spans="1:8" x14ac:dyDescent="0.3">
      <c r="A2581" s="88" t="s">
        <v>716</v>
      </c>
      <c r="B2581" s="88">
        <v>54</v>
      </c>
      <c r="C2581" s="88">
        <v>47</v>
      </c>
      <c r="D2581" s="88" t="s">
        <v>138</v>
      </c>
      <c r="E2581" s="88"/>
      <c r="F2581" s="88" t="s">
        <v>406</v>
      </c>
      <c r="G2581" s="88" t="s">
        <v>1502</v>
      </c>
      <c r="H2581" s="88" t="s">
        <v>596</v>
      </c>
    </row>
    <row r="2582" spans="1:8" x14ac:dyDescent="0.3">
      <c r="A2582" s="88" t="s">
        <v>716</v>
      </c>
      <c r="B2582" s="88">
        <v>55</v>
      </c>
      <c r="C2582" s="88">
        <v>47</v>
      </c>
      <c r="D2582" s="88" t="s">
        <v>139</v>
      </c>
      <c r="E2582" s="88"/>
      <c r="F2582" s="88" t="s">
        <v>407</v>
      </c>
      <c r="G2582" s="88" t="s">
        <v>1502</v>
      </c>
      <c r="H2582" s="88" t="s">
        <v>596</v>
      </c>
    </row>
    <row r="2583" spans="1:8" x14ac:dyDescent="0.3">
      <c r="A2583" s="88" t="s">
        <v>716</v>
      </c>
      <c r="B2583" s="88">
        <v>56</v>
      </c>
      <c r="C2583" s="88">
        <v>47</v>
      </c>
      <c r="D2583" s="88" t="s">
        <v>140</v>
      </c>
      <c r="E2583" s="88"/>
      <c r="F2583" s="88" t="s">
        <v>409</v>
      </c>
      <c r="G2583" s="88" t="s">
        <v>1502</v>
      </c>
      <c r="H2583" s="88" t="s">
        <v>596</v>
      </c>
    </row>
    <row r="2584" spans="1:8" x14ac:dyDescent="0.3">
      <c r="A2584" s="88" t="s">
        <v>716</v>
      </c>
      <c r="B2584" s="88">
        <v>57</v>
      </c>
      <c r="C2584" s="88">
        <v>47</v>
      </c>
      <c r="D2584" s="88" t="s">
        <v>141</v>
      </c>
      <c r="E2584" s="88"/>
      <c r="F2584" s="88" t="s">
        <v>410</v>
      </c>
      <c r="G2584" s="88" t="s">
        <v>1502</v>
      </c>
      <c r="H2584" s="88" t="s">
        <v>596</v>
      </c>
    </row>
    <row r="2585" spans="1:8" x14ac:dyDescent="0.3">
      <c r="A2585" s="88" t="s">
        <v>716</v>
      </c>
      <c r="B2585" s="88">
        <v>58</v>
      </c>
      <c r="C2585" s="88">
        <v>47</v>
      </c>
      <c r="D2585" s="88" t="s">
        <v>142</v>
      </c>
      <c r="E2585" s="88"/>
      <c r="F2585" s="88" t="s">
        <v>411</v>
      </c>
      <c r="G2585" s="88" t="s">
        <v>1502</v>
      </c>
      <c r="H2585" s="88" t="s">
        <v>596</v>
      </c>
    </row>
    <row r="2586" spans="1:8" x14ac:dyDescent="0.3">
      <c r="A2586" s="88" t="s">
        <v>716</v>
      </c>
      <c r="B2586" s="88">
        <v>59</v>
      </c>
      <c r="C2586" s="88">
        <v>47</v>
      </c>
      <c r="D2586" s="88" t="s">
        <v>143</v>
      </c>
      <c r="E2586" s="88"/>
      <c r="F2586" s="88" t="s">
        <v>413</v>
      </c>
      <c r="G2586" s="88" t="s">
        <v>1502</v>
      </c>
      <c r="H2586" s="88" t="s">
        <v>596</v>
      </c>
    </row>
    <row r="2587" spans="1:8" x14ac:dyDescent="0.3">
      <c r="A2587" s="88" t="s">
        <v>716</v>
      </c>
      <c r="B2587" s="88">
        <v>60</v>
      </c>
      <c r="C2587" s="88">
        <v>47</v>
      </c>
      <c r="D2587" s="88" t="s">
        <v>144</v>
      </c>
      <c r="E2587" s="88"/>
      <c r="F2587" s="88" t="s">
        <v>415</v>
      </c>
      <c r="G2587" s="88" t="s">
        <v>1502</v>
      </c>
      <c r="H2587" s="88" t="s">
        <v>596</v>
      </c>
    </row>
    <row r="2588" spans="1:8" x14ac:dyDescent="0.3">
      <c r="A2588" s="88" t="s">
        <v>716</v>
      </c>
      <c r="B2588" s="88">
        <v>61</v>
      </c>
      <c r="C2588" s="88">
        <v>47</v>
      </c>
      <c r="D2588" s="88" t="s">
        <v>145</v>
      </c>
      <c r="E2588" s="88"/>
      <c r="F2588" s="88" t="s">
        <v>416</v>
      </c>
      <c r="G2588" s="88" t="s">
        <v>1502</v>
      </c>
      <c r="H2588" s="88" t="s">
        <v>596</v>
      </c>
    </row>
    <row r="2589" spans="1:8" x14ac:dyDescent="0.3">
      <c r="A2589" s="88" t="s">
        <v>716</v>
      </c>
      <c r="B2589" s="88">
        <v>62</v>
      </c>
      <c r="C2589" s="88">
        <v>47</v>
      </c>
      <c r="D2589" s="88" t="s">
        <v>146</v>
      </c>
      <c r="E2589" s="88"/>
      <c r="F2589" s="88" t="s">
        <v>417</v>
      </c>
      <c r="G2589" s="88" t="s">
        <v>1502</v>
      </c>
      <c r="H2589" s="88" t="s">
        <v>596</v>
      </c>
    </row>
    <row r="2590" spans="1:8" x14ac:dyDescent="0.3">
      <c r="A2590" s="88" t="s">
        <v>716</v>
      </c>
      <c r="B2590" s="88">
        <v>63</v>
      </c>
      <c r="C2590" s="88">
        <v>47</v>
      </c>
      <c r="D2590" s="88" t="s">
        <v>147</v>
      </c>
      <c r="E2590" s="88"/>
      <c r="F2590" s="88" t="s">
        <v>418</v>
      </c>
      <c r="G2590" s="88" t="s">
        <v>1502</v>
      </c>
      <c r="H2590" s="88" t="s">
        <v>596</v>
      </c>
    </row>
    <row r="2591" spans="1:8" x14ac:dyDescent="0.3">
      <c r="A2591" s="88" t="s">
        <v>716</v>
      </c>
      <c r="B2591" s="88">
        <v>64</v>
      </c>
      <c r="C2591" s="88">
        <v>47</v>
      </c>
      <c r="D2591" s="88" t="s">
        <v>148</v>
      </c>
      <c r="E2591" s="88"/>
      <c r="F2591" s="88" t="s">
        <v>419</v>
      </c>
      <c r="G2591" s="88" t="s">
        <v>1502</v>
      </c>
      <c r="H2591" s="88" t="s">
        <v>596</v>
      </c>
    </row>
    <row r="2592" spans="1:8" x14ac:dyDescent="0.3">
      <c r="A2592" s="88" t="s">
        <v>716</v>
      </c>
      <c r="B2592" s="88">
        <v>65</v>
      </c>
      <c r="C2592" s="88">
        <v>47</v>
      </c>
      <c r="D2592" s="88" t="s">
        <v>149</v>
      </c>
      <c r="E2592" s="88"/>
      <c r="F2592" s="88" t="s">
        <v>420</v>
      </c>
      <c r="G2592" s="88" t="s">
        <v>1502</v>
      </c>
      <c r="H2592" s="88" t="s">
        <v>596</v>
      </c>
    </row>
    <row r="2593" spans="1:8" x14ac:dyDescent="0.3">
      <c r="A2593" s="88" t="s">
        <v>716</v>
      </c>
      <c r="B2593" s="88">
        <v>66</v>
      </c>
      <c r="C2593" s="88">
        <v>47</v>
      </c>
      <c r="D2593" s="88" t="s">
        <v>150</v>
      </c>
      <c r="E2593" s="88"/>
      <c r="F2593" s="88" t="s">
        <v>421</v>
      </c>
      <c r="G2593" s="88" t="s">
        <v>1502</v>
      </c>
      <c r="H2593" s="88" t="s">
        <v>596</v>
      </c>
    </row>
    <row r="2594" spans="1:8" x14ac:dyDescent="0.3">
      <c r="A2594" s="88" t="s">
        <v>716</v>
      </c>
      <c r="B2594" s="88">
        <v>67</v>
      </c>
      <c r="C2594" s="88">
        <v>47</v>
      </c>
      <c r="D2594" s="88" t="s">
        <v>151</v>
      </c>
      <c r="E2594" s="88"/>
      <c r="F2594" s="88" t="s">
        <v>423</v>
      </c>
      <c r="G2594" s="88" t="s">
        <v>1502</v>
      </c>
      <c r="H2594" s="88" t="s">
        <v>596</v>
      </c>
    </row>
    <row r="2595" spans="1:8" x14ac:dyDescent="0.3">
      <c r="A2595" s="88" t="s">
        <v>716</v>
      </c>
      <c r="B2595" s="88">
        <v>68</v>
      </c>
      <c r="C2595" s="88">
        <v>47</v>
      </c>
      <c r="D2595" s="88" t="s">
        <v>152</v>
      </c>
      <c r="E2595" s="88"/>
      <c r="F2595" s="88" t="s">
        <v>424</v>
      </c>
      <c r="G2595" s="88" t="s">
        <v>1502</v>
      </c>
      <c r="H2595" s="88" t="s">
        <v>596</v>
      </c>
    </row>
    <row r="2596" spans="1:8" x14ac:dyDescent="0.3">
      <c r="A2596" s="88" t="s">
        <v>716</v>
      </c>
      <c r="B2596" s="88">
        <v>69</v>
      </c>
      <c r="C2596" s="88">
        <v>47</v>
      </c>
      <c r="D2596" s="88" t="s">
        <v>153</v>
      </c>
      <c r="E2596" s="88"/>
      <c r="F2596" s="88" t="s">
        <v>425</v>
      </c>
      <c r="G2596" s="88" t="s">
        <v>1502</v>
      </c>
      <c r="H2596" s="88" t="s">
        <v>596</v>
      </c>
    </row>
    <row r="2597" spans="1:8" x14ac:dyDescent="0.3">
      <c r="A2597" s="88" t="s">
        <v>716</v>
      </c>
      <c r="B2597" s="88">
        <v>70</v>
      </c>
      <c r="C2597" s="88">
        <v>47</v>
      </c>
      <c r="D2597" s="88" t="s">
        <v>154</v>
      </c>
      <c r="E2597" s="88"/>
      <c r="F2597" s="88" t="s">
        <v>427</v>
      </c>
      <c r="G2597" s="88" t="s">
        <v>1502</v>
      </c>
      <c r="H2597" s="88" t="s">
        <v>596</v>
      </c>
    </row>
    <row r="2598" spans="1:8" x14ac:dyDescent="0.3">
      <c r="A2598" s="88" t="s">
        <v>716</v>
      </c>
      <c r="B2598" s="88">
        <v>71</v>
      </c>
      <c r="C2598" s="88">
        <v>47</v>
      </c>
      <c r="D2598" s="88" t="s">
        <v>155</v>
      </c>
      <c r="E2598" s="88"/>
      <c r="F2598" s="88" t="s">
        <v>429</v>
      </c>
      <c r="G2598" s="88" t="s">
        <v>1502</v>
      </c>
      <c r="H2598" s="88" t="s">
        <v>596</v>
      </c>
    </row>
    <row r="2599" spans="1:8" x14ac:dyDescent="0.3">
      <c r="A2599" s="88" t="s">
        <v>716</v>
      </c>
      <c r="B2599" s="88">
        <v>72</v>
      </c>
      <c r="C2599" s="88">
        <v>47</v>
      </c>
      <c r="D2599" s="88" t="s">
        <v>156</v>
      </c>
      <c r="E2599" s="88"/>
      <c r="F2599" s="88" t="s">
        <v>430</v>
      </c>
      <c r="G2599" s="88" t="s">
        <v>1502</v>
      </c>
      <c r="H2599" s="88" t="s">
        <v>596</v>
      </c>
    </row>
    <row r="2600" spans="1:8" x14ac:dyDescent="0.3">
      <c r="A2600" s="88" t="s">
        <v>716</v>
      </c>
      <c r="B2600" s="88">
        <v>73</v>
      </c>
      <c r="C2600" s="88">
        <v>47</v>
      </c>
      <c r="D2600" s="88" t="s">
        <v>157</v>
      </c>
      <c r="E2600" s="88"/>
      <c r="F2600" s="88" t="s">
        <v>431</v>
      </c>
      <c r="G2600" s="88" t="s">
        <v>1502</v>
      </c>
      <c r="H2600" s="88" t="s">
        <v>596</v>
      </c>
    </row>
    <row r="2601" spans="1:8" x14ac:dyDescent="0.3">
      <c r="A2601" s="88" t="s">
        <v>716</v>
      </c>
      <c r="B2601" s="88">
        <v>74</v>
      </c>
      <c r="C2601" s="88">
        <v>47</v>
      </c>
      <c r="D2601" s="88" t="s">
        <v>158</v>
      </c>
      <c r="E2601" s="88"/>
      <c r="F2601" s="88" t="s">
        <v>433</v>
      </c>
      <c r="G2601" s="88" t="s">
        <v>1502</v>
      </c>
      <c r="H2601" s="88" t="s">
        <v>596</v>
      </c>
    </row>
    <row r="2602" spans="1:8" x14ac:dyDescent="0.3">
      <c r="A2602" s="88" t="s">
        <v>716</v>
      </c>
      <c r="B2602" s="88">
        <v>75</v>
      </c>
      <c r="C2602" s="88">
        <v>47</v>
      </c>
      <c r="D2602" s="88" t="s">
        <v>159</v>
      </c>
      <c r="E2602" s="88"/>
      <c r="F2602" s="88" t="s">
        <v>434</v>
      </c>
      <c r="G2602" s="88" t="s">
        <v>1502</v>
      </c>
      <c r="H2602" s="88" t="s">
        <v>596</v>
      </c>
    </row>
    <row r="2603" spans="1:8" x14ac:dyDescent="0.3">
      <c r="A2603" s="88" t="s">
        <v>716</v>
      </c>
      <c r="B2603" s="88">
        <v>76</v>
      </c>
      <c r="C2603" s="88">
        <v>47</v>
      </c>
      <c r="D2603" s="88" t="s">
        <v>160</v>
      </c>
      <c r="E2603" s="88"/>
      <c r="F2603" s="88" t="s">
        <v>435</v>
      </c>
      <c r="G2603" s="88" t="s">
        <v>1502</v>
      </c>
      <c r="H2603" s="88" t="s">
        <v>596</v>
      </c>
    </row>
    <row r="2604" spans="1:8" x14ac:dyDescent="0.3">
      <c r="A2604" s="88" t="s">
        <v>716</v>
      </c>
      <c r="B2604" s="88">
        <v>77</v>
      </c>
      <c r="C2604" s="88">
        <v>47</v>
      </c>
      <c r="D2604" s="88" t="s">
        <v>161</v>
      </c>
      <c r="E2604" s="88"/>
      <c r="F2604" s="88" t="s">
        <v>436</v>
      </c>
      <c r="G2604" s="88" t="s">
        <v>1502</v>
      </c>
      <c r="H2604" s="88" t="s">
        <v>596</v>
      </c>
    </row>
    <row r="2605" spans="1:8" x14ac:dyDescent="0.3">
      <c r="A2605" s="88" t="s">
        <v>716</v>
      </c>
      <c r="B2605" s="88">
        <v>78</v>
      </c>
      <c r="C2605" s="88">
        <v>47</v>
      </c>
      <c r="D2605" s="88" t="s">
        <v>162</v>
      </c>
      <c r="E2605" s="88"/>
      <c r="F2605" s="88" t="s">
        <v>437</v>
      </c>
      <c r="G2605" s="88" t="s">
        <v>1502</v>
      </c>
      <c r="H2605" s="88" t="s">
        <v>596</v>
      </c>
    </row>
    <row r="2606" spans="1:8" x14ac:dyDescent="0.3">
      <c r="A2606" s="88" t="s">
        <v>716</v>
      </c>
      <c r="B2606" s="88">
        <v>79</v>
      </c>
      <c r="C2606" s="88">
        <v>47</v>
      </c>
      <c r="D2606" s="88" t="s">
        <v>163</v>
      </c>
      <c r="E2606" s="88"/>
      <c r="F2606" s="88" t="s">
        <v>439</v>
      </c>
      <c r="G2606" s="88" t="s">
        <v>1502</v>
      </c>
      <c r="H2606" s="88" t="s">
        <v>596</v>
      </c>
    </row>
    <row r="2607" spans="1:8" x14ac:dyDescent="0.3">
      <c r="A2607" s="88" t="s">
        <v>716</v>
      </c>
      <c r="B2607" s="88">
        <v>80</v>
      </c>
      <c r="C2607" s="88">
        <v>47</v>
      </c>
      <c r="D2607" s="88" t="s">
        <v>164</v>
      </c>
      <c r="E2607" s="88"/>
      <c r="F2607" s="88" t="s">
        <v>441</v>
      </c>
      <c r="G2607" s="88" t="s">
        <v>1502</v>
      </c>
      <c r="H2607" s="88" t="s">
        <v>596</v>
      </c>
    </row>
    <row r="2608" spans="1:8" x14ac:dyDescent="0.3">
      <c r="A2608" s="88" t="s">
        <v>716</v>
      </c>
      <c r="B2608" s="88">
        <v>81</v>
      </c>
      <c r="C2608" s="88">
        <v>47</v>
      </c>
      <c r="D2608" s="88" t="s">
        <v>165</v>
      </c>
      <c r="E2608" s="88"/>
      <c r="F2608" s="88" t="s">
        <v>442</v>
      </c>
      <c r="G2608" s="88" t="s">
        <v>1502</v>
      </c>
      <c r="H2608" s="88" t="s">
        <v>596</v>
      </c>
    </row>
    <row r="2609" spans="1:8" x14ac:dyDescent="0.3">
      <c r="A2609" s="88" t="s">
        <v>716</v>
      </c>
      <c r="B2609" s="88">
        <v>82</v>
      </c>
      <c r="C2609" s="88">
        <v>47</v>
      </c>
      <c r="D2609" s="88" t="s">
        <v>166</v>
      </c>
      <c r="E2609" s="88"/>
      <c r="F2609" s="88" t="s">
        <v>444</v>
      </c>
      <c r="G2609" s="88" t="s">
        <v>1502</v>
      </c>
      <c r="H2609" s="88" t="s">
        <v>596</v>
      </c>
    </row>
    <row r="2610" spans="1:8" x14ac:dyDescent="0.3">
      <c r="A2610" s="88" t="s">
        <v>716</v>
      </c>
      <c r="B2610" s="88">
        <v>83</v>
      </c>
      <c r="C2610" s="88">
        <v>47</v>
      </c>
      <c r="D2610" s="88" t="s">
        <v>167</v>
      </c>
      <c r="E2610" s="88"/>
      <c r="F2610" s="88" t="s">
        <v>445</v>
      </c>
      <c r="G2610" s="88" t="s">
        <v>1502</v>
      </c>
      <c r="H2610" s="88" t="s">
        <v>596</v>
      </c>
    </row>
    <row r="2611" spans="1:8" x14ac:dyDescent="0.3">
      <c r="A2611" s="88" t="s">
        <v>716</v>
      </c>
      <c r="B2611" s="88">
        <v>84</v>
      </c>
      <c r="C2611" s="88">
        <v>47</v>
      </c>
      <c r="D2611" s="88" t="s">
        <v>168</v>
      </c>
      <c r="E2611" s="88"/>
      <c r="F2611" s="88" t="s">
        <v>446</v>
      </c>
      <c r="G2611" s="88" t="s">
        <v>1502</v>
      </c>
      <c r="H2611" s="88" t="s">
        <v>596</v>
      </c>
    </row>
    <row r="2612" spans="1:8" x14ac:dyDescent="0.3">
      <c r="A2612" s="88" t="s">
        <v>716</v>
      </c>
      <c r="B2612" s="88">
        <v>85</v>
      </c>
      <c r="C2612" s="88">
        <v>47</v>
      </c>
      <c r="D2612" s="88" t="s">
        <v>169</v>
      </c>
      <c r="E2612" s="88"/>
      <c r="F2612" s="88" t="s">
        <v>447</v>
      </c>
      <c r="G2612" s="88" t="s">
        <v>1502</v>
      </c>
      <c r="H2612" s="88" t="s">
        <v>596</v>
      </c>
    </row>
    <row r="2613" spans="1:8" x14ac:dyDescent="0.3">
      <c r="A2613" s="88" t="s">
        <v>716</v>
      </c>
      <c r="B2613" s="88">
        <v>86</v>
      </c>
      <c r="C2613" s="88">
        <v>47</v>
      </c>
      <c r="D2613" s="88" t="s">
        <v>170</v>
      </c>
      <c r="E2613" s="88"/>
      <c r="F2613" s="88" t="s">
        <v>448</v>
      </c>
      <c r="G2613" s="88" t="s">
        <v>1502</v>
      </c>
      <c r="H2613" s="88" t="s">
        <v>596</v>
      </c>
    </row>
    <row r="2614" spans="1:8" x14ac:dyDescent="0.3">
      <c r="A2614" s="88" t="s">
        <v>716</v>
      </c>
      <c r="B2614" s="88">
        <v>87</v>
      </c>
      <c r="C2614" s="88">
        <v>47</v>
      </c>
      <c r="D2614" s="88" t="s">
        <v>171</v>
      </c>
      <c r="E2614" s="88"/>
      <c r="F2614" s="88" t="s">
        <v>449</v>
      </c>
      <c r="G2614" s="88" t="s">
        <v>1502</v>
      </c>
      <c r="H2614" s="88" t="s">
        <v>596</v>
      </c>
    </row>
    <row r="2615" spans="1:8" x14ac:dyDescent="0.3">
      <c r="A2615" s="88" t="s">
        <v>716</v>
      </c>
      <c r="B2615" s="88">
        <v>88</v>
      </c>
      <c r="C2615" s="88">
        <v>47</v>
      </c>
      <c r="D2615" s="88" t="s">
        <v>172</v>
      </c>
      <c r="E2615" s="88"/>
      <c r="F2615" s="88" t="s">
        <v>451</v>
      </c>
      <c r="G2615" s="88" t="s">
        <v>1502</v>
      </c>
      <c r="H2615" s="88" t="s">
        <v>596</v>
      </c>
    </row>
    <row r="2616" spans="1:8" x14ac:dyDescent="0.3">
      <c r="A2616" s="88" t="s">
        <v>716</v>
      </c>
      <c r="B2616" s="88">
        <v>89</v>
      </c>
      <c r="C2616" s="88">
        <v>47</v>
      </c>
      <c r="D2616" s="88" t="s">
        <v>173</v>
      </c>
      <c r="E2616" s="88"/>
      <c r="F2616" s="88" t="s">
        <v>453</v>
      </c>
      <c r="G2616" s="88" t="s">
        <v>1502</v>
      </c>
      <c r="H2616" s="88" t="s">
        <v>596</v>
      </c>
    </row>
    <row r="2617" spans="1:8" x14ac:dyDescent="0.3">
      <c r="A2617" s="88" t="s">
        <v>716</v>
      </c>
      <c r="B2617" s="88">
        <v>90</v>
      </c>
      <c r="C2617" s="88">
        <v>47</v>
      </c>
      <c r="D2617" s="88" t="s">
        <v>174</v>
      </c>
      <c r="E2617" s="88"/>
      <c r="F2617" s="88" t="s">
        <v>454</v>
      </c>
      <c r="G2617" s="88" t="s">
        <v>1502</v>
      </c>
      <c r="H2617" s="88" t="s">
        <v>596</v>
      </c>
    </row>
    <row r="2618" spans="1:8" x14ac:dyDescent="0.3">
      <c r="A2618" s="88" t="s">
        <v>716</v>
      </c>
      <c r="B2618" s="88">
        <v>91</v>
      </c>
      <c r="C2618" s="88">
        <v>47</v>
      </c>
      <c r="D2618" s="88" t="s">
        <v>175</v>
      </c>
      <c r="E2618" s="88"/>
      <c r="F2618" s="88"/>
      <c r="G2618" s="88" t="s">
        <v>1502</v>
      </c>
      <c r="H2618" s="88" t="s">
        <v>596</v>
      </c>
    </row>
    <row r="2619" spans="1:8" x14ac:dyDescent="0.3">
      <c r="A2619" s="88" t="s">
        <v>716</v>
      </c>
      <c r="B2619" s="88">
        <v>92</v>
      </c>
      <c r="C2619" s="88">
        <v>47</v>
      </c>
      <c r="D2619" s="88" t="s">
        <v>176</v>
      </c>
      <c r="E2619" s="88"/>
      <c r="F2619" s="88" t="s">
        <v>456</v>
      </c>
      <c r="G2619" s="88" t="s">
        <v>1502</v>
      </c>
      <c r="H2619" s="88" t="s">
        <v>596</v>
      </c>
    </row>
    <row r="2620" spans="1:8" x14ac:dyDescent="0.3">
      <c r="A2620" s="88" t="s">
        <v>716</v>
      </c>
      <c r="B2620" s="88">
        <v>93</v>
      </c>
      <c r="C2620" s="88">
        <v>47</v>
      </c>
      <c r="D2620" s="88" t="s">
        <v>177</v>
      </c>
      <c r="E2620" s="88"/>
      <c r="F2620" s="88" t="s">
        <v>458</v>
      </c>
      <c r="G2620" s="88" t="s">
        <v>1502</v>
      </c>
      <c r="H2620" s="88" t="s">
        <v>596</v>
      </c>
    </row>
    <row r="2621" spans="1:8" x14ac:dyDescent="0.3">
      <c r="A2621" s="88" t="s">
        <v>716</v>
      </c>
      <c r="B2621" s="88">
        <v>94</v>
      </c>
      <c r="C2621" s="88">
        <v>47</v>
      </c>
      <c r="D2621" s="88" t="s">
        <v>178</v>
      </c>
      <c r="E2621" s="88"/>
      <c r="F2621" s="88" t="s">
        <v>459</v>
      </c>
      <c r="G2621" s="88" t="s">
        <v>1502</v>
      </c>
      <c r="H2621" s="88" t="s">
        <v>596</v>
      </c>
    </row>
    <row r="2622" spans="1:8" x14ac:dyDescent="0.3">
      <c r="A2622" s="88" t="s">
        <v>716</v>
      </c>
      <c r="B2622" s="88">
        <v>95</v>
      </c>
      <c r="C2622" s="88">
        <v>47</v>
      </c>
      <c r="D2622" s="88" t="s">
        <v>179</v>
      </c>
      <c r="E2622" s="88"/>
      <c r="F2622" s="88" t="s">
        <v>460</v>
      </c>
      <c r="G2622" s="88" t="s">
        <v>1502</v>
      </c>
      <c r="H2622" s="88" t="s">
        <v>596</v>
      </c>
    </row>
    <row r="2623" spans="1:8" x14ac:dyDescent="0.3">
      <c r="A2623" s="88" t="s">
        <v>716</v>
      </c>
      <c r="B2623" s="88">
        <v>96</v>
      </c>
      <c r="C2623" s="88">
        <v>47</v>
      </c>
      <c r="D2623" s="88" t="s">
        <v>180</v>
      </c>
      <c r="E2623" s="88"/>
      <c r="F2623" s="88" t="s">
        <v>461</v>
      </c>
      <c r="G2623" s="88" t="s">
        <v>1502</v>
      </c>
      <c r="H2623" s="88" t="s">
        <v>596</v>
      </c>
    </row>
    <row r="2624" spans="1:8" x14ac:dyDescent="0.3">
      <c r="A2624" s="88" t="s">
        <v>716</v>
      </c>
      <c r="B2624" s="88">
        <v>97</v>
      </c>
      <c r="C2624" s="88">
        <v>47</v>
      </c>
      <c r="D2624" s="88" t="s">
        <v>181</v>
      </c>
      <c r="E2624" s="88"/>
      <c r="F2624" s="88" t="s">
        <v>462</v>
      </c>
      <c r="G2624" s="88" t="s">
        <v>1502</v>
      </c>
      <c r="H2624" s="88" t="s">
        <v>596</v>
      </c>
    </row>
    <row r="2625" spans="1:8" x14ac:dyDescent="0.3">
      <c r="A2625" s="88" t="s">
        <v>716</v>
      </c>
      <c r="B2625" s="88">
        <v>98</v>
      </c>
      <c r="C2625" s="88">
        <v>47</v>
      </c>
      <c r="D2625" s="88" t="s">
        <v>182</v>
      </c>
      <c r="E2625" s="88"/>
      <c r="F2625" s="88" t="s">
        <v>463</v>
      </c>
      <c r="G2625" s="88" t="s">
        <v>1502</v>
      </c>
      <c r="H2625" s="88" t="s">
        <v>596</v>
      </c>
    </row>
    <row r="2626" spans="1:8" x14ac:dyDescent="0.3">
      <c r="A2626" s="88" t="s">
        <v>716</v>
      </c>
      <c r="B2626" s="88">
        <v>99</v>
      </c>
      <c r="C2626" s="88">
        <v>47</v>
      </c>
      <c r="D2626" s="88" t="s">
        <v>183</v>
      </c>
      <c r="E2626" s="88"/>
      <c r="F2626" s="88" t="s">
        <v>464</v>
      </c>
      <c r="G2626" s="88" t="s">
        <v>1502</v>
      </c>
      <c r="H2626" s="88" t="s">
        <v>596</v>
      </c>
    </row>
    <row r="2627" spans="1:8" x14ac:dyDescent="0.3">
      <c r="A2627" s="88" t="s">
        <v>716</v>
      </c>
      <c r="B2627" s="88">
        <v>100</v>
      </c>
      <c r="C2627" s="88">
        <v>47</v>
      </c>
      <c r="D2627" s="88" t="s">
        <v>184</v>
      </c>
      <c r="E2627" s="88"/>
      <c r="F2627" s="88" t="s">
        <v>465</v>
      </c>
      <c r="G2627" s="88" t="s">
        <v>1502</v>
      </c>
      <c r="H2627" s="88" t="s">
        <v>596</v>
      </c>
    </row>
    <row r="2628" spans="1:8" x14ac:dyDescent="0.3">
      <c r="A2628" s="88" t="s">
        <v>716</v>
      </c>
      <c r="B2628" s="88">
        <v>101</v>
      </c>
      <c r="C2628" s="88">
        <v>47</v>
      </c>
      <c r="D2628" s="88" t="s">
        <v>185</v>
      </c>
      <c r="E2628" s="88"/>
      <c r="F2628" s="88" t="s">
        <v>466</v>
      </c>
      <c r="G2628" s="88" t="s">
        <v>1502</v>
      </c>
      <c r="H2628" s="88" t="s">
        <v>596</v>
      </c>
    </row>
    <row r="2629" spans="1:8" x14ac:dyDescent="0.3">
      <c r="A2629" s="88" t="s">
        <v>716</v>
      </c>
      <c r="B2629" s="88">
        <v>102</v>
      </c>
      <c r="C2629" s="88">
        <v>47</v>
      </c>
      <c r="D2629" s="88" t="s">
        <v>186</v>
      </c>
      <c r="E2629" s="88"/>
      <c r="F2629" s="88" t="s">
        <v>467</v>
      </c>
      <c r="G2629" s="88" t="s">
        <v>1502</v>
      </c>
      <c r="H2629" s="88" t="s">
        <v>596</v>
      </c>
    </row>
    <row r="2630" spans="1:8" x14ac:dyDescent="0.3">
      <c r="A2630" s="88" t="s">
        <v>716</v>
      </c>
      <c r="B2630" s="88">
        <v>103</v>
      </c>
      <c r="C2630" s="88">
        <v>47</v>
      </c>
      <c r="D2630" s="88" t="s">
        <v>187</v>
      </c>
      <c r="E2630" s="88"/>
      <c r="F2630" s="88" t="s">
        <v>468</v>
      </c>
      <c r="G2630" s="88" t="s">
        <v>1502</v>
      </c>
      <c r="H2630" s="88" t="s">
        <v>596</v>
      </c>
    </row>
    <row r="2631" spans="1:8" x14ac:dyDescent="0.3">
      <c r="A2631" s="88" t="s">
        <v>716</v>
      </c>
      <c r="B2631" s="88">
        <v>104</v>
      </c>
      <c r="C2631" s="88">
        <v>47</v>
      </c>
      <c r="D2631" s="88" t="s">
        <v>188</v>
      </c>
      <c r="E2631" s="88"/>
      <c r="F2631" s="88" t="s">
        <v>470</v>
      </c>
      <c r="G2631" s="88" t="s">
        <v>1502</v>
      </c>
      <c r="H2631" s="88" t="s">
        <v>596</v>
      </c>
    </row>
    <row r="2632" spans="1:8" x14ac:dyDescent="0.3">
      <c r="A2632" s="88" t="s">
        <v>716</v>
      </c>
      <c r="B2632" s="88">
        <v>105</v>
      </c>
      <c r="C2632" s="88">
        <v>47</v>
      </c>
      <c r="D2632" s="88" t="s">
        <v>189</v>
      </c>
      <c r="E2632" s="88"/>
      <c r="F2632" s="88" t="s">
        <v>471</v>
      </c>
      <c r="G2632" s="88" t="s">
        <v>1502</v>
      </c>
      <c r="H2632" s="88" t="s">
        <v>596</v>
      </c>
    </row>
    <row r="2633" spans="1:8" x14ac:dyDescent="0.3">
      <c r="A2633" s="88" t="s">
        <v>716</v>
      </c>
      <c r="B2633" s="88">
        <v>106</v>
      </c>
      <c r="C2633" s="88">
        <v>47</v>
      </c>
      <c r="D2633" s="88" t="s">
        <v>190</v>
      </c>
      <c r="E2633" s="88"/>
      <c r="F2633" s="88" t="s">
        <v>472</v>
      </c>
      <c r="G2633" s="88" t="s">
        <v>1502</v>
      </c>
      <c r="H2633" s="88" t="s">
        <v>596</v>
      </c>
    </row>
    <row r="2634" spans="1:8" x14ac:dyDescent="0.3">
      <c r="A2634" s="88" t="s">
        <v>716</v>
      </c>
      <c r="B2634" s="88">
        <v>107</v>
      </c>
      <c r="C2634" s="88">
        <v>47</v>
      </c>
      <c r="D2634" s="88" t="s">
        <v>191</v>
      </c>
      <c r="E2634" s="88"/>
      <c r="F2634" s="88" t="s">
        <v>473</v>
      </c>
      <c r="G2634" s="88" t="s">
        <v>1502</v>
      </c>
      <c r="H2634" s="88" t="s">
        <v>596</v>
      </c>
    </row>
    <row r="2635" spans="1:8" x14ac:dyDescent="0.3">
      <c r="A2635" s="88" t="s">
        <v>716</v>
      </c>
      <c r="B2635" s="88">
        <v>108</v>
      </c>
      <c r="C2635" s="88">
        <v>47</v>
      </c>
      <c r="D2635" s="88" t="s">
        <v>192</v>
      </c>
      <c r="E2635" s="88"/>
      <c r="F2635" s="88" t="s">
        <v>475</v>
      </c>
      <c r="G2635" s="88" t="s">
        <v>1502</v>
      </c>
      <c r="H2635" s="88" t="s">
        <v>596</v>
      </c>
    </row>
    <row r="2636" spans="1:8" x14ac:dyDescent="0.3">
      <c r="A2636" s="88" t="s">
        <v>716</v>
      </c>
      <c r="B2636" s="88">
        <v>109</v>
      </c>
      <c r="C2636" s="88">
        <v>47</v>
      </c>
      <c r="D2636" s="88" t="s">
        <v>193</v>
      </c>
      <c r="E2636" s="88"/>
      <c r="F2636" s="88" t="s">
        <v>476</v>
      </c>
      <c r="G2636" s="88" t="s">
        <v>1502</v>
      </c>
      <c r="H2636" s="88" t="s">
        <v>596</v>
      </c>
    </row>
    <row r="2637" spans="1:8" x14ac:dyDescent="0.3">
      <c r="A2637" s="88" t="s">
        <v>716</v>
      </c>
      <c r="B2637" s="88">
        <v>110</v>
      </c>
      <c r="C2637" s="88">
        <v>47</v>
      </c>
      <c r="D2637" s="88" t="s">
        <v>194</v>
      </c>
      <c r="E2637" s="88"/>
      <c r="F2637" s="88" t="s">
        <v>477</v>
      </c>
      <c r="G2637" s="88" t="s">
        <v>1502</v>
      </c>
      <c r="H2637" s="88" t="s">
        <v>596</v>
      </c>
    </row>
    <row r="2638" spans="1:8" x14ac:dyDescent="0.3">
      <c r="A2638" s="88" t="s">
        <v>716</v>
      </c>
      <c r="B2638" s="88">
        <v>111</v>
      </c>
      <c r="C2638" s="88">
        <v>47</v>
      </c>
      <c r="D2638" s="88" t="s">
        <v>195</v>
      </c>
      <c r="E2638" s="88"/>
      <c r="F2638" s="88" t="s">
        <v>479</v>
      </c>
      <c r="G2638" s="88" t="s">
        <v>1502</v>
      </c>
      <c r="H2638" s="88" t="s">
        <v>596</v>
      </c>
    </row>
    <row r="2639" spans="1:8" x14ac:dyDescent="0.3">
      <c r="A2639" s="88" t="s">
        <v>716</v>
      </c>
      <c r="B2639" s="88">
        <v>112</v>
      </c>
      <c r="C2639" s="88">
        <v>47</v>
      </c>
      <c r="D2639" s="88" t="s">
        <v>196</v>
      </c>
      <c r="E2639" s="88"/>
      <c r="F2639" s="88" t="s">
        <v>481</v>
      </c>
      <c r="G2639" s="88" t="s">
        <v>1502</v>
      </c>
      <c r="H2639" s="88" t="s">
        <v>596</v>
      </c>
    </row>
    <row r="2640" spans="1:8" x14ac:dyDescent="0.3">
      <c r="A2640" s="88" t="s">
        <v>716</v>
      </c>
      <c r="B2640" s="88">
        <v>113</v>
      </c>
      <c r="C2640" s="88">
        <v>47</v>
      </c>
      <c r="D2640" s="88" t="s">
        <v>197</v>
      </c>
      <c r="E2640" s="88"/>
      <c r="F2640" s="88" t="s">
        <v>482</v>
      </c>
      <c r="G2640" s="88" t="s">
        <v>1502</v>
      </c>
      <c r="H2640" s="88" t="s">
        <v>596</v>
      </c>
    </row>
    <row r="2641" spans="1:8" x14ac:dyDescent="0.3">
      <c r="A2641" s="88" t="s">
        <v>716</v>
      </c>
      <c r="B2641" s="88">
        <v>114</v>
      </c>
      <c r="C2641" s="88">
        <v>47</v>
      </c>
      <c r="D2641" s="88" t="s">
        <v>198</v>
      </c>
      <c r="E2641" s="88"/>
      <c r="F2641" s="88" t="s">
        <v>483</v>
      </c>
      <c r="G2641" s="88" t="s">
        <v>1502</v>
      </c>
      <c r="H2641" s="88" t="s">
        <v>596</v>
      </c>
    </row>
    <row r="2642" spans="1:8" x14ac:dyDescent="0.3">
      <c r="A2642" s="88" t="s">
        <v>716</v>
      </c>
      <c r="B2642" s="88">
        <v>115</v>
      </c>
      <c r="C2642" s="88">
        <v>47</v>
      </c>
      <c r="D2642" s="88" t="s">
        <v>199</v>
      </c>
      <c r="E2642" s="88"/>
      <c r="F2642" s="88" t="s">
        <v>484</v>
      </c>
      <c r="G2642" s="88" t="s">
        <v>1502</v>
      </c>
      <c r="H2642" s="88" t="s">
        <v>596</v>
      </c>
    </row>
    <row r="2643" spans="1:8" x14ac:dyDescent="0.3">
      <c r="A2643" s="88" t="s">
        <v>716</v>
      </c>
      <c r="B2643" s="88">
        <v>116</v>
      </c>
      <c r="C2643" s="88">
        <v>47</v>
      </c>
      <c r="D2643" s="88" t="s">
        <v>200</v>
      </c>
      <c r="E2643" s="88"/>
      <c r="F2643" s="88" t="s">
        <v>486</v>
      </c>
      <c r="G2643" s="88" t="s">
        <v>1502</v>
      </c>
      <c r="H2643" s="88" t="s">
        <v>596</v>
      </c>
    </row>
    <row r="2644" spans="1:8" x14ac:dyDescent="0.3">
      <c r="A2644" s="88" t="s">
        <v>716</v>
      </c>
      <c r="B2644" s="88">
        <v>117</v>
      </c>
      <c r="C2644" s="88">
        <v>47</v>
      </c>
      <c r="D2644" s="88" t="s">
        <v>201</v>
      </c>
      <c r="E2644" s="88"/>
      <c r="F2644" s="88" t="s">
        <v>488</v>
      </c>
      <c r="G2644" s="88" t="s">
        <v>1502</v>
      </c>
      <c r="H2644" s="88" t="s">
        <v>596</v>
      </c>
    </row>
    <row r="2645" spans="1:8" x14ac:dyDescent="0.3">
      <c r="A2645" s="88" t="s">
        <v>716</v>
      </c>
      <c r="B2645" s="88">
        <v>118</v>
      </c>
      <c r="C2645" s="88">
        <v>47</v>
      </c>
      <c r="D2645" s="88" t="s">
        <v>202</v>
      </c>
      <c r="E2645" s="88"/>
      <c r="F2645" s="88" t="s">
        <v>490</v>
      </c>
      <c r="G2645" s="88" t="s">
        <v>1502</v>
      </c>
      <c r="H2645" s="88" t="s">
        <v>596</v>
      </c>
    </row>
    <row r="2646" spans="1:8" x14ac:dyDescent="0.3">
      <c r="A2646" s="88" t="s">
        <v>716</v>
      </c>
      <c r="B2646" s="88">
        <v>119</v>
      </c>
      <c r="C2646" s="88">
        <v>47</v>
      </c>
      <c r="D2646" s="88" t="s">
        <v>203</v>
      </c>
      <c r="E2646" s="88"/>
      <c r="F2646" s="88" t="s">
        <v>492</v>
      </c>
      <c r="G2646" s="88" t="s">
        <v>1502</v>
      </c>
      <c r="H2646" s="88" t="s">
        <v>596</v>
      </c>
    </row>
    <row r="2647" spans="1:8" x14ac:dyDescent="0.3">
      <c r="A2647" s="88" t="s">
        <v>716</v>
      </c>
      <c r="B2647" s="88">
        <v>120</v>
      </c>
      <c r="C2647" s="88">
        <v>47</v>
      </c>
      <c r="D2647" s="88" t="s">
        <v>204</v>
      </c>
      <c r="E2647" s="88"/>
      <c r="F2647" s="88" t="s">
        <v>493</v>
      </c>
      <c r="G2647" s="88" t="s">
        <v>1502</v>
      </c>
      <c r="H2647" s="88" t="s">
        <v>596</v>
      </c>
    </row>
    <row r="2648" spans="1:8" x14ac:dyDescent="0.3">
      <c r="A2648" s="88" t="s">
        <v>716</v>
      </c>
      <c r="B2648" s="88">
        <v>121</v>
      </c>
      <c r="C2648" s="88">
        <v>47</v>
      </c>
      <c r="D2648" s="88" t="s">
        <v>205</v>
      </c>
      <c r="E2648" s="88"/>
      <c r="F2648" s="88" t="s">
        <v>494</v>
      </c>
      <c r="G2648" s="88" t="s">
        <v>1502</v>
      </c>
      <c r="H2648" s="88" t="s">
        <v>596</v>
      </c>
    </row>
    <row r="2649" spans="1:8" x14ac:dyDescent="0.3">
      <c r="A2649" s="88" t="s">
        <v>716</v>
      </c>
      <c r="B2649" s="88">
        <v>122</v>
      </c>
      <c r="C2649" s="88">
        <v>47</v>
      </c>
      <c r="D2649" s="88" t="s">
        <v>206</v>
      </c>
      <c r="E2649" s="88"/>
      <c r="F2649" s="88" t="s">
        <v>496</v>
      </c>
      <c r="G2649" s="88" t="s">
        <v>1502</v>
      </c>
      <c r="H2649" s="88" t="s">
        <v>596</v>
      </c>
    </row>
    <row r="2650" spans="1:8" x14ac:dyDescent="0.3">
      <c r="A2650" s="88" t="s">
        <v>716</v>
      </c>
      <c r="B2650" s="88">
        <v>123</v>
      </c>
      <c r="C2650" s="88">
        <v>47</v>
      </c>
      <c r="D2650" s="88" t="s">
        <v>207</v>
      </c>
      <c r="E2650" s="88"/>
      <c r="F2650" s="88" t="s">
        <v>497</v>
      </c>
      <c r="G2650" s="88" t="s">
        <v>1502</v>
      </c>
      <c r="H2650" s="88" t="s">
        <v>596</v>
      </c>
    </row>
    <row r="2651" spans="1:8" x14ac:dyDescent="0.3">
      <c r="A2651" s="88" t="s">
        <v>716</v>
      </c>
      <c r="B2651" s="88">
        <v>124</v>
      </c>
      <c r="C2651" s="88">
        <v>47</v>
      </c>
      <c r="D2651" s="88" t="s">
        <v>208</v>
      </c>
      <c r="E2651" s="88"/>
      <c r="F2651" s="88" t="s">
        <v>498</v>
      </c>
      <c r="G2651" s="88" t="s">
        <v>1502</v>
      </c>
      <c r="H2651" s="88" t="s">
        <v>596</v>
      </c>
    </row>
    <row r="2652" spans="1:8" x14ac:dyDescent="0.3">
      <c r="A2652" s="88" t="s">
        <v>716</v>
      </c>
      <c r="B2652" s="88">
        <v>125</v>
      </c>
      <c r="C2652" s="88">
        <v>47</v>
      </c>
      <c r="D2652" s="88" t="s">
        <v>209</v>
      </c>
      <c r="E2652" s="88"/>
      <c r="F2652" s="88" t="s">
        <v>499</v>
      </c>
      <c r="G2652" s="88" t="s">
        <v>1502</v>
      </c>
      <c r="H2652" s="88" t="s">
        <v>596</v>
      </c>
    </row>
    <row r="2653" spans="1:8" x14ac:dyDescent="0.3">
      <c r="A2653" s="88" t="s">
        <v>716</v>
      </c>
      <c r="B2653" s="88">
        <v>126</v>
      </c>
      <c r="C2653" s="88">
        <v>47</v>
      </c>
      <c r="D2653" s="88" t="s">
        <v>210</v>
      </c>
      <c r="E2653" s="88"/>
      <c r="F2653" s="88" t="s">
        <v>500</v>
      </c>
      <c r="G2653" s="88" t="s">
        <v>1502</v>
      </c>
      <c r="H2653" s="88" t="s">
        <v>596</v>
      </c>
    </row>
    <row r="2654" spans="1:8" x14ac:dyDescent="0.3">
      <c r="A2654" s="88" t="s">
        <v>716</v>
      </c>
      <c r="B2654" s="88">
        <v>127</v>
      </c>
      <c r="C2654" s="88">
        <v>47</v>
      </c>
      <c r="D2654" s="88" t="s">
        <v>211</v>
      </c>
      <c r="E2654" s="88"/>
      <c r="F2654" s="88" t="s">
        <v>501</v>
      </c>
      <c r="G2654" s="88" t="s">
        <v>1502</v>
      </c>
      <c r="H2654" s="88" t="s">
        <v>596</v>
      </c>
    </row>
    <row r="2655" spans="1:8" x14ac:dyDescent="0.3">
      <c r="A2655" s="88" t="s">
        <v>716</v>
      </c>
      <c r="B2655" s="88">
        <v>128</v>
      </c>
      <c r="C2655" s="88">
        <v>47</v>
      </c>
      <c r="D2655" s="88" t="s">
        <v>212</v>
      </c>
      <c r="E2655" s="88"/>
      <c r="F2655" s="88" t="s">
        <v>502</v>
      </c>
      <c r="G2655" s="88" t="s">
        <v>1502</v>
      </c>
      <c r="H2655" s="88" t="s">
        <v>596</v>
      </c>
    </row>
    <row r="2656" spans="1:8" x14ac:dyDescent="0.3">
      <c r="A2656" s="88" t="s">
        <v>716</v>
      </c>
      <c r="B2656" s="88">
        <v>129</v>
      </c>
      <c r="C2656" s="88">
        <v>47</v>
      </c>
      <c r="D2656" s="88" t="s">
        <v>213</v>
      </c>
      <c r="E2656" s="88"/>
      <c r="F2656" s="88" t="s">
        <v>503</v>
      </c>
      <c r="G2656" s="88" t="s">
        <v>1502</v>
      </c>
      <c r="H2656" s="88" t="s">
        <v>596</v>
      </c>
    </row>
    <row r="2657" spans="1:8" x14ac:dyDescent="0.3">
      <c r="A2657" s="88" t="s">
        <v>716</v>
      </c>
      <c r="B2657" s="88">
        <v>130</v>
      </c>
      <c r="C2657" s="88">
        <v>47</v>
      </c>
      <c r="D2657" s="88" t="s">
        <v>214</v>
      </c>
      <c r="E2657" s="88"/>
      <c r="F2657" s="88" t="s">
        <v>505</v>
      </c>
      <c r="G2657" s="88" t="s">
        <v>1502</v>
      </c>
      <c r="H2657" s="88" t="s">
        <v>596</v>
      </c>
    </row>
    <row r="2658" spans="1:8" x14ac:dyDescent="0.3">
      <c r="A2658" s="88" t="s">
        <v>716</v>
      </c>
      <c r="B2658" s="88">
        <v>131</v>
      </c>
      <c r="C2658" s="88">
        <v>47</v>
      </c>
      <c r="D2658" s="88" t="s">
        <v>215</v>
      </c>
      <c r="E2658" s="88"/>
      <c r="F2658" s="88" t="s">
        <v>506</v>
      </c>
      <c r="G2658" s="88" t="s">
        <v>1502</v>
      </c>
      <c r="H2658" s="88" t="s">
        <v>596</v>
      </c>
    </row>
    <row r="2659" spans="1:8" x14ac:dyDescent="0.3">
      <c r="A2659" s="88" t="s">
        <v>716</v>
      </c>
      <c r="B2659" s="88">
        <v>132</v>
      </c>
      <c r="C2659" s="88">
        <v>47</v>
      </c>
      <c r="D2659" s="88" t="s">
        <v>216</v>
      </c>
      <c r="E2659" s="88"/>
      <c r="F2659" s="88" t="s">
        <v>507</v>
      </c>
      <c r="G2659" s="88" t="s">
        <v>1502</v>
      </c>
      <c r="H2659" s="88" t="s">
        <v>596</v>
      </c>
    </row>
    <row r="2660" spans="1:8" x14ac:dyDescent="0.3">
      <c r="A2660" s="88" t="s">
        <v>716</v>
      </c>
      <c r="B2660" s="88">
        <v>133</v>
      </c>
      <c r="C2660" s="88">
        <v>47</v>
      </c>
      <c r="D2660" s="88" t="s">
        <v>217</v>
      </c>
      <c r="E2660" s="88"/>
      <c r="F2660" s="88" t="s">
        <v>508</v>
      </c>
      <c r="G2660" s="88" t="s">
        <v>1502</v>
      </c>
      <c r="H2660" s="88" t="s">
        <v>596</v>
      </c>
    </row>
    <row r="2661" spans="1:8" x14ac:dyDescent="0.3">
      <c r="A2661" s="88" t="s">
        <v>716</v>
      </c>
      <c r="B2661" s="88">
        <v>134</v>
      </c>
      <c r="C2661" s="88">
        <v>47</v>
      </c>
      <c r="D2661" s="88" t="s">
        <v>218</v>
      </c>
      <c r="E2661" s="88"/>
      <c r="F2661" s="88" t="s">
        <v>510</v>
      </c>
      <c r="G2661" s="88" t="s">
        <v>1502</v>
      </c>
      <c r="H2661" s="88" t="s">
        <v>596</v>
      </c>
    </row>
    <row r="2662" spans="1:8" x14ac:dyDescent="0.3">
      <c r="A2662" s="88" t="s">
        <v>716</v>
      </c>
      <c r="B2662" s="88">
        <v>135</v>
      </c>
      <c r="C2662" s="88">
        <v>47</v>
      </c>
      <c r="D2662" s="88" t="s">
        <v>219</v>
      </c>
      <c r="E2662" s="88"/>
      <c r="F2662" s="88" t="s">
        <v>511</v>
      </c>
      <c r="G2662" s="88" t="s">
        <v>1502</v>
      </c>
      <c r="H2662" s="88" t="s">
        <v>596</v>
      </c>
    </row>
    <row r="2663" spans="1:8" x14ac:dyDescent="0.3">
      <c r="A2663" s="88" t="s">
        <v>716</v>
      </c>
      <c r="B2663" s="88">
        <v>136</v>
      </c>
      <c r="C2663" s="88">
        <v>47</v>
      </c>
      <c r="D2663" s="88" t="s">
        <v>220</v>
      </c>
      <c r="E2663" s="88"/>
      <c r="F2663" s="88" t="s">
        <v>513</v>
      </c>
      <c r="G2663" s="88" t="s">
        <v>1502</v>
      </c>
      <c r="H2663" s="88" t="s">
        <v>596</v>
      </c>
    </row>
    <row r="2664" spans="1:8" x14ac:dyDescent="0.3">
      <c r="A2664" s="88" t="s">
        <v>716</v>
      </c>
      <c r="B2664" s="88">
        <v>137</v>
      </c>
      <c r="C2664" s="88">
        <v>47</v>
      </c>
      <c r="D2664" s="88" t="s">
        <v>221</v>
      </c>
      <c r="E2664" s="88"/>
      <c r="F2664" s="88" t="s">
        <v>514</v>
      </c>
      <c r="G2664" s="88" t="s">
        <v>1502</v>
      </c>
      <c r="H2664" s="88" t="s">
        <v>596</v>
      </c>
    </row>
    <row r="2665" spans="1:8" x14ac:dyDescent="0.3">
      <c r="A2665" s="88" t="s">
        <v>716</v>
      </c>
      <c r="B2665" s="88">
        <v>138</v>
      </c>
      <c r="C2665" s="88">
        <v>47</v>
      </c>
      <c r="D2665" s="88" t="s">
        <v>222</v>
      </c>
      <c r="E2665" s="88"/>
      <c r="F2665" s="88" t="s">
        <v>515</v>
      </c>
      <c r="G2665" s="88" t="s">
        <v>1502</v>
      </c>
      <c r="H2665" s="88" t="s">
        <v>596</v>
      </c>
    </row>
    <row r="2666" spans="1:8" x14ac:dyDescent="0.3">
      <c r="A2666" s="88" t="s">
        <v>716</v>
      </c>
      <c r="B2666" s="88">
        <v>139</v>
      </c>
      <c r="C2666" s="88">
        <v>47</v>
      </c>
      <c r="D2666" s="88" t="s">
        <v>223</v>
      </c>
      <c r="E2666" s="88"/>
      <c r="F2666" s="88" t="s">
        <v>516</v>
      </c>
      <c r="G2666" s="88" t="s">
        <v>1502</v>
      </c>
      <c r="H2666" s="88" t="s">
        <v>596</v>
      </c>
    </row>
    <row r="2667" spans="1:8" x14ac:dyDescent="0.3">
      <c r="A2667" s="88" t="s">
        <v>716</v>
      </c>
      <c r="B2667" s="88">
        <v>140</v>
      </c>
      <c r="C2667" s="88">
        <v>47</v>
      </c>
      <c r="D2667" s="88" t="s">
        <v>224</v>
      </c>
      <c r="E2667" s="88"/>
      <c r="F2667" s="88" t="s">
        <v>517</v>
      </c>
      <c r="G2667" s="88" t="s">
        <v>1502</v>
      </c>
      <c r="H2667" s="88" t="s">
        <v>596</v>
      </c>
    </row>
    <row r="2668" spans="1:8" x14ac:dyDescent="0.3">
      <c r="A2668" s="88" t="s">
        <v>716</v>
      </c>
      <c r="B2668" s="88">
        <v>141</v>
      </c>
      <c r="C2668" s="88">
        <v>47</v>
      </c>
      <c r="D2668" s="88" t="s">
        <v>225</v>
      </c>
      <c r="E2668" s="88"/>
      <c r="F2668" s="88" t="s">
        <v>518</v>
      </c>
      <c r="G2668" s="88" t="s">
        <v>1502</v>
      </c>
      <c r="H2668" s="88" t="s">
        <v>596</v>
      </c>
    </row>
    <row r="2669" spans="1:8" x14ac:dyDescent="0.3">
      <c r="A2669" s="88" t="s">
        <v>716</v>
      </c>
      <c r="B2669" s="88">
        <v>142</v>
      </c>
      <c r="C2669" s="88">
        <v>47</v>
      </c>
      <c r="D2669" s="88" t="s">
        <v>226</v>
      </c>
      <c r="E2669" s="88"/>
      <c r="F2669" s="88" t="s">
        <v>519</v>
      </c>
      <c r="G2669" s="88" t="s">
        <v>1502</v>
      </c>
      <c r="H2669" s="88" t="s">
        <v>596</v>
      </c>
    </row>
    <row r="2670" spans="1:8" x14ac:dyDescent="0.3">
      <c r="A2670" s="88" t="s">
        <v>716</v>
      </c>
      <c r="B2670" s="88">
        <v>143</v>
      </c>
      <c r="C2670" s="88">
        <v>47</v>
      </c>
      <c r="D2670" s="88" t="s">
        <v>227</v>
      </c>
      <c r="E2670" s="88"/>
      <c r="F2670" s="88" t="s">
        <v>520</v>
      </c>
      <c r="G2670" s="88" t="s">
        <v>1502</v>
      </c>
      <c r="H2670" s="88" t="s">
        <v>596</v>
      </c>
    </row>
    <row r="2671" spans="1:8" x14ac:dyDescent="0.3">
      <c r="A2671" s="88" t="s">
        <v>716</v>
      </c>
      <c r="B2671" s="88">
        <v>144</v>
      </c>
      <c r="C2671" s="88">
        <v>47</v>
      </c>
      <c r="D2671" s="88" t="s">
        <v>228</v>
      </c>
      <c r="E2671" s="88"/>
      <c r="F2671" s="88" t="s">
        <v>521</v>
      </c>
      <c r="G2671" s="88" t="s">
        <v>1502</v>
      </c>
      <c r="H2671" s="88" t="s">
        <v>596</v>
      </c>
    </row>
    <row r="2672" spans="1:8" x14ac:dyDescent="0.3">
      <c r="A2672" s="88" t="s">
        <v>716</v>
      </c>
      <c r="B2672" s="88">
        <v>145</v>
      </c>
      <c r="C2672" s="88">
        <v>47</v>
      </c>
      <c r="D2672" s="88" t="s">
        <v>229</v>
      </c>
      <c r="E2672" s="88"/>
      <c r="F2672" s="88" t="s">
        <v>522</v>
      </c>
      <c r="G2672" s="88" t="s">
        <v>1502</v>
      </c>
      <c r="H2672" s="88" t="s">
        <v>596</v>
      </c>
    </row>
    <row r="2673" spans="1:8" x14ac:dyDescent="0.3">
      <c r="A2673" s="88" t="s">
        <v>716</v>
      </c>
      <c r="B2673" s="88">
        <v>146</v>
      </c>
      <c r="C2673" s="88">
        <v>47</v>
      </c>
      <c r="D2673" s="88" t="s">
        <v>230</v>
      </c>
      <c r="E2673" s="88"/>
      <c r="F2673" s="88" t="s">
        <v>523</v>
      </c>
      <c r="G2673" s="88" t="s">
        <v>1502</v>
      </c>
      <c r="H2673" s="88" t="s">
        <v>596</v>
      </c>
    </row>
    <row r="2674" spans="1:8" x14ac:dyDescent="0.3">
      <c r="A2674" s="88" t="s">
        <v>716</v>
      </c>
      <c r="B2674" s="88">
        <v>147</v>
      </c>
      <c r="C2674" s="88">
        <v>47</v>
      </c>
      <c r="D2674" s="88" t="s">
        <v>231</v>
      </c>
      <c r="E2674" s="88"/>
      <c r="F2674" s="88" t="s">
        <v>524</v>
      </c>
      <c r="G2674" s="88" t="s">
        <v>1502</v>
      </c>
      <c r="H2674" s="88" t="s">
        <v>596</v>
      </c>
    </row>
    <row r="2675" spans="1:8" x14ac:dyDescent="0.3">
      <c r="A2675" s="88" t="s">
        <v>716</v>
      </c>
      <c r="B2675" s="88">
        <v>148</v>
      </c>
      <c r="C2675" s="88">
        <v>47</v>
      </c>
      <c r="D2675" s="88" t="s">
        <v>232</v>
      </c>
      <c r="E2675" s="88"/>
      <c r="F2675" s="88" t="s">
        <v>525</v>
      </c>
      <c r="G2675" s="88" t="s">
        <v>1502</v>
      </c>
      <c r="H2675" s="88" t="s">
        <v>596</v>
      </c>
    </row>
    <row r="2676" spans="1:8" x14ac:dyDescent="0.3">
      <c r="A2676" s="88" t="s">
        <v>716</v>
      </c>
      <c r="B2676" s="88">
        <v>149</v>
      </c>
      <c r="C2676" s="88">
        <v>47</v>
      </c>
      <c r="D2676" s="88" t="s">
        <v>233</v>
      </c>
      <c r="E2676" s="88"/>
      <c r="F2676" s="88" t="s">
        <v>526</v>
      </c>
      <c r="G2676" s="88" t="s">
        <v>1502</v>
      </c>
      <c r="H2676" s="88" t="s">
        <v>596</v>
      </c>
    </row>
    <row r="2677" spans="1:8" x14ac:dyDescent="0.3">
      <c r="A2677" s="88" t="s">
        <v>716</v>
      </c>
      <c r="B2677" s="88">
        <v>150</v>
      </c>
      <c r="C2677" s="88">
        <v>47</v>
      </c>
      <c r="D2677" s="88" t="s">
        <v>234</v>
      </c>
      <c r="E2677" s="88"/>
      <c r="F2677" s="88" t="s">
        <v>527</v>
      </c>
      <c r="G2677" s="88" t="s">
        <v>1502</v>
      </c>
      <c r="H2677" s="88" t="s">
        <v>596</v>
      </c>
    </row>
    <row r="2678" spans="1:8" x14ac:dyDescent="0.3">
      <c r="A2678" s="88" t="s">
        <v>716</v>
      </c>
      <c r="B2678" s="88">
        <v>151</v>
      </c>
      <c r="C2678" s="88">
        <v>47</v>
      </c>
      <c r="D2678" s="88" t="s">
        <v>235</v>
      </c>
      <c r="E2678" s="88"/>
      <c r="F2678" s="88" t="s">
        <v>528</v>
      </c>
      <c r="G2678" s="88" t="s">
        <v>1502</v>
      </c>
      <c r="H2678" s="88" t="s">
        <v>596</v>
      </c>
    </row>
    <row r="2679" spans="1:8" x14ac:dyDescent="0.3">
      <c r="A2679" s="88" t="s">
        <v>716</v>
      </c>
      <c r="B2679" s="88">
        <v>152</v>
      </c>
      <c r="C2679" s="88">
        <v>47</v>
      </c>
      <c r="D2679" s="88" t="s">
        <v>236</v>
      </c>
      <c r="E2679" s="88"/>
      <c r="F2679" s="88" t="s">
        <v>530</v>
      </c>
      <c r="G2679" s="88" t="s">
        <v>1502</v>
      </c>
      <c r="H2679" s="88" t="s">
        <v>596</v>
      </c>
    </row>
    <row r="2680" spans="1:8" x14ac:dyDescent="0.3">
      <c r="A2680" s="88" t="s">
        <v>716</v>
      </c>
      <c r="B2680" s="88">
        <v>153</v>
      </c>
      <c r="C2680" s="88">
        <v>47</v>
      </c>
      <c r="D2680" s="88" t="s">
        <v>237</v>
      </c>
      <c r="E2680" s="88"/>
      <c r="F2680" s="88" t="s">
        <v>532</v>
      </c>
      <c r="G2680" s="88" t="s">
        <v>1502</v>
      </c>
      <c r="H2680" s="88" t="s">
        <v>596</v>
      </c>
    </row>
    <row r="2681" spans="1:8" x14ac:dyDescent="0.3">
      <c r="A2681" s="88" t="s">
        <v>716</v>
      </c>
      <c r="B2681" s="88">
        <v>154</v>
      </c>
      <c r="C2681" s="88">
        <v>47</v>
      </c>
      <c r="D2681" s="88" t="s">
        <v>238</v>
      </c>
      <c r="E2681" s="88"/>
      <c r="F2681" s="88" t="s">
        <v>534</v>
      </c>
      <c r="G2681" s="88" t="s">
        <v>1502</v>
      </c>
      <c r="H2681" s="88" t="s">
        <v>596</v>
      </c>
    </row>
    <row r="2682" spans="1:8" x14ac:dyDescent="0.3">
      <c r="A2682" s="88" t="s">
        <v>716</v>
      </c>
      <c r="B2682" s="88">
        <v>155</v>
      </c>
      <c r="C2682" s="88">
        <v>47</v>
      </c>
      <c r="D2682" s="88" t="s">
        <v>239</v>
      </c>
      <c r="E2682" s="88"/>
      <c r="F2682" s="88" t="s">
        <v>535</v>
      </c>
      <c r="G2682" s="88" t="s">
        <v>1502</v>
      </c>
      <c r="H2682" s="88" t="s">
        <v>596</v>
      </c>
    </row>
    <row r="2683" spans="1:8" x14ac:dyDescent="0.3">
      <c r="A2683" s="88" t="s">
        <v>716</v>
      </c>
      <c r="B2683" s="88">
        <v>156</v>
      </c>
      <c r="C2683" s="88">
        <v>47</v>
      </c>
      <c r="D2683" s="88" t="s">
        <v>240</v>
      </c>
      <c r="E2683" s="88"/>
      <c r="F2683" s="88" t="s">
        <v>537</v>
      </c>
      <c r="G2683" s="88" t="s">
        <v>1502</v>
      </c>
      <c r="H2683" s="88" t="s">
        <v>596</v>
      </c>
    </row>
    <row r="2684" spans="1:8" x14ac:dyDescent="0.3">
      <c r="A2684" s="88" t="s">
        <v>716</v>
      </c>
      <c r="B2684" s="88">
        <v>157</v>
      </c>
      <c r="C2684" s="88">
        <v>47</v>
      </c>
      <c r="D2684" s="88" t="s">
        <v>241</v>
      </c>
      <c r="E2684" s="88"/>
      <c r="F2684" s="88" t="s">
        <v>539</v>
      </c>
      <c r="G2684" s="88" t="s">
        <v>1502</v>
      </c>
      <c r="H2684" s="88" t="s">
        <v>596</v>
      </c>
    </row>
    <row r="2685" spans="1:8" x14ac:dyDescent="0.3">
      <c r="A2685" s="88" t="s">
        <v>716</v>
      </c>
      <c r="B2685" s="88">
        <v>158</v>
      </c>
      <c r="C2685" s="88">
        <v>47</v>
      </c>
      <c r="D2685" s="88" t="s">
        <v>242</v>
      </c>
      <c r="E2685" s="88"/>
      <c r="F2685" s="88" t="s">
        <v>540</v>
      </c>
      <c r="G2685" s="88" t="s">
        <v>1502</v>
      </c>
      <c r="H2685" s="88" t="s">
        <v>596</v>
      </c>
    </row>
    <row r="2686" spans="1:8" x14ac:dyDescent="0.3">
      <c r="A2686" s="88" t="s">
        <v>716</v>
      </c>
      <c r="B2686" s="88">
        <v>159</v>
      </c>
      <c r="C2686" s="88">
        <v>47</v>
      </c>
      <c r="D2686" s="88" t="s">
        <v>243</v>
      </c>
      <c r="E2686" s="88"/>
      <c r="F2686" s="88" t="s">
        <v>541</v>
      </c>
      <c r="G2686" s="88" t="s">
        <v>1502</v>
      </c>
      <c r="H2686" s="88" t="s">
        <v>596</v>
      </c>
    </row>
    <row r="2687" spans="1:8" x14ac:dyDescent="0.3">
      <c r="A2687" s="88" t="s">
        <v>716</v>
      </c>
      <c r="B2687" s="88">
        <v>160</v>
      </c>
      <c r="C2687" s="88">
        <v>47</v>
      </c>
      <c r="D2687" s="88" t="s">
        <v>244</v>
      </c>
      <c r="E2687" s="88"/>
      <c r="F2687" s="88" t="s">
        <v>542</v>
      </c>
      <c r="G2687" s="88" t="s">
        <v>1502</v>
      </c>
      <c r="H2687" s="88" t="s">
        <v>596</v>
      </c>
    </row>
    <row r="2688" spans="1:8" x14ac:dyDescent="0.3">
      <c r="A2688" s="88" t="s">
        <v>716</v>
      </c>
      <c r="B2688" s="88">
        <v>161</v>
      </c>
      <c r="C2688" s="88">
        <v>47</v>
      </c>
      <c r="D2688" s="88" t="s">
        <v>245</v>
      </c>
      <c r="E2688" s="88"/>
      <c r="F2688" s="88" t="s">
        <v>543</v>
      </c>
      <c r="G2688" s="88" t="s">
        <v>1502</v>
      </c>
      <c r="H2688" s="88" t="s">
        <v>596</v>
      </c>
    </row>
    <row r="2689" spans="1:8" x14ac:dyDescent="0.3">
      <c r="A2689" s="88" t="s">
        <v>716</v>
      </c>
      <c r="B2689" s="88">
        <v>162</v>
      </c>
      <c r="C2689" s="88">
        <v>47</v>
      </c>
      <c r="D2689" s="88" t="s">
        <v>246</v>
      </c>
      <c r="E2689" s="88"/>
      <c r="F2689" s="88" t="s">
        <v>545</v>
      </c>
      <c r="G2689" s="88" t="s">
        <v>1502</v>
      </c>
      <c r="H2689" s="88" t="s">
        <v>596</v>
      </c>
    </row>
    <row r="2690" spans="1:8" x14ac:dyDescent="0.3">
      <c r="A2690" s="88" t="s">
        <v>716</v>
      </c>
      <c r="B2690" s="88">
        <v>163</v>
      </c>
      <c r="C2690" s="88">
        <v>47</v>
      </c>
      <c r="D2690" s="88" t="s">
        <v>247</v>
      </c>
      <c r="E2690" s="88"/>
      <c r="F2690" s="88" t="s">
        <v>547</v>
      </c>
      <c r="G2690" s="88" t="s">
        <v>1502</v>
      </c>
      <c r="H2690" s="88" t="s">
        <v>596</v>
      </c>
    </row>
    <row r="2691" spans="1:8" x14ac:dyDescent="0.3">
      <c r="A2691" s="88" t="s">
        <v>716</v>
      </c>
      <c r="B2691" s="88">
        <v>164</v>
      </c>
      <c r="C2691" s="88">
        <v>47</v>
      </c>
      <c r="D2691" s="88" t="s">
        <v>248</v>
      </c>
      <c r="E2691" s="88"/>
      <c r="F2691" s="88" t="s">
        <v>548</v>
      </c>
      <c r="G2691" s="88" t="s">
        <v>1502</v>
      </c>
      <c r="H2691" s="88" t="s">
        <v>596</v>
      </c>
    </row>
    <row r="2692" spans="1:8" x14ac:dyDescent="0.3">
      <c r="A2692" s="88" t="s">
        <v>716</v>
      </c>
      <c r="B2692" s="88">
        <v>165</v>
      </c>
      <c r="C2692" s="88">
        <v>47</v>
      </c>
      <c r="D2692" s="88" t="s">
        <v>249</v>
      </c>
      <c r="E2692" s="88"/>
      <c r="F2692" s="88" t="s">
        <v>550</v>
      </c>
      <c r="G2692" s="88" t="s">
        <v>1502</v>
      </c>
      <c r="H2692" s="88" t="s">
        <v>596</v>
      </c>
    </row>
    <row r="2693" spans="1:8" x14ac:dyDescent="0.3">
      <c r="A2693" s="88" t="s">
        <v>716</v>
      </c>
      <c r="B2693" s="88">
        <v>166</v>
      </c>
      <c r="C2693" s="88">
        <v>47</v>
      </c>
      <c r="D2693" s="88" t="s">
        <v>250</v>
      </c>
      <c r="E2693" s="88"/>
      <c r="F2693" s="88" t="s">
        <v>552</v>
      </c>
      <c r="G2693" s="88" t="s">
        <v>1502</v>
      </c>
      <c r="H2693" s="88" t="s">
        <v>596</v>
      </c>
    </row>
    <row r="2694" spans="1:8" x14ac:dyDescent="0.3">
      <c r="A2694" s="88" t="s">
        <v>716</v>
      </c>
      <c r="B2694" s="88">
        <v>167</v>
      </c>
      <c r="C2694" s="88">
        <v>47</v>
      </c>
      <c r="D2694" s="88" t="s">
        <v>251</v>
      </c>
      <c r="E2694" s="88"/>
      <c r="F2694" s="88" t="s">
        <v>554</v>
      </c>
      <c r="G2694" s="88" t="s">
        <v>1502</v>
      </c>
      <c r="H2694" s="88" t="s">
        <v>596</v>
      </c>
    </row>
    <row r="2695" spans="1:8" x14ac:dyDescent="0.3">
      <c r="A2695" s="88" t="s">
        <v>716</v>
      </c>
      <c r="B2695" s="88">
        <v>168</v>
      </c>
      <c r="C2695" s="88">
        <v>47</v>
      </c>
      <c r="D2695" s="88" t="s">
        <v>252</v>
      </c>
      <c r="E2695" s="88"/>
      <c r="F2695" s="88" t="s">
        <v>556</v>
      </c>
      <c r="G2695" s="88" t="s">
        <v>1502</v>
      </c>
      <c r="H2695" s="88" t="s">
        <v>596</v>
      </c>
    </row>
    <row r="2696" spans="1:8" x14ac:dyDescent="0.3">
      <c r="A2696" s="88" t="s">
        <v>716</v>
      </c>
      <c r="B2696" s="88">
        <v>169</v>
      </c>
      <c r="C2696" s="88">
        <v>47</v>
      </c>
      <c r="D2696" s="88" t="s">
        <v>253</v>
      </c>
      <c r="E2696" s="88"/>
      <c r="F2696" s="88" t="s">
        <v>557</v>
      </c>
      <c r="G2696" s="88" t="s">
        <v>1502</v>
      </c>
      <c r="H2696" s="88" t="s">
        <v>596</v>
      </c>
    </row>
    <row r="2697" spans="1:8" x14ac:dyDescent="0.3">
      <c r="A2697" s="88" t="s">
        <v>716</v>
      </c>
      <c r="B2697" s="88">
        <v>170</v>
      </c>
      <c r="C2697" s="88">
        <v>47</v>
      </c>
      <c r="D2697" s="88" t="s">
        <v>254</v>
      </c>
      <c r="E2697" s="88"/>
      <c r="F2697" s="88" t="s">
        <v>559</v>
      </c>
      <c r="G2697" s="88" t="s">
        <v>1502</v>
      </c>
      <c r="H2697" s="88" t="s">
        <v>596</v>
      </c>
    </row>
    <row r="2698" spans="1:8" x14ac:dyDescent="0.3">
      <c r="A2698" s="88" t="s">
        <v>716</v>
      </c>
      <c r="B2698" s="88">
        <v>171</v>
      </c>
      <c r="C2698" s="88">
        <v>47</v>
      </c>
      <c r="D2698" s="88" t="s">
        <v>255</v>
      </c>
      <c r="E2698" s="88"/>
      <c r="F2698" s="88" t="s">
        <v>560</v>
      </c>
      <c r="G2698" s="88" t="s">
        <v>1502</v>
      </c>
      <c r="H2698" s="88" t="s">
        <v>596</v>
      </c>
    </row>
    <row r="2699" spans="1:8" x14ac:dyDescent="0.3">
      <c r="A2699" s="88" t="s">
        <v>716</v>
      </c>
      <c r="B2699" s="88">
        <v>172</v>
      </c>
      <c r="C2699" s="88">
        <v>47</v>
      </c>
      <c r="D2699" s="88" t="s">
        <v>256</v>
      </c>
      <c r="E2699" s="88"/>
      <c r="F2699" s="88" t="s">
        <v>562</v>
      </c>
      <c r="G2699" s="88" t="s">
        <v>1502</v>
      </c>
      <c r="H2699" s="88" t="s">
        <v>596</v>
      </c>
    </row>
    <row r="2700" spans="1:8" x14ac:dyDescent="0.3">
      <c r="A2700" s="88" t="s">
        <v>716</v>
      </c>
      <c r="B2700" s="88">
        <v>173</v>
      </c>
      <c r="C2700" s="88">
        <v>47</v>
      </c>
      <c r="D2700" s="88" t="s">
        <v>257</v>
      </c>
      <c r="E2700" s="88"/>
      <c r="F2700" s="88" t="s">
        <v>563</v>
      </c>
      <c r="G2700" s="88" t="s">
        <v>1502</v>
      </c>
      <c r="H2700" s="88" t="s">
        <v>596</v>
      </c>
    </row>
    <row r="2701" spans="1:8" x14ac:dyDescent="0.3">
      <c r="A2701" s="88" t="s">
        <v>716</v>
      </c>
      <c r="B2701" s="88">
        <v>174</v>
      </c>
      <c r="C2701" s="88">
        <v>47</v>
      </c>
      <c r="D2701" s="88" t="s">
        <v>258</v>
      </c>
      <c r="E2701" s="88"/>
      <c r="F2701" s="88" t="s">
        <v>564</v>
      </c>
      <c r="G2701" s="88" t="s">
        <v>1502</v>
      </c>
      <c r="H2701" s="88" t="s">
        <v>596</v>
      </c>
    </row>
    <row r="2702" spans="1:8" x14ac:dyDescent="0.3">
      <c r="A2702" s="88" t="s">
        <v>716</v>
      </c>
      <c r="B2702" s="88">
        <v>175</v>
      </c>
      <c r="C2702" s="88">
        <v>47</v>
      </c>
      <c r="D2702" s="88" t="s">
        <v>259</v>
      </c>
      <c r="E2702" s="88"/>
      <c r="F2702" s="88" t="s">
        <v>565</v>
      </c>
      <c r="G2702" s="88" t="s">
        <v>1502</v>
      </c>
      <c r="H2702" s="88" t="s">
        <v>596</v>
      </c>
    </row>
    <row r="2703" spans="1:8" x14ac:dyDescent="0.3">
      <c r="A2703" s="88" t="s">
        <v>716</v>
      </c>
      <c r="B2703" s="88">
        <v>176</v>
      </c>
      <c r="C2703" s="88">
        <v>47</v>
      </c>
      <c r="D2703" s="88" t="s">
        <v>260</v>
      </c>
      <c r="E2703" s="88"/>
      <c r="F2703" s="88" t="s">
        <v>567</v>
      </c>
      <c r="G2703" s="88" t="s">
        <v>1502</v>
      </c>
      <c r="H2703" s="88" t="s">
        <v>596</v>
      </c>
    </row>
    <row r="2704" spans="1:8" x14ac:dyDescent="0.3">
      <c r="A2704" s="88" t="s">
        <v>716</v>
      </c>
      <c r="B2704" s="88">
        <v>177</v>
      </c>
      <c r="C2704" s="88">
        <v>47</v>
      </c>
      <c r="D2704" s="88" t="s">
        <v>261</v>
      </c>
      <c r="E2704" s="88"/>
      <c r="F2704" s="88" t="s">
        <v>569</v>
      </c>
      <c r="G2704" s="88" t="s">
        <v>1502</v>
      </c>
      <c r="H2704" s="88" t="s">
        <v>596</v>
      </c>
    </row>
    <row r="2705" spans="1:8" x14ac:dyDescent="0.3">
      <c r="A2705" s="88" t="s">
        <v>716</v>
      </c>
      <c r="B2705" s="88">
        <v>178</v>
      </c>
      <c r="C2705" s="88">
        <v>47</v>
      </c>
      <c r="D2705" s="88" t="s">
        <v>262</v>
      </c>
      <c r="E2705" s="88"/>
      <c r="F2705" s="88" t="s">
        <v>571</v>
      </c>
      <c r="G2705" s="88" t="s">
        <v>1502</v>
      </c>
      <c r="H2705" s="88" t="s">
        <v>596</v>
      </c>
    </row>
    <row r="2706" spans="1:8" x14ac:dyDescent="0.3">
      <c r="A2706" s="88" t="s">
        <v>716</v>
      </c>
      <c r="B2706" s="88">
        <v>179</v>
      </c>
      <c r="C2706" s="88">
        <v>47</v>
      </c>
      <c r="D2706" s="88" t="s">
        <v>263</v>
      </c>
      <c r="E2706" s="88"/>
      <c r="F2706" s="88" t="s">
        <v>572</v>
      </c>
      <c r="G2706" s="88" t="s">
        <v>1502</v>
      </c>
      <c r="H2706" s="88" t="s">
        <v>596</v>
      </c>
    </row>
    <row r="2707" spans="1:8" x14ac:dyDescent="0.3">
      <c r="A2707" s="88" t="s">
        <v>716</v>
      </c>
      <c r="B2707" s="88">
        <v>180</v>
      </c>
      <c r="C2707" s="88">
        <v>47</v>
      </c>
      <c r="D2707" s="88" t="s">
        <v>264</v>
      </c>
      <c r="E2707" s="88"/>
      <c r="F2707" s="88" t="s">
        <v>573</v>
      </c>
      <c r="G2707" s="88" t="s">
        <v>1502</v>
      </c>
      <c r="H2707" s="88" t="s">
        <v>596</v>
      </c>
    </row>
    <row r="2708" spans="1:8" x14ac:dyDescent="0.3">
      <c r="A2708" s="88" t="s">
        <v>716</v>
      </c>
      <c r="B2708" s="88">
        <v>181</v>
      </c>
      <c r="C2708" s="88">
        <v>47</v>
      </c>
      <c r="D2708" s="88" t="s">
        <v>265</v>
      </c>
      <c r="E2708" s="88"/>
      <c r="F2708" s="88" t="s">
        <v>574</v>
      </c>
      <c r="G2708" s="88" t="s">
        <v>1502</v>
      </c>
      <c r="H2708" s="88" t="s">
        <v>596</v>
      </c>
    </row>
    <row r="2709" spans="1:8" x14ac:dyDescent="0.3">
      <c r="A2709" s="88" t="s">
        <v>716</v>
      </c>
      <c r="B2709" s="88">
        <v>182</v>
      </c>
      <c r="C2709" s="88">
        <v>47</v>
      </c>
      <c r="D2709" s="88" t="s">
        <v>266</v>
      </c>
      <c r="E2709" s="88"/>
      <c r="F2709" s="88" t="s">
        <v>575</v>
      </c>
      <c r="G2709" s="88" t="s">
        <v>1502</v>
      </c>
      <c r="H2709" s="88" t="s">
        <v>596</v>
      </c>
    </row>
    <row r="2710" spans="1:8" x14ac:dyDescent="0.3">
      <c r="A2710" s="88" t="s">
        <v>716</v>
      </c>
      <c r="B2710" s="88">
        <v>183</v>
      </c>
      <c r="C2710" s="88">
        <v>47</v>
      </c>
      <c r="D2710" s="88" t="s">
        <v>267</v>
      </c>
      <c r="E2710" s="88"/>
      <c r="F2710" s="88" t="s">
        <v>576</v>
      </c>
      <c r="G2710" s="88" t="s">
        <v>1502</v>
      </c>
      <c r="H2710" s="88" t="s">
        <v>596</v>
      </c>
    </row>
    <row r="2711" spans="1:8" x14ac:dyDescent="0.3">
      <c r="A2711" s="88" t="s">
        <v>716</v>
      </c>
      <c r="B2711" s="88">
        <v>184</v>
      </c>
      <c r="C2711" s="88">
        <v>47</v>
      </c>
      <c r="D2711" s="88" t="s">
        <v>268</v>
      </c>
      <c r="E2711" s="88"/>
      <c r="F2711" s="88" t="s">
        <v>577</v>
      </c>
      <c r="G2711" s="88" t="s">
        <v>1502</v>
      </c>
      <c r="H2711" s="88" t="s">
        <v>596</v>
      </c>
    </row>
    <row r="2712" spans="1:8" x14ac:dyDescent="0.3">
      <c r="A2712" s="88" t="s">
        <v>716</v>
      </c>
      <c r="B2712" s="88">
        <v>185</v>
      </c>
      <c r="C2712" s="88">
        <v>47</v>
      </c>
      <c r="D2712" s="88" t="s">
        <v>269</v>
      </c>
      <c r="E2712" s="88"/>
      <c r="F2712" s="88" t="s">
        <v>578</v>
      </c>
      <c r="G2712" s="88" t="s">
        <v>1502</v>
      </c>
      <c r="H2712" s="88" t="s">
        <v>596</v>
      </c>
    </row>
    <row r="2713" spans="1:8" x14ac:dyDescent="0.3">
      <c r="A2713" s="88" t="s">
        <v>716</v>
      </c>
      <c r="B2713" s="88">
        <v>186</v>
      </c>
      <c r="C2713" s="88">
        <v>47</v>
      </c>
      <c r="D2713" s="88" t="s">
        <v>270</v>
      </c>
      <c r="E2713" s="88"/>
      <c r="F2713" s="88" t="s">
        <v>579</v>
      </c>
      <c r="G2713" s="88" t="s">
        <v>1502</v>
      </c>
      <c r="H2713" s="88" t="s">
        <v>596</v>
      </c>
    </row>
    <row r="2714" spans="1:8" x14ac:dyDescent="0.3">
      <c r="A2714" s="88" t="s">
        <v>716</v>
      </c>
      <c r="B2714" s="88">
        <v>187</v>
      </c>
      <c r="C2714" s="88">
        <v>47</v>
      </c>
      <c r="D2714" s="88" t="s">
        <v>271</v>
      </c>
      <c r="E2714" s="88"/>
      <c r="F2714" s="88" t="s">
        <v>581</v>
      </c>
      <c r="G2714" s="88" t="s">
        <v>1502</v>
      </c>
      <c r="H2714" s="88" t="s">
        <v>596</v>
      </c>
    </row>
    <row r="2715" spans="1:8" x14ac:dyDescent="0.3">
      <c r="A2715" s="88" t="s">
        <v>716</v>
      </c>
      <c r="B2715" s="88">
        <v>188</v>
      </c>
      <c r="C2715" s="88">
        <v>47</v>
      </c>
      <c r="D2715" s="88" t="s">
        <v>272</v>
      </c>
      <c r="E2715" s="88"/>
      <c r="F2715" s="88" t="s">
        <v>583</v>
      </c>
      <c r="G2715" s="88" t="s">
        <v>1502</v>
      </c>
      <c r="H2715" s="88" t="s">
        <v>596</v>
      </c>
    </row>
    <row r="2716" spans="1:8" x14ac:dyDescent="0.3">
      <c r="A2716" s="88" t="s">
        <v>716</v>
      </c>
      <c r="B2716" s="88">
        <v>189</v>
      </c>
      <c r="C2716" s="88">
        <v>47</v>
      </c>
      <c r="D2716" s="88"/>
      <c r="E2716" s="88"/>
      <c r="F2716" s="88"/>
      <c r="G2716" s="88" t="s">
        <v>1502</v>
      </c>
      <c r="H2716" s="88" t="s">
        <v>596</v>
      </c>
    </row>
    <row r="2717" spans="1:8" ht="28.8" x14ac:dyDescent="0.3">
      <c r="A2717" s="88" t="s">
        <v>592</v>
      </c>
      <c r="B2717" s="88">
        <v>2</v>
      </c>
      <c r="C2717" s="88">
        <v>15</v>
      </c>
      <c r="D2717" s="88" t="s">
        <v>89</v>
      </c>
      <c r="E2717" s="88" t="s">
        <v>1919</v>
      </c>
      <c r="F2717" s="88" t="s">
        <v>1920</v>
      </c>
      <c r="G2717" s="88" t="s">
        <v>1921</v>
      </c>
      <c r="H2717" s="88" t="s">
        <v>596</v>
      </c>
    </row>
    <row r="2718" spans="1:8" ht="28.8" x14ac:dyDescent="0.3">
      <c r="A2718" s="88" t="s">
        <v>592</v>
      </c>
      <c r="B2718" s="88">
        <v>2</v>
      </c>
      <c r="C2718" s="88">
        <v>16</v>
      </c>
      <c r="D2718" s="88" t="s">
        <v>89</v>
      </c>
      <c r="E2718" s="88" t="s">
        <v>1922</v>
      </c>
      <c r="F2718" s="88" t="s">
        <v>1923</v>
      </c>
      <c r="G2718" s="88" t="s">
        <v>1924</v>
      </c>
      <c r="H2718" s="88" t="s">
        <v>596</v>
      </c>
    </row>
    <row r="2719" spans="1:8" ht="28.8" x14ac:dyDescent="0.3">
      <c r="A2719" s="88" t="s">
        <v>592</v>
      </c>
      <c r="B2719" s="88">
        <v>3</v>
      </c>
      <c r="C2719" s="88">
        <v>15</v>
      </c>
      <c r="D2719" s="88" t="s">
        <v>90</v>
      </c>
      <c r="E2719" s="88" t="s">
        <v>1925</v>
      </c>
      <c r="F2719" s="88" t="s">
        <v>1926</v>
      </c>
      <c r="G2719" s="88" t="s">
        <v>1921</v>
      </c>
      <c r="H2719" s="88" t="s">
        <v>596</v>
      </c>
    </row>
    <row r="2720" spans="1:8" ht="28.8" x14ac:dyDescent="0.3">
      <c r="A2720" s="88" t="s">
        <v>592</v>
      </c>
      <c r="B2720" s="88">
        <v>3</v>
      </c>
      <c r="C2720" s="88">
        <v>16</v>
      </c>
      <c r="D2720" s="88" t="s">
        <v>90</v>
      </c>
      <c r="E2720" s="88" t="s">
        <v>1927</v>
      </c>
      <c r="F2720" s="88" t="s">
        <v>1928</v>
      </c>
      <c r="G2720" s="88" t="s">
        <v>1924</v>
      </c>
      <c r="H2720" s="88" t="s">
        <v>596</v>
      </c>
    </row>
    <row r="2721" spans="1:8" ht="28.8" x14ac:dyDescent="0.3">
      <c r="A2721" s="88" t="s">
        <v>592</v>
      </c>
      <c r="B2721" s="88">
        <v>4</v>
      </c>
      <c r="C2721" s="88">
        <v>15</v>
      </c>
      <c r="D2721" s="88" t="s">
        <v>345</v>
      </c>
      <c r="E2721" s="88" t="s">
        <v>1929</v>
      </c>
      <c r="F2721" s="88" t="s">
        <v>1930</v>
      </c>
      <c r="G2721" s="88" t="s">
        <v>1921</v>
      </c>
      <c r="H2721" s="88" t="s">
        <v>596</v>
      </c>
    </row>
    <row r="2722" spans="1:8" ht="28.8" x14ac:dyDescent="0.3">
      <c r="A2722" s="88" t="s">
        <v>592</v>
      </c>
      <c r="B2722" s="88">
        <v>4</v>
      </c>
      <c r="C2722" s="88">
        <v>16</v>
      </c>
      <c r="D2722" s="88" t="s">
        <v>345</v>
      </c>
      <c r="E2722" s="88" t="s">
        <v>1931</v>
      </c>
      <c r="F2722" s="88" t="s">
        <v>1932</v>
      </c>
      <c r="G2722" s="88" t="s">
        <v>1924</v>
      </c>
      <c r="H2722" s="88" t="s">
        <v>596</v>
      </c>
    </row>
    <row r="2723" spans="1:8" ht="28.8" x14ac:dyDescent="0.3">
      <c r="A2723" s="88" t="s">
        <v>592</v>
      </c>
      <c r="B2723" s="88">
        <v>5</v>
      </c>
      <c r="C2723" s="88">
        <v>15</v>
      </c>
      <c r="D2723" s="88" t="s">
        <v>92</v>
      </c>
      <c r="E2723" s="88" t="s">
        <v>1933</v>
      </c>
      <c r="F2723" s="88" t="s">
        <v>1934</v>
      </c>
      <c r="G2723" s="88" t="s">
        <v>1921</v>
      </c>
      <c r="H2723" s="88" t="s">
        <v>596</v>
      </c>
    </row>
    <row r="2724" spans="1:8" ht="28.8" x14ac:dyDescent="0.3">
      <c r="A2724" s="88" t="s">
        <v>592</v>
      </c>
      <c r="B2724" s="88">
        <v>5</v>
      </c>
      <c r="C2724" s="88">
        <v>16</v>
      </c>
      <c r="D2724" s="88" t="s">
        <v>92</v>
      </c>
      <c r="E2724" s="88" t="s">
        <v>1935</v>
      </c>
      <c r="F2724" s="88" t="s">
        <v>1936</v>
      </c>
      <c r="G2724" s="88" t="s">
        <v>1924</v>
      </c>
      <c r="H2724" s="88" t="s">
        <v>596</v>
      </c>
    </row>
    <row r="2725" spans="1:8" ht="28.8" x14ac:dyDescent="0.3">
      <c r="A2725" s="88" t="s">
        <v>592</v>
      </c>
      <c r="B2725" s="88">
        <v>6</v>
      </c>
      <c r="C2725" s="88">
        <v>15</v>
      </c>
      <c r="D2725" s="88" t="s">
        <v>93</v>
      </c>
      <c r="E2725" s="88" t="s">
        <v>1937</v>
      </c>
      <c r="F2725" s="88" t="s">
        <v>1938</v>
      </c>
      <c r="G2725" s="88" t="s">
        <v>1921</v>
      </c>
      <c r="H2725" s="88" t="s">
        <v>596</v>
      </c>
    </row>
    <row r="2726" spans="1:8" ht="28.8" x14ac:dyDescent="0.3">
      <c r="A2726" s="88" t="s">
        <v>592</v>
      </c>
      <c r="B2726" s="88">
        <v>6</v>
      </c>
      <c r="C2726" s="88">
        <v>16</v>
      </c>
      <c r="D2726" s="88" t="s">
        <v>93</v>
      </c>
      <c r="E2726" s="88" t="s">
        <v>1939</v>
      </c>
      <c r="F2726" s="88" t="s">
        <v>1940</v>
      </c>
      <c r="G2726" s="88" t="s">
        <v>1924</v>
      </c>
      <c r="H2726" s="88" t="s">
        <v>596</v>
      </c>
    </row>
    <row r="2727" spans="1:8" ht="28.8" x14ac:dyDescent="0.3">
      <c r="A2727" s="88" t="s">
        <v>592</v>
      </c>
      <c r="B2727" s="88">
        <v>7</v>
      </c>
      <c r="C2727" s="88">
        <v>15</v>
      </c>
      <c r="D2727" s="88" t="s">
        <v>349</v>
      </c>
      <c r="E2727" s="88" t="s">
        <v>1941</v>
      </c>
      <c r="F2727" s="88" t="s">
        <v>1942</v>
      </c>
      <c r="G2727" s="88" t="s">
        <v>1921</v>
      </c>
      <c r="H2727" s="88" t="s">
        <v>596</v>
      </c>
    </row>
    <row r="2728" spans="1:8" ht="28.8" x14ac:dyDescent="0.3">
      <c r="A2728" s="88" t="s">
        <v>592</v>
      </c>
      <c r="B2728" s="88">
        <v>7</v>
      </c>
      <c r="C2728" s="88">
        <v>16</v>
      </c>
      <c r="D2728" s="88" t="s">
        <v>349</v>
      </c>
      <c r="E2728" s="88" t="s">
        <v>1943</v>
      </c>
      <c r="F2728" s="88" t="s">
        <v>1944</v>
      </c>
      <c r="G2728" s="88" t="s">
        <v>1924</v>
      </c>
      <c r="H2728" s="88" t="s">
        <v>596</v>
      </c>
    </row>
    <row r="2729" spans="1:8" ht="28.8" x14ac:dyDescent="0.3">
      <c r="A2729" s="88" t="s">
        <v>592</v>
      </c>
      <c r="B2729" s="88">
        <v>8</v>
      </c>
      <c r="C2729" s="88">
        <v>15</v>
      </c>
      <c r="D2729" s="88" t="s">
        <v>95</v>
      </c>
      <c r="E2729" s="88" t="s">
        <v>1945</v>
      </c>
      <c r="F2729" s="88" t="s">
        <v>1946</v>
      </c>
      <c r="G2729" s="88" t="s">
        <v>1921</v>
      </c>
      <c r="H2729" s="88" t="s">
        <v>596</v>
      </c>
    </row>
    <row r="2730" spans="1:8" ht="28.8" x14ac:dyDescent="0.3">
      <c r="A2730" s="88" t="s">
        <v>592</v>
      </c>
      <c r="B2730" s="88">
        <v>8</v>
      </c>
      <c r="C2730" s="88">
        <v>16</v>
      </c>
      <c r="D2730" s="88" t="s">
        <v>95</v>
      </c>
      <c r="E2730" s="88" t="s">
        <v>1947</v>
      </c>
      <c r="F2730" s="88" t="s">
        <v>1948</v>
      </c>
      <c r="G2730" s="88" t="s">
        <v>1924</v>
      </c>
      <c r="H2730" s="88" t="s">
        <v>596</v>
      </c>
    </row>
    <row r="2731" spans="1:8" ht="28.8" x14ac:dyDescent="0.3">
      <c r="A2731" s="88" t="s">
        <v>592</v>
      </c>
      <c r="B2731" s="88">
        <v>9</v>
      </c>
      <c r="C2731" s="88">
        <v>15</v>
      </c>
      <c r="D2731" s="88" t="s">
        <v>96</v>
      </c>
      <c r="E2731" s="88" t="s">
        <v>1949</v>
      </c>
      <c r="F2731" s="88" t="s">
        <v>1950</v>
      </c>
      <c r="G2731" s="88" t="s">
        <v>1921</v>
      </c>
      <c r="H2731" s="88" t="s">
        <v>596</v>
      </c>
    </row>
    <row r="2732" spans="1:8" ht="28.8" x14ac:dyDescent="0.3">
      <c r="A2732" s="88" t="s">
        <v>592</v>
      </c>
      <c r="B2732" s="88">
        <v>9</v>
      </c>
      <c r="C2732" s="88">
        <v>16</v>
      </c>
      <c r="D2732" s="88" t="s">
        <v>96</v>
      </c>
      <c r="E2732" s="88" t="s">
        <v>1951</v>
      </c>
      <c r="F2732" s="88" t="s">
        <v>1952</v>
      </c>
      <c r="G2732" s="88" t="s">
        <v>1924</v>
      </c>
      <c r="H2732" s="88" t="s">
        <v>596</v>
      </c>
    </row>
    <row r="2733" spans="1:8" ht="28.8" x14ac:dyDescent="0.3">
      <c r="A2733" s="88" t="s">
        <v>592</v>
      </c>
      <c r="B2733" s="88">
        <v>10</v>
      </c>
      <c r="C2733" s="88">
        <v>15</v>
      </c>
      <c r="D2733" s="88" t="s">
        <v>97</v>
      </c>
      <c r="E2733" s="88" t="s">
        <v>1953</v>
      </c>
      <c r="F2733" s="88" t="s">
        <v>1954</v>
      </c>
      <c r="G2733" s="88" t="s">
        <v>1921</v>
      </c>
      <c r="H2733" s="88" t="s">
        <v>596</v>
      </c>
    </row>
    <row r="2734" spans="1:8" ht="28.8" x14ac:dyDescent="0.3">
      <c r="A2734" s="88" t="s">
        <v>592</v>
      </c>
      <c r="B2734" s="88">
        <v>10</v>
      </c>
      <c r="C2734" s="88">
        <v>16</v>
      </c>
      <c r="D2734" s="88" t="s">
        <v>97</v>
      </c>
      <c r="E2734" s="88" t="s">
        <v>1955</v>
      </c>
      <c r="F2734" s="88" t="s">
        <v>1956</v>
      </c>
      <c r="G2734" s="88" t="s">
        <v>1924</v>
      </c>
      <c r="H2734" s="88" t="s">
        <v>596</v>
      </c>
    </row>
    <row r="2735" spans="1:8" ht="28.8" x14ac:dyDescent="0.3">
      <c r="A2735" s="88" t="s">
        <v>592</v>
      </c>
      <c r="B2735" s="88">
        <v>11</v>
      </c>
      <c r="C2735" s="88">
        <v>15</v>
      </c>
      <c r="D2735" s="88" t="s">
        <v>98</v>
      </c>
      <c r="E2735" s="88" t="s">
        <v>1957</v>
      </c>
      <c r="F2735" s="88" t="s">
        <v>1958</v>
      </c>
      <c r="G2735" s="88" t="s">
        <v>1921</v>
      </c>
      <c r="H2735" s="88" t="s">
        <v>596</v>
      </c>
    </row>
    <row r="2736" spans="1:8" ht="28.8" x14ac:dyDescent="0.3">
      <c r="A2736" s="88" t="s">
        <v>592</v>
      </c>
      <c r="B2736" s="88">
        <v>11</v>
      </c>
      <c r="C2736" s="88">
        <v>16</v>
      </c>
      <c r="D2736" s="88" t="s">
        <v>98</v>
      </c>
      <c r="E2736" s="88" t="s">
        <v>1959</v>
      </c>
      <c r="F2736" s="88" t="s">
        <v>1960</v>
      </c>
      <c r="G2736" s="88" t="s">
        <v>1924</v>
      </c>
      <c r="H2736" s="88" t="s">
        <v>596</v>
      </c>
    </row>
    <row r="2737" spans="1:8" ht="28.8" x14ac:dyDescent="0.3">
      <c r="A2737" s="88" t="s">
        <v>592</v>
      </c>
      <c r="B2737" s="88">
        <v>12</v>
      </c>
      <c r="C2737" s="88">
        <v>15</v>
      </c>
      <c r="D2737" s="88" t="s">
        <v>355</v>
      </c>
      <c r="E2737" s="88" t="s">
        <v>1961</v>
      </c>
      <c r="F2737" s="88" t="s">
        <v>1962</v>
      </c>
      <c r="G2737" s="88" t="s">
        <v>1921</v>
      </c>
      <c r="H2737" s="88" t="s">
        <v>596</v>
      </c>
    </row>
    <row r="2738" spans="1:8" ht="28.8" x14ac:dyDescent="0.3">
      <c r="A2738" s="88" t="s">
        <v>592</v>
      </c>
      <c r="B2738" s="88">
        <v>12</v>
      </c>
      <c r="C2738" s="88">
        <v>16</v>
      </c>
      <c r="D2738" s="88" t="s">
        <v>355</v>
      </c>
      <c r="E2738" s="88" t="s">
        <v>1963</v>
      </c>
      <c r="F2738" s="88" t="s">
        <v>1964</v>
      </c>
      <c r="G2738" s="88" t="s">
        <v>1924</v>
      </c>
      <c r="H2738" s="88" t="s">
        <v>596</v>
      </c>
    </row>
    <row r="2739" spans="1:8" ht="28.8" x14ac:dyDescent="0.3">
      <c r="A2739" s="88" t="s">
        <v>592</v>
      </c>
      <c r="B2739" s="88">
        <v>13</v>
      </c>
      <c r="C2739" s="88">
        <v>15</v>
      </c>
      <c r="D2739" s="88" t="s">
        <v>100</v>
      </c>
      <c r="E2739" s="88" t="s">
        <v>1965</v>
      </c>
      <c r="F2739" s="88" t="s">
        <v>1966</v>
      </c>
      <c r="G2739" s="88" t="s">
        <v>1921</v>
      </c>
      <c r="H2739" s="88" t="s">
        <v>596</v>
      </c>
    </row>
    <row r="2740" spans="1:8" ht="28.8" x14ac:dyDescent="0.3">
      <c r="A2740" s="88" t="s">
        <v>592</v>
      </c>
      <c r="B2740" s="88">
        <v>13</v>
      </c>
      <c r="C2740" s="88">
        <v>16</v>
      </c>
      <c r="D2740" s="88" t="s">
        <v>100</v>
      </c>
      <c r="E2740" s="88" t="s">
        <v>1967</v>
      </c>
      <c r="F2740" s="88" t="s">
        <v>1968</v>
      </c>
      <c r="G2740" s="88" t="s">
        <v>1924</v>
      </c>
      <c r="H2740" s="88" t="s">
        <v>596</v>
      </c>
    </row>
    <row r="2741" spans="1:8" ht="28.8" x14ac:dyDescent="0.3">
      <c r="A2741" s="88" t="s">
        <v>592</v>
      </c>
      <c r="B2741" s="88">
        <v>14</v>
      </c>
      <c r="C2741" s="88">
        <v>15</v>
      </c>
      <c r="D2741" s="88" t="s">
        <v>101</v>
      </c>
      <c r="E2741" s="88" t="s">
        <v>1969</v>
      </c>
      <c r="F2741" s="88" t="s">
        <v>1970</v>
      </c>
      <c r="G2741" s="88" t="s">
        <v>1921</v>
      </c>
      <c r="H2741" s="88" t="s">
        <v>596</v>
      </c>
    </row>
    <row r="2742" spans="1:8" ht="28.8" x14ac:dyDescent="0.3">
      <c r="A2742" s="88" t="s">
        <v>592</v>
      </c>
      <c r="B2742" s="88">
        <v>14</v>
      </c>
      <c r="C2742" s="88">
        <v>16</v>
      </c>
      <c r="D2742" s="88" t="s">
        <v>101</v>
      </c>
      <c r="E2742" s="88" t="s">
        <v>1971</v>
      </c>
      <c r="F2742" s="88" t="s">
        <v>1972</v>
      </c>
      <c r="G2742" s="88" t="s">
        <v>1924</v>
      </c>
      <c r="H2742" s="88" t="s">
        <v>596</v>
      </c>
    </row>
    <row r="2743" spans="1:8" ht="28.8" x14ac:dyDescent="0.3">
      <c r="A2743" s="88" t="s">
        <v>592</v>
      </c>
      <c r="B2743" s="88">
        <v>15</v>
      </c>
      <c r="C2743" s="88">
        <v>15</v>
      </c>
      <c r="D2743" s="88" t="s">
        <v>102</v>
      </c>
      <c r="E2743" s="88" t="s">
        <v>1973</v>
      </c>
      <c r="F2743" s="88" t="s">
        <v>1974</v>
      </c>
      <c r="G2743" s="88" t="s">
        <v>1921</v>
      </c>
      <c r="H2743" s="88" t="s">
        <v>596</v>
      </c>
    </row>
    <row r="2744" spans="1:8" ht="28.8" x14ac:dyDescent="0.3">
      <c r="A2744" s="88" t="s">
        <v>592</v>
      </c>
      <c r="B2744" s="88">
        <v>15</v>
      </c>
      <c r="C2744" s="88">
        <v>16</v>
      </c>
      <c r="D2744" s="88" t="s">
        <v>102</v>
      </c>
      <c r="E2744" s="88" t="s">
        <v>1975</v>
      </c>
      <c r="F2744" s="88" t="s">
        <v>1976</v>
      </c>
      <c r="G2744" s="88" t="s">
        <v>1924</v>
      </c>
      <c r="H2744" s="88" t="s">
        <v>596</v>
      </c>
    </row>
    <row r="2745" spans="1:8" ht="28.8" x14ac:dyDescent="0.3">
      <c r="A2745" s="88" t="s">
        <v>592</v>
      </c>
      <c r="B2745" s="88">
        <v>16</v>
      </c>
      <c r="C2745" s="88">
        <v>15</v>
      </c>
      <c r="D2745" s="88" t="s">
        <v>360</v>
      </c>
      <c r="E2745" s="88" t="s">
        <v>1977</v>
      </c>
      <c r="F2745" s="88" t="s">
        <v>1978</v>
      </c>
      <c r="G2745" s="88" t="s">
        <v>1921</v>
      </c>
      <c r="H2745" s="88" t="s">
        <v>596</v>
      </c>
    </row>
    <row r="2746" spans="1:8" ht="28.8" x14ac:dyDescent="0.3">
      <c r="A2746" s="88" t="s">
        <v>592</v>
      </c>
      <c r="B2746" s="88">
        <v>16</v>
      </c>
      <c r="C2746" s="88">
        <v>16</v>
      </c>
      <c r="D2746" s="88" t="s">
        <v>360</v>
      </c>
      <c r="E2746" s="88" t="s">
        <v>1979</v>
      </c>
      <c r="F2746" s="88" t="s">
        <v>1980</v>
      </c>
      <c r="G2746" s="88" t="s">
        <v>1924</v>
      </c>
      <c r="H2746" s="88" t="s">
        <v>596</v>
      </c>
    </row>
    <row r="2747" spans="1:8" ht="28.8" x14ac:dyDescent="0.3">
      <c r="A2747" s="88" t="s">
        <v>592</v>
      </c>
      <c r="B2747" s="88">
        <v>17</v>
      </c>
      <c r="C2747" s="88">
        <v>15</v>
      </c>
      <c r="D2747" s="88" t="s">
        <v>104</v>
      </c>
      <c r="E2747" s="88" t="s">
        <v>1981</v>
      </c>
      <c r="F2747" s="88" t="s">
        <v>1982</v>
      </c>
      <c r="G2747" s="88" t="s">
        <v>1921</v>
      </c>
      <c r="H2747" s="88" t="s">
        <v>596</v>
      </c>
    </row>
    <row r="2748" spans="1:8" ht="28.8" x14ac:dyDescent="0.3">
      <c r="A2748" s="88" t="s">
        <v>592</v>
      </c>
      <c r="B2748" s="88">
        <v>17</v>
      </c>
      <c r="C2748" s="88">
        <v>16</v>
      </c>
      <c r="D2748" s="88" t="s">
        <v>104</v>
      </c>
      <c r="E2748" s="88" t="s">
        <v>1983</v>
      </c>
      <c r="F2748" s="88" t="s">
        <v>1984</v>
      </c>
      <c r="G2748" s="88" t="s">
        <v>1924</v>
      </c>
      <c r="H2748" s="88" t="s">
        <v>596</v>
      </c>
    </row>
    <row r="2749" spans="1:8" ht="28.8" x14ac:dyDescent="0.3">
      <c r="A2749" s="88" t="s">
        <v>592</v>
      </c>
      <c r="B2749" s="88">
        <v>18</v>
      </c>
      <c r="C2749" s="88">
        <v>15</v>
      </c>
      <c r="D2749" s="88" t="s">
        <v>105</v>
      </c>
      <c r="E2749" s="88" t="s">
        <v>1985</v>
      </c>
      <c r="F2749" s="88" t="s">
        <v>1986</v>
      </c>
      <c r="G2749" s="88" t="s">
        <v>1921</v>
      </c>
      <c r="H2749" s="88" t="s">
        <v>596</v>
      </c>
    </row>
    <row r="2750" spans="1:8" ht="28.8" x14ac:dyDescent="0.3">
      <c r="A2750" s="88" t="s">
        <v>592</v>
      </c>
      <c r="B2750" s="88">
        <v>18</v>
      </c>
      <c r="C2750" s="88">
        <v>16</v>
      </c>
      <c r="D2750" s="88" t="s">
        <v>105</v>
      </c>
      <c r="E2750" s="88" t="s">
        <v>1987</v>
      </c>
      <c r="F2750" s="88" t="s">
        <v>1988</v>
      </c>
      <c r="G2750" s="88" t="s">
        <v>1924</v>
      </c>
      <c r="H2750" s="88" t="s">
        <v>596</v>
      </c>
    </row>
    <row r="2751" spans="1:8" ht="28.8" x14ac:dyDescent="0.3">
      <c r="A2751" s="88" t="s">
        <v>592</v>
      </c>
      <c r="B2751" s="88">
        <v>19</v>
      </c>
      <c r="C2751" s="88">
        <v>15</v>
      </c>
      <c r="D2751" s="88" t="s">
        <v>106</v>
      </c>
      <c r="E2751" s="88" t="s">
        <v>1989</v>
      </c>
      <c r="F2751" s="88" t="s">
        <v>1990</v>
      </c>
      <c r="G2751" s="88" t="s">
        <v>1921</v>
      </c>
      <c r="H2751" s="88" t="s">
        <v>596</v>
      </c>
    </row>
    <row r="2752" spans="1:8" ht="28.8" x14ac:dyDescent="0.3">
      <c r="A2752" s="88" t="s">
        <v>592</v>
      </c>
      <c r="B2752" s="88">
        <v>19</v>
      </c>
      <c r="C2752" s="88">
        <v>16</v>
      </c>
      <c r="D2752" s="88" t="s">
        <v>106</v>
      </c>
      <c r="E2752" s="88" t="s">
        <v>1991</v>
      </c>
      <c r="F2752" s="88" t="s">
        <v>1992</v>
      </c>
      <c r="G2752" s="88" t="s">
        <v>1924</v>
      </c>
      <c r="H2752" s="88" t="s">
        <v>596</v>
      </c>
    </row>
    <row r="2753" spans="1:8" ht="28.8" x14ac:dyDescent="0.3">
      <c r="A2753" s="88" t="s">
        <v>592</v>
      </c>
      <c r="B2753" s="88">
        <v>20</v>
      </c>
      <c r="C2753" s="88">
        <v>15</v>
      </c>
      <c r="D2753" s="88" t="s">
        <v>365</v>
      </c>
      <c r="E2753" s="88" t="s">
        <v>1993</v>
      </c>
      <c r="F2753" s="88" t="s">
        <v>1994</v>
      </c>
      <c r="G2753" s="88" t="s">
        <v>1921</v>
      </c>
      <c r="H2753" s="88" t="s">
        <v>596</v>
      </c>
    </row>
    <row r="2754" spans="1:8" ht="28.8" x14ac:dyDescent="0.3">
      <c r="A2754" s="88" t="s">
        <v>592</v>
      </c>
      <c r="B2754" s="88">
        <v>20</v>
      </c>
      <c r="C2754" s="88">
        <v>16</v>
      </c>
      <c r="D2754" s="88" t="s">
        <v>365</v>
      </c>
      <c r="E2754" s="88" t="s">
        <v>1995</v>
      </c>
      <c r="F2754" s="88" t="s">
        <v>1996</v>
      </c>
      <c r="G2754" s="88" t="s">
        <v>1924</v>
      </c>
      <c r="H2754" s="88" t="s">
        <v>596</v>
      </c>
    </row>
    <row r="2755" spans="1:8" ht="28.8" x14ac:dyDescent="0.3">
      <c r="A2755" s="88" t="s">
        <v>592</v>
      </c>
      <c r="B2755" s="88">
        <v>21</v>
      </c>
      <c r="C2755" s="88">
        <v>15</v>
      </c>
      <c r="D2755" s="88" t="s">
        <v>108</v>
      </c>
      <c r="E2755" s="88" t="s">
        <v>1997</v>
      </c>
      <c r="F2755" s="88" t="s">
        <v>1998</v>
      </c>
      <c r="G2755" s="88" t="s">
        <v>1921</v>
      </c>
      <c r="H2755" s="88" t="s">
        <v>596</v>
      </c>
    </row>
    <row r="2756" spans="1:8" ht="28.8" x14ac:dyDescent="0.3">
      <c r="A2756" s="88" t="s">
        <v>592</v>
      </c>
      <c r="B2756" s="88">
        <v>21</v>
      </c>
      <c r="C2756" s="88">
        <v>16</v>
      </c>
      <c r="D2756" s="88" t="s">
        <v>108</v>
      </c>
      <c r="E2756" s="88" t="s">
        <v>1999</v>
      </c>
      <c r="F2756" s="88" t="s">
        <v>2000</v>
      </c>
      <c r="G2756" s="88" t="s">
        <v>1924</v>
      </c>
      <c r="H2756" s="88" t="s">
        <v>596</v>
      </c>
    </row>
    <row r="2757" spans="1:8" ht="28.8" x14ac:dyDescent="0.3">
      <c r="A2757" s="88" t="s">
        <v>592</v>
      </c>
      <c r="B2757" s="88">
        <v>22</v>
      </c>
      <c r="C2757" s="88">
        <v>15</v>
      </c>
      <c r="D2757" s="88" t="s">
        <v>109</v>
      </c>
      <c r="E2757" s="88" t="s">
        <v>2001</v>
      </c>
      <c r="F2757" s="88" t="s">
        <v>2002</v>
      </c>
      <c r="G2757" s="88" t="s">
        <v>1921</v>
      </c>
      <c r="H2757" s="88" t="s">
        <v>596</v>
      </c>
    </row>
    <row r="2758" spans="1:8" ht="28.8" x14ac:dyDescent="0.3">
      <c r="A2758" s="88" t="s">
        <v>592</v>
      </c>
      <c r="B2758" s="88">
        <v>22</v>
      </c>
      <c r="C2758" s="88">
        <v>16</v>
      </c>
      <c r="D2758" s="88" t="s">
        <v>109</v>
      </c>
      <c r="E2758" s="88" t="s">
        <v>2003</v>
      </c>
      <c r="F2758" s="88" t="s">
        <v>2004</v>
      </c>
      <c r="G2758" s="88" t="s">
        <v>1924</v>
      </c>
      <c r="H2758" s="88" t="s">
        <v>596</v>
      </c>
    </row>
    <row r="2759" spans="1:8" ht="28.8" x14ac:dyDescent="0.3">
      <c r="A2759" s="88" t="s">
        <v>592</v>
      </c>
      <c r="B2759" s="88">
        <v>23</v>
      </c>
      <c r="C2759" s="88">
        <v>15</v>
      </c>
      <c r="D2759" s="88" t="s">
        <v>369</v>
      </c>
      <c r="E2759" s="88" t="s">
        <v>2005</v>
      </c>
      <c r="F2759" s="88" t="s">
        <v>2006</v>
      </c>
      <c r="G2759" s="88" t="s">
        <v>1921</v>
      </c>
      <c r="H2759" s="88" t="s">
        <v>596</v>
      </c>
    </row>
    <row r="2760" spans="1:8" ht="28.8" x14ac:dyDescent="0.3">
      <c r="A2760" s="88" t="s">
        <v>592</v>
      </c>
      <c r="B2760" s="88">
        <v>23</v>
      </c>
      <c r="C2760" s="88">
        <v>16</v>
      </c>
      <c r="D2760" s="88" t="s">
        <v>369</v>
      </c>
      <c r="E2760" s="88" t="s">
        <v>2007</v>
      </c>
      <c r="F2760" s="88" t="s">
        <v>2008</v>
      </c>
      <c r="G2760" s="88" t="s">
        <v>1924</v>
      </c>
      <c r="H2760" s="88" t="s">
        <v>596</v>
      </c>
    </row>
    <row r="2761" spans="1:8" ht="28.8" x14ac:dyDescent="0.3">
      <c r="A2761" s="88" t="s">
        <v>592</v>
      </c>
      <c r="B2761" s="88">
        <v>24</v>
      </c>
      <c r="C2761" s="88">
        <v>15</v>
      </c>
      <c r="D2761" s="88" t="s">
        <v>111</v>
      </c>
      <c r="E2761" s="88" t="s">
        <v>2009</v>
      </c>
      <c r="F2761" s="88" t="s">
        <v>2010</v>
      </c>
      <c r="G2761" s="88" t="s">
        <v>1921</v>
      </c>
      <c r="H2761" s="88" t="s">
        <v>596</v>
      </c>
    </row>
    <row r="2762" spans="1:8" ht="28.8" x14ac:dyDescent="0.3">
      <c r="A2762" s="88" t="s">
        <v>592</v>
      </c>
      <c r="B2762" s="88">
        <v>24</v>
      </c>
      <c r="C2762" s="88">
        <v>16</v>
      </c>
      <c r="D2762" s="88" t="s">
        <v>111</v>
      </c>
      <c r="E2762" s="88" t="s">
        <v>2011</v>
      </c>
      <c r="F2762" s="88" t="s">
        <v>2012</v>
      </c>
      <c r="G2762" s="88" t="s">
        <v>1924</v>
      </c>
      <c r="H2762" s="88" t="s">
        <v>596</v>
      </c>
    </row>
    <row r="2763" spans="1:8" ht="28.8" x14ac:dyDescent="0.3">
      <c r="A2763" s="88" t="s">
        <v>592</v>
      </c>
      <c r="B2763" s="88">
        <v>25</v>
      </c>
      <c r="C2763" s="88">
        <v>15</v>
      </c>
      <c r="D2763" s="88" t="s">
        <v>112</v>
      </c>
      <c r="E2763" s="88" t="s">
        <v>2013</v>
      </c>
      <c r="F2763" s="88" t="s">
        <v>2014</v>
      </c>
      <c r="G2763" s="88" t="s">
        <v>1921</v>
      </c>
      <c r="H2763" s="88" t="s">
        <v>596</v>
      </c>
    </row>
    <row r="2764" spans="1:8" ht="28.8" x14ac:dyDescent="0.3">
      <c r="A2764" s="88" t="s">
        <v>592</v>
      </c>
      <c r="B2764" s="88">
        <v>25</v>
      </c>
      <c r="C2764" s="88">
        <v>16</v>
      </c>
      <c r="D2764" s="88" t="s">
        <v>112</v>
      </c>
      <c r="E2764" s="88" t="s">
        <v>2015</v>
      </c>
      <c r="F2764" s="88" t="s">
        <v>2016</v>
      </c>
      <c r="G2764" s="88" t="s">
        <v>1924</v>
      </c>
      <c r="H2764" s="88" t="s">
        <v>596</v>
      </c>
    </row>
    <row r="2765" spans="1:8" ht="28.8" x14ac:dyDescent="0.3">
      <c r="A2765" s="88" t="s">
        <v>592</v>
      </c>
      <c r="B2765" s="88">
        <v>26</v>
      </c>
      <c r="C2765" s="88">
        <v>15</v>
      </c>
      <c r="D2765" s="88" t="s">
        <v>113</v>
      </c>
      <c r="E2765" s="88" t="s">
        <v>2017</v>
      </c>
      <c r="F2765" s="88" t="s">
        <v>2018</v>
      </c>
      <c r="G2765" s="88" t="s">
        <v>1921</v>
      </c>
      <c r="H2765" s="88" t="s">
        <v>596</v>
      </c>
    </row>
    <row r="2766" spans="1:8" ht="28.8" x14ac:dyDescent="0.3">
      <c r="A2766" s="88" t="s">
        <v>592</v>
      </c>
      <c r="B2766" s="88">
        <v>26</v>
      </c>
      <c r="C2766" s="88">
        <v>16</v>
      </c>
      <c r="D2766" s="88" t="s">
        <v>113</v>
      </c>
      <c r="E2766" s="88" t="s">
        <v>2019</v>
      </c>
      <c r="F2766" s="88" t="s">
        <v>2020</v>
      </c>
      <c r="G2766" s="88" t="s">
        <v>1924</v>
      </c>
      <c r="H2766" s="88" t="s">
        <v>596</v>
      </c>
    </row>
    <row r="2767" spans="1:8" ht="28.8" x14ac:dyDescent="0.3">
      <c r="A2767" s="88" t="s">
        <v>592</v>
      </c>
      <c r="B2767" s="88">
        <v>27</v>
      </c>
      <c r="C2767" s="88">
        <v>15</v>
      </c>
      <c r="D2767" s="88" t="s">
        <v>114</v>
      </c>
      <c r="E2767" s="88" t="s">
        <v>2021</v>
      </c>
      <c r="F2767" s="88" t="s">
        <v>2022</v>
      </c>
      <c r="G2767" s="88" t="s">
        <v>1921</v>
      </c>
      <c r="H2767" s="88" t="s">
        <v>596</v>
      </c>
    </row>
    <row r="2768" spans="1:8" ht="28.8" x14ac:dyDescent="0.3">
      <c r="A2768" s="88" t="s">
        <v>592</v>
      </c>
      <c r="B2768" s="88">
        <v>27</v>
      </c>
      <c r="C2768" s="88">
        <v>16</v>
      </c>
      <c r="D2768" s="88" t="s">
        <v>114</v>
      </c>
      <c r="E2768" s="88" t="s">
        <v>2023</v>
      </c>
      <c r="F2768" s="88" t="s">
        <v>2024</v>
      </c>
      <c r="G2768" s="88" t="s">
        <v>1924</v>
      </c>
      <c r="H2768" s="88" t="s">
        <v>596</v>
      </c>
    </row>
    <row r="2769" spans="1:8" ht="28.8" x14ac:dyDescent="0.3">
      <c r="A2769" s="88" t="s">
        <v>592</v>
      </c>
      <c r="B2769" s="88">
        <v>28</v>
      </c>
      <c r="C2769" s="88">
        <v>15</v>
      </c>
      <c r="D2769" s="88" t="s">
        <v>375</v>
      </c>
      <c r="E2769" s="88" t="s">
        <v>2025</v>
      </c>
      <c r="F2769" s="88" t="s">
        <v>2026</v>
      </c>
      <c r="G2769" s="88" t="s">
        <v>1921</v>
      </c>
      <c r="H2769" s="88" t="s">
        <v>596</v>
      </c>
    </row>
    <row r="2770" spans="1:8" ht="28.8" x14ac:dyDescent="0.3">
      <c r="A2770" s="88" t="s">
        <v>592</v>
      </c>
      <c r="B2770" s="88">
        <v>28</v>
      </c>
      <c r="C2770" s="88">
        <v>16</v>
      </c>
      <c r="D2770" s="88" t="s">
        <v>375</v>
      </c>
      <c r="E2770" s="88" t="s">
        <v>2027</v>
      </c>
      <c r="F2770" s="88" t="s">
        <v>2028</v>
      </c>
      <c r="G2770" s="88" t="s">
        <v>1924</v>
      </c>
      <c r="H2770" s="88" t="s">
        <v>596</v>
      </c>
    </row>
    <row r="2771" spans="1:8" ht="28.8" x14ac:dyDescent="0.3">
      <c r="A2771" s="88" t="s">
        <v>592</v>
      </c>
      <c r="B2771" s="88">
        <v>29</v>
      </c>
      <c r="C2771" s="88">
        <v>15</v>
      </c>
      <c r="D2771" s="88" t="s">
        <v>116</v>
      </c>
      <c r="E2771" s="88" t="s">
        <v>2029</v>
      </c>
      <c r="F2771" s="88" t="s">
        <v>2030</v>
      </c>
      <c r="G2771" s="88" t="s">
        <v>1921</v>
      </c>
      <c r="H2771" s="88" t="s">
        <v>596</v>
      </c>
    </row>
    <row r="2772" spans="1:8" ht="28.8" x14ac:dyDescent="0.3">
      <c r="A2772" s="88" t="s">
        <v>592</v>
      </c>
      <c r="B2772" s="88">
        <v>29</v>
      </c>
      <c r="C2772" s="88">
        <v>16</v>
      </c>
      <c r="D2772" s="88" t="s">
        <v>116</v>
      </c>
      <c r="E2772" s="88" t="s">
        <v>2031</v>
      </c>
      <c r="F2772" s="88" t="s">
        <v>2032</v>
      </c>
      <c r="G2772" s="88" t="s">
        <v>1924</v>
      </c>
      <c r="H2772" s="88" t="s">
        <v>596</v>
      </c>
    </row>
    <row r="2773" spans="1:8" ht="28.8" x14ac:dyDescent="0.3">
      <c r="A2773" s="88" t="s">
        <v>592</v>
      </c>
      <c r="B2773" s="88">
        <v>30</v>
      </c>
      <c r="C2773" s="88">
        <v>15</v>
      </c>
      <c r="D2773" s="88" t="s">
        <v>117</v>
      </c>
      <c r="E2773" s="88" t="s">
        <v>2033</v>
      </c>
      <c r="F2773" s="88" t="s">
        <v>2034</v>
      </c>
      <c r="G2773" s="88" t="s">
        <v>1921</v>
      </c>
      <c r="H2773" s="88" t="s">
        <v>596</v>
      </c>
    </row>
    <row r="2774" spans="1:8" ht="28.8" x14ac:dyDescent="0.3">
      <c r="A2774" s="88" t="s">
        <v>592</v>
      </c>
      <c r="B2774" s="88">
        <v>30</v>
      </c>
      <c r="C2774" s="88">
        <v>16</v>
      </c>
      <c r="D2774" s="88" t="s">
        <v>117</v>
      </c>
      <c r="E2774" s="88" t="s">
        <v>2035</v>
      </c>
      <c r="F2774" s="88" t="s">
        <v>2036</v>
      </c>
      <c r="G2774" s="88" t="s">
        <v>1924</v>
      </c>
      <c r="H2774" s="88" t="s">
        <v>596</v>
      </c>
    </row>
    <row r="2775" spans="1:8" ht="28.8" x14ac:dyDescent="0.3">
      <c r="A2775" s="88" t="s">
        <v>592</v>
      </c>
      <c r="B2775" s="88">
        <v>31</v>
      </c>
      <c r="C2775" s="88">
        <v>15</v>
      </c>
      <c r="D2775" s="88" t="s">
        <v>118</v>
      </c>
      <c r="E2775" s="88" t="s">
        <v>2037</v>
      </c>
      <c r="F2775" s="88" t="s">
        <v>2038</v>
      </c>
      <c r="G2775" s="88" t="s">
        <v>1921</v>
      </c>
      <c r="H2775" s="88" t="s">
        <v>596</v>
      </c>
    </row>
    <row r="2776" spans="1:8" ht="28.8" x14ac:dyDescent="0.3">
      <c r="A2776" s="88" t="s">
        <v>592</v>
      </c>
      <c r="B2776" s="88">
        <v>31</v>
      </c>
      <c r="C2776" s="88">
        <v>16</v>
      </c>
      <c r="D2776" s="88" t="s">
        <v>118</v>
      </c>
      <c r="E2776" s="88" t="s">
        <v>2039</v>
      </c>
      <c r="F2776" s="88" t="s">
        <v>2040</v>
      </c>
      <c r="G2776" s="88" t="s">
        <v>1924</v>
      </c>
      <c r="H2776" s="88" t="s">
        <v>596</v>
      </c>
    </row>
    <row r="2777" spans="1:8" ht="28.8" x14ac:dyDescent="0.3">
      <c r="A2777" s="88" t="s">
        <v>592</v>
      </c>
      <c r="B2777" s="88">
        <v>32</v>
      </c>
      <c r="C2777" s="88">
        <v>15</v>
      </c>
      <c r="D2777" s="88" t="s">
        <v>119</v>
      </c>
      <c r="E2777" s="88" t="s">
        <v>2041</v>
      </c>
      <c r="F2777" s="88" t="s">
        <v>2042</v>
      </c>
      <c r="G2777" s="88" t="s">
        <v>1921</v>
      </c>
      <c r="H2777" s="88" t="s">
        <v>596</v>
      </c>
    </row>
    <row r="2778" spans="1:8" ht="28.8" x14ac:dyDescent="0.3">
      <c r="A2778" s="88" t="s">
        <v>592</v>
      </c>
      <c r="B2778" s="88">
        <v>32</v>
      </c>
      <c r="C2778" s="88">
        <v>16</v>
      </c>
      <c r="D2778" s="88" t="s">
        <v>119</v>
      </c>
      <c r="E2778" s="88" t="s">
        <v>2043</v>
      </c>
      <c r="F2778" s="88" t="s">
        <v>2044</v>
      </c>
      <c r="G2778" s="88" t="s">
        <v>1924</v>
      </c>
      <c r="H2778" s="88" t="s">
        <v>596</v>
      </c>
    </row>
    <row r="2779" spans="1:8" ht="28.8" x14ac:dyDescent="0.3">
      <c r="A2779" s="88" t="s">
        <v>592</v>
      </c>
      <c r="B2779" s="88">
        <v>33</v>
      </c>
      <c r="C2779" s="88">
        <v>15</v>
      </c>
      <c r="D2779" s="88" t="s">
        <v>120</v>
      </c>
      <c r="E2779" s="88" t="s">
        <v>2045</v>
      </c>
      <c r="F2779" s="88" t="s">
        <v>2046</v>
      </c>
      <c r="G2779" s="88" t="s">
        <v>1921</v>
      </c>
      <c r="H2779" s="88" t="s">
        <v>596</v>
      </c>
    </row>
    <row r="2780" spans="1:8" ht="28.8" x14ac:dyDescent="0.3">
      <c r="A2780" s="88" t="s">
        <v>592</v>
      </c>
      <c r="B2780" s="88">
        <v>33</v>
      </c>
      <c r="C2780" s="88">
        <v>16</v>
      </c>
      <c r="D2780" s="88" t="s">
        <v>120</v>
      </c>
      <c r="E2780" s="88" t="s">
        <v>2047</v>
      </c>
      <c r="F2780" s="88" t="s">
        <v>2048</v>
      </c>
      <c r="G2780" s="88" t="s">
        <v>1924</v>
      </c>
      <c r="H2780" s="88" t="s">
        <v>596</v>
      </c>
    </row>
    <row r="2781" spans="1:8" ht="28.8" x14ac:dyDescent="0.3">
      <c r="A2781" s="88" t="s">
        <v>592</v>
      </c>
      <c r="B2781" s="88">
        <v>34</v>
      </c>
      <c r="C2781" s="88">
        <v>15</v>
      </c>
      <c r="D2781" s="88" t="s">
        <v>121</v>
      </c>
      <c r="E2781" s="88" t="s">
        <v>2049</v>
      </c>
      <c r="F2781" s="88" t="s">
        <v>2050</v>
      </c>
      <c r="G2781" s="88" t="s">
        <v>1921</v>
      </c>
      <c r="H2781" s="88" t="s">
        <v>596</v>
      </c>
    </row>
    <row r="2782" spans="1:8" ht="28.8" x14ac:dyDescent="0.3">
      <c r="A2782" s="88" t="s">
        <v>592</v>
      </c>
      <c r="B2782" s="88">
        <v>34</v>
      </c>
      <c r="C2782" s="88">
        <v>16</v>
      </c>
      <c r="D2782" s="88" t="s">
        <v>121</v>
      </c>
      <c r="E2782" s="88" t="s">
        <v>2051</v>
      </c>
      <c r="F2782" s="88" t="s">
        <v>2052</v>
      </c>
      <c r="G2782" s="88" t="s">
        <v>1924</v>
      </c>
      <c r="H2782" s="88" t="s">
        <v>596</v>
      </c>
    </row>
    <row r="2783" spans="1:8" ht="28.8" x14ac:dyDescent="0.3">
      <c r="A2783" s="88" t="s">
        <v>592</v>
      </c>
      <c r="B2783" s="88">
        <v>35</v>
      </c>
      <c r="C2783" s="88">
        <v>15</v>
      </c>
      <c r="D2783" s="88" t="s">
        <v>383</v>
      </c>
      <c r="E2783" s="88" t="s">
        <v>2053</v>
      </c>
      <c r="F2783" s="88" t="s">
        <v>2054</v>
      </c>
      <c r="G2783" s="88" t="s">
        <v>1921</v>
      </c>
      <c r="H2783" s="88" t="s">
        <v>596</v>
      </c>
    </row>
    <row r="2784" spans="1:8" ht="28.8" x14ac:dyDescent="0.3">
      <c r="A2784" s="88" t="s">
        <v>592</v>
      </c>
      <c r="B2784" s="88">
        <v>35</v>
      </c>
      <c r="C2784" s="88">
        <v>16</v>
      </c>
      <c r="D2784" s="88" t="s">
        <v>383</v>
      </c>
      <c r="E2784" s="88" t="s">
        <v>2055</v>
      </c>
      <c r="F2784" s="88" t="s">
        <v>2056</v>
      </c>
      <c r="G2784" s="88" t="s">
        <v>1924</v>
      </c>
      <c r="H2784" s="88" t="s">
        <v>596</v>
      </c>
    </row>
    <row r="2785" spans="1:8" ht="28.8" x14ac:dyDescent="0.3">
      <c r="A2785" s="88" t="s">
        <v>592</v>
      </c>
      <c r="B2785" s="88">
        <v>36</v>
      </c>
      <c r="C2785" s="88">
        <v>15</v>
      </c>
      <c r="D2785" s="88" t="s">
        <v>123</v>
      </c>
      <c r="E2785" s="88" t="s">
        <v>2057</v>
      </c>
      <c r="F2785" s="88" t="s">
        <v>2058</v>
      </c>
      <c r="G2785" s="88" t="s">
        <v>1921</v>
      </c>
      <c r="H2785" s="88" t="s">
        <v>596</v>
      </c>
    </row>
    <row r="2786" spans="1:8" ht="28.8" x14ac:dyDescent="0.3">
      <c r="A2786" s="88" t="s">
        <v>592</v>
      </c>
      <c r="B2786" s="88">
        <v>36</v>
      </c>
      <c r="C2786" s="88">
        <v>16</v>
      </c>
      <c r="D2786" s="88" t="s">
        <v>123</v>
      </c>
      <c r="E2786" s="88" t="s">
        <v>2059</v>
      </c>
      <c r="F2786" s="88" t="s">
        <v>2060</v>
      </c>
      <c r="G2786" s="88" t="s">
        <v>1924</v>
      </c>
      <c r="H2786" s="88" t="s">
        <v>596</v>
      </c>
    </row>
    <row r="2787" spans="1:8" ht="28.8" x14ac:dyDescent="0.3">
      <c r="A2787" s="88" t="s">
        <v>592</v>
      </c>
      <c r="B2787" s="88">
        <v>37</v>
      </c>
      <c r="C2787" s="88">
        <v>15</v>
      </c>
      <c r="D2787" s="88" t="s">
        <v>124</v>
      </c>
      <c r="E2787" s="88" t="s">
        <v>2061</v>
      </c>
      <c r="F2787" s="88" t="s">
        <v>2062</v>
      </c>
      <c r="G2787" s="88" t="s">
        <v>1921</v>
      </c>
      <c r="H2787" s="88" t="s">
        <v>596</v>
      </c>
    </row>
    <row r="2788" spans="1:8" ht="28.8" x14ac:dyDescent="0.3">
      <c r="A2788" s="88" t="s">
        <v>592</v>
      </c>
      <c r="B2788" s="88">
        <v>37</v>
      </c>
      <c r="C2788" s="88">
        <v>16</v>
      </c>
      <c r="D2788" s="88" t="s">
        <v>124</v>
      </c>
      <c r="E2788" s="88" t="s">
        <v>2063</v>
      </c>
      <c r="F2788" s="88" t="s">
        <v>2064</v>
      </c>
      <c r="G2788" s="88" t="s">
        <v>1924</v>
      </c>
      <c r="H2788" s="88" t="s">
        <v>596</v>
      </c>
    </row>
    <row r="2789" spans="1:8" ht="28.8" x14ac:dyDescent="0.3">
      <c r="A2789" s="88" t="s">
        <v>592</v>
      </c>
      <c r="B2789" s="88">
        <v>38</v>
      </c>
      <c r="C2789" s="88">
        <v>15</v>
      </c>
      <c r="D2789" s="88" t="s">
        <v>387</v>
      </c>
      <c r="E2789" s="88" t="s">
        <v>2065</v>
      </c>
      <c r="F2789" s="88" t="s">
        <v>2066</v>
      </c>
      <c r="G2789" s="88" t="s">
        <v>1921</v>
      </c>
      <c r="H2789" s="88" t="s">
        <v>596</v>
      </c>
    </row>
    <row r="2790" spans="1:8" ht="28.8" x14ac:dyDescent="0.3">
      <c r="A2790" s="88" t="s">
        <v>592</v>
      </c>
      <c r="B2790" s="88">
        <v>38</v>
      </c>
      <c r="C2790" s="88">
        <v>16</v>
      </c>
      <c r="D2790" s="88" t="s">
        <v>387</v>
      </c>
      <c r="E2790" s="88" t="s">
        <v>2067</v>
      </c>
      <c r="F2790" s="88" t="s">
        <v>2068</v>
      </c>
      <c r="G2790" s="88" t="s">
        <v>1924</v>
      </c>
      <c r="H2790" s="88" t="s">
        <v>596</v>
      </c>
    </row>
    <row r="2791" spans="1:8" ht="28.8" x14ac:dyDescent="0.3">
      <c r="A2791" s="88" t="s">
        <v>592</v>
      </c>
      <c r="B2791" s="88">
        <v>39</v>
      </c>
      <c r="C2791" s="88">
        <v>15</v>
      </c>
      <c r="D2791" s="88" t="s">
        <v>389</v>
      </c>
      <c r="E2791" s="88" t="s">
        <v>2069</v>
      </c>
      <c r="F2791" s="88" t="s">
        <v>2070</v>
      </c>
      <c r="G2791" s="88" t="s">
        <v>1921</v>
      </c>
      <c r="H2791" s="88" t="s">
        <v>596</v>
      </c>
    </row>
    <row r="2792" spans="1:8" ht="28.8" x14ac:dyDescent="0.3">
      <c r="A2792" s="88" t="s">
        <v>592</v>
      </c>
      <c r="B2792" s="88">
        <v>39</v>
      </c>
      <c r="C2792" s="88">
        <v>16</v>
      </c>
      <c r="D2792" s="88" t="s">
        <v>389</v>
      </c>
      <c r="E2792" s="88" t="s">
        <v>2071</v>
      </c>
      <c r="F2792" s="88" t="s">
        <v>2072</v>
      </c>
      <c r="G2792" s="88" t="s">
        <v>1924</v>
      </c>
      <c r="H2792" s="88" t="s">
        <v>596</v>
      </c>
    </row>
    <row r="2793" spans="1:8" ht="28.8" x14ac:dyDescent="0.3">
      <c r="A2793" s="88" t="s">
        <v>592</v>
      </c>
      <c r="B2793" s="88">
        <v>40</v>
      </c>
      <c r="C2793" s="88">
        <v>15</v>
      </c>
      <c r="D2793" s="88" t="s">
        <v>391</v>
      </c>
      <c r="E2793" s="88" t="s">
        <v>2073</v>
      </c>
      <c r="F2793" s="88" t="s">
        <v>2074</v>
      </c>
      <c r="G2793" s="88" t="s">
        <v>1921</v>
      </c>
      <c r="H2793" s="88" t="s">
        <v>596</v>
      </c>
    </row>
    <row r="2794" spans="1:8" ht="28.8" x14ac:dyDescent="0.3">
      <c r="A2794" s="88" t="s">
        <v>592</v>
      </c>
      <c r="B2794" s="88">
        <v>40</v>
      </c>
      <c r="C2794" s="88">
        <v>16</v>
      </c>
      <c r="D2794" s="88" t="s">
        <v>391</v>
      </c>
      <c r="E2794" s="88" t="s">
        <v>2075</v>
      </c>
      <c r="F2794" s="88" t="s">
        <v>2076</v>
      </c>
      <c r="G2794" s="88" t="s">
        <v>1924</v>
      </c>
      <c r="H2794" s="88" t="s">
        <v>596</v>
      </c>
    </row>
    <row r="2795" spans="1:8" ht="28.8" x14ac:dyDescent="0.3">
      <c r="A2795" s="88" t="s">
        <v>592</v>
      </c>
      <c r="B2795" s="88">
        <v>41</v>
      </c>
      <c r="C2795" s="88">
        <v>15</v>
      </c>
      <c r="D2795" s="88" t="s">
        <v>128</v>
      </c>
      <c r="E2795" s="88" t="s">
        <v>2077</v>
      </c>
      <c r="F2795" s="88" t="s">
        <v>2078</v>
      </c>
      <c r="G2795" s="88" t="s">
        <v>1921</v>
      </c>
      <c r="H2795" s="88" t="s">
        <v>596</v>
      </c>
    </row>
    <row r="2796" spans="1:8" ht="28.8" x14ac:dyDescent="0.3">
      <c r="A2796" s="88" t="s">
        <v>592</v>
      </c>
      <c r="B2796" s="88">
        <v>41</v>
      </c>
      <c r="C2796" s="88">
        <v>16</v>
      </c>
      <c r="D2796" s="88" t="s">
        <v>128</v>
      </c>
      <c r="E2796" s="88" t="s">
        <v>2079</v>
      </c>
      <c r="F2796" s="88" t="s">
        <v>2080</v>
      </c>
      <c r="G2796" s="88" t="s">
        <v>1924</v>
      </c>
      <c r="H2796" s="88" t="s">
        <v>596</v>
      </c>
    </row>
    <row r="2797" spans="1:8" ht="28.8" x14ac:dyDescent="0.3">
      <c r="A2797" s="88" t="s">
        <v>592</v>
      </c>
      <c r="B2797" s="88">
        <v>42</v>
      </c>
      <c r="C2797" s="88">
        <v>15</v>
      </c>
      <c r="D2797" s="88" t="s">
        <v>129</v>
      </c>
      <c r="E2797" s="88" t="s">
        <v>2081</v>
      </c>
      <c r="F2797" s="88" t="s">
        <v>2082</v>
      </c>
      <c r="G2797" s="88" t="s">
        <v>1921</v>
      </c>
      <c r="H2797" s="88" t="s">
        <v>596</v>
      </c>
    </row>
    <row r="2798" spans="1:8" ht="28.8" x14ac:dyDescent="0.3">
      <c r="A2798" s="88" t="s">
        <v>592</v>
      </c>
      <c r="B2798" s="88">
        <v>42</v>
      </c>
      <c r="C2798" s="88">
        <v>16</v>
      </c>
      <c r="D2798" s="88" t="s">
        <v>129</v>
      </c>
      <c r="E2798" s="88" t="s">
        <v>2083</v>
      </c>
      <c r="F2798" s="88" t="s">
        <v>2084</v>
      </c>
      <c r="G2798" s="88" t="s">
        <v>1924</v>
      </c>
      <c r="H2798" s="88" t="s">
        <v>596</v>
      </c>
    </row>
    <row r="2799" spans="1:8" ht="28.8" x14ac:dyDescent="0.3">
      <c r="A2799" s="88" t="s">
        <v>592</v>
      </c>
      <c r="B2799" s="88">
        <v>43</v>
      </c>
      <c r="C2799" s="88">
        <v>15</v>
      </c>
      <c r="D2799" s="88" t="s">
        <v>130</v>
      </c>
      <c r="E2799" s="88" t="s">
        <v>2085</v>
      </c>
      <c r="F2799" s="88" t="s">
        <v>2086</v>
      </c>
      <c r="G2799" s="88" t="s">
        <v>1921</v>
      </c>
      <c r="H2799" s="88" t="s">
        <v>596</v>
      </c>
    </row>
    <row r="2800" spans="1:8" ht="28.8" x14ac:dyDescent="0.3">
      <c r="A2800" s="88" t="s">
        <v>592</v>
      </c>
      <c r="B2800" s="88">
        <v>43</v>
      </c>
      <c r="C2800" s="88">
        <v>16</v>
      </c>
      <c r="D2800" s="88" t="s">
        <v>130</v>
      </c>
      <c r="E2800" s="88" t="s">
        <v>2087</v>
      </c>
      <c r="F2800" s="88" t="s">
        <v>2088</v>
      </c>
      <c r="G2800" s="88" t="s">
        <v>1924</v>
      </c>
      <c r="H2800" s="88" t="s">
        <v>596</v>
      </c>
    </row>
    <row r="2801" spans="1:8" ht="28.8" x14ac:dyDescent="0.3">
      <c r="A2801" s="88" t="s">
        <v>592</v>
      </c>
      <c r="B2801" s="88">
        <v>44</v>
      </c>
      <c r="C2801" s="88">
        <v>15</v>
      </c>
      <c r="D2801" s="88" t="s">
        <v>131</v>
      </c>
      <c r="E2801" s="88" t="s">
        <v>2089</v>
      </c>
      <c r="F2801" s="88" t="s">
        <v>2090</v>
      </c>
      <c r="G2801" s="88" t="s">
        <v>1921</v>
      </c>
      <c r="H2801" s="88" t="s">
        <v>596</v>
      </c>
    </row>
    <row r="2802" spans="1:8" ht="28.8" x14ac:dyDescent="0.3">
      <c r="A2802" s="88" t="s">
        <v>592</v>
      </c>
      <c r="B2802" s="88">
        <v>44</v>
      </c>
      <c r="C2802" s="88">
        <v>16</v>
      </c>
      <c r="D2802" s="88" t="s">
        <v>131</v>
      </c>
      <c r="E2802" s="88" t="s">
        <v>2091</v>
      </c>
      <c r="F2802" s="88" t="s">
        <v>2092</v>
      </c>
      <c r="G2802" s="88" t="s">
        <v>1924</v>
      </c>
      <c r="H2802" s="88" t="s">
        <v>596</v>
      </c>
    </row>
    <row r="2803" spans="1:8" ht="28.8" x14ac:dyDescent="0.3">
      <c r="A2803" s="88" t="s">
        <v>592</v>
      </c>
      <c r="B2803" s="88">
        <v>45</v>
      </c>
      <c r="C2803" s="88">
        <v>15</v>
      </c>
      <c r="D2803" s="88" t="s">
        <v>132</v>
      </c>
      <c r="E2803" s="88" t="s">
        <v>2093</v>
      </c>
      <c r="F2803" s="88" t="s">
        <v>2094</v>
      </c>
      <c r="G2803" s="88" t="s">
        <v>1921</v>
      </c>
      <c r="H2803" s="88" t="s">
        <v>596</v>
      </c>
    </row>
    <row r="2804" spans="1:8" ht="28.8" x14ac:dyDescent="0.3">
      <c r="A2804" s="88" t="s">
        <v>592</v>
      </c>
      <c r="B2804" s="88">
        <v>45</v>
      </c>
      <c r="C2804" s="88">
        <v>16</v>
      </c>
      <c r="D2804" s="88" t="s">
        <v>132</v>
      </c>
      <c r="E2804" s="88" t="s">
        <v>2095</v>
      </c>
      <c r="F2804" s="88" t="s">
        <v>2096</v>
      </c>
      <c r="G2804" s="88" t="s">
        <v>1924</v>
      </c>
      <c r="H2804" s="88" t="s">
        <v>596</v>
      </c>
    </row>
    <row r="2805" spans="1:8" ht="28.8" x14ac:dyDescent="0.3">
      <c r="A2805" s="88" t="s">
        <v>592</v>
      </c>
      <c r="B2805" s="88">
        <v>46</v>
      </c>
      <c r="C2805" s="88">
        <v>15</v>
      </c>
      <c r="D2805" s="88" t="s">
        <v>133</v>
      </c>
      <c r="E2805" s="88" t="s">
        <v>2097</v>
      </c>
      <c r="F2805" s="88" t="s">
        <v>2098</v>
      </c>
      <c r="G2805" s="88" t="s">
        <v>1921</v>
      </c>
      <c r="H2805" s="88" t="s">
        <v>596</v>
      </c>
    </row>
    <row r="2806" spans="1:8" ht="28.8" x14ac:dyDescent="0.3">
      <c r="A2806" s="88" t="s">
        <v>592</v>
      </c>
      <c r="B2806" s="88">
        <v>46</v>
      </c>
      <c r="C2806" s="88">
        <v>16</v>
      </c>
      <c r="D2806" s="88" t="s">
        <v>133</v>
      </c>
      <c r="E2806" s="88" t="s">
        <v>2099</v>
      </c>
      <c r="F2806" s="88" t="s">
        <v>2100</v>
      </c>
      <c r="G2806" s="88" t="s">
        <v>1924</v>
      </c>
      <c r="H2806" s="88" t="s">
        <v>596</v>
      </c>
    </row>
    <row r="2807" spans="1:8" ht="28.8" x14ac:dyDescent="0.3">
      <c r="A2807" s="88" t="s">
        <v>592</v>
      </c>
      <c r="B2807" s="88">
        <v>47</v>
      </c>
      <c r="C2807" s="88">
        <v>15</v>
      </c>
      <c r="D2807" s="88" t="s">
        <v>134</v>
      </c>
      <c r="E2807" s="88" t="s">
        <v>2101</v>
      </c>
      <c r="F2807" s="88" t="s">
        <v>2102</v>
      </c>
      <c r="G2807" s="88" t="s">
        <v>1921</v>
      </c>
      <c r="H2807" s="88" t="s">
        <v>596</v>
      </c>
    </row>
    <row r="2808" spans="1:8" ht="28.8" x14ac:dyDescent="0.3">
      <c r="A2808" s="88" t="s">
        <v>592</v>
      </c>
      <c r="B2808" s="88">
        <v>47</v>
      </c>
      <c r="C2808" s="88">
        <v>16</v>
      </c>
      <c r="D2808" s="88" t="s">
        <v>134</v>
      </c>
      <c r="E2808" s="88" t="s">
        <v>2103</v>
      </c>
      <c r="F2808" s="88" t="s">
        <v>2104</v>
      </c>
      <c r="G2808" s="88" t="s">
        <v>1924</v>
      </c>
      <c r="H2808" s="88" t="s">
        <v>596</v>
      </c>
    </row>
    <row r="2809" spans="1:8" ht="28.8" x14ac:dyDescent="0.3">
      <c r="A2809" s="88" t="s">
        <v>592</v>
      </c>
      <c r="B2809" s="88">
        <v>48</v>
      </c>
      <c r="C2809" s="88">
        <v>15</v>
      </c>
      <c r="D2809" s="88" t="s">
        <v>400</v>
      </c>
      <c r="E2809" s="88" t="s">
        <v>2105</v>
      </c>
      <c r="F2809" s="88" t="s">
        <v>2106</v>
      </c>
      <c r="G2809" s="88" t="s">
        <v>1921</v>
      </c>
      <c r="H2809" s="88" t="s">
        <v>596</v>
      </c>
    </row>
    <row r="2810" spans="1:8" ht="28.8" x14ac:dyDescent="0.3">
      <c r="A2810" s="88" t="s">
        <v>592</v>
      </c>
      <c r="B2810" s="88">
        <v>48</v>
      </c>
      <c r="C2810" s="88">
        <v>16</v>
      </c>
      <c r="D2810" s="88" t="s">
        <v>400</v>
      </c>
      <c r="E2810" s="88" t="s">
        <v>2107</v>
      </c>
      <c r="F2810" s="88" t="s">
        <v>2108</v>
      </c>
      <c r="G2810" s="88" t="s">
        <v>1924</v>
      </c>
      <c r="H2810" s="88" t="s">
        <v>596</v>
      </c>
    </row>
    <row r="2811" spans="1:8" ht="28.8" x14ac:dyDescent="0.3">
      <c r="A2811" s="88" t="s">
        <v>592</v>
      </c>
      <c r="B2811" s="88">
        <v>49</v>
      </c>
      <c r="C2811" s="88">
        <v>15</v>
      </c>
      <c r="D2811" s="88" t="s">
        <v>136</v>
      </c>
      <c r="E2811" s="88" t="s">
        <v>2109</v>
      </c>
      <c r="F2811" s="88" t="s">
        <v>2110</v>
      </c>
      <c r="G2811" s="88" t="s">
        <v>1921</v>
      </c>
      <c r="H2811" s="88" t="s">
        <v>596</v>
      </c>
    </row>
    <row r="2812" spans="1:8" ht="28.8" x14ac:dyDescent="0.3">
      <c r="A2812" s="88" t="s">
        <v>592</v>
      </c>
      <c r="B2812" s="88">
        <v>49</v>
      </c>
      <c r="C2812" s="88">
        <v>16</v>
      </c>
      <c r="D2812" s="88" t="s">
        <v>136</v>
      </c>
      <c r="E2812" s="88" t="s">
        <v>2111</v>
      </c>
      <c r="F2812" s="88" t="s">
        <v>2112</v>
      </c>
      <c r="G2812" s="88" t="s">
        <v>1924</v>
      </c>
      <c r="H2812" s="88" t="s">
        <v>596</v>
      </c>
    </row>
    <row r="2813" spans="1:8" ht="28.8" x14ac:dyDescent="0.3">
      <c r="A2813" s="88" t="s">
        <v>592</v>
      </c>
      <c r="B2813" s="88">
        <v>50</v>
      </c>
      <c r="C2813" s="88">
        <v>15</v>
      </c>
      <c r="D2813" s="88" t="s">
        <v>403</v>
      </c>
      <c r="E2813" s="88" t="s">
        <v>2113</v>
      </c>
      <c r="F2813" s="88" t="s">
        <v>2114</v>
      </c>
      <c r="G2813" s="88" t="s">
        <v>1921</v>
      </c>
      <c r="H2813" s="88" t="s">
        <v>596</v>
      </c>
    </row>
    <row r="2814" spans="1:8" ht="28.8" x14ac:dyDescent="0.3">
      <c r="A2814" s="88" t="s">
        <v>592</v>
      </c>
      <c r="B2814" s="88">
        <v>50</v>
      </c>
      <c r="C2814" s="88">
        <v>16</v>
      </c>
      <c r="D2814" s="88" t="s">
        <v>403</v>
      </c>
      <c r="E2814" s="88" t="s">
        <v>2115</v>
      </c>
      <c r="F2814" s="88" t="s">
        <v>2116</v>
      </c>
      <c r="G2814" s="88" t="s">
        <v>1924</v>
      </c>
      <c r="H2814" s="88" t="s">
        <v>596</v>
      </c>
    </row>
    <row r="2815" spans="1:8" ht="28.8" x14ac:dyDescent="0.3">
      <c r="A2815" s="88" t="s">
        <v>592</v>
      </c>
      <c r="B2815" s="88">
        <v>51</v>
      </c>
      <c r="C2815" s="88">
        <v>15</v>
      </c>
      <c r="D2815" s="88" t="s">
        <v>405</v>
      </c>
      <c r="E2815" s="88" t="s">
        <v>2117</v>
      </c>
      <c r="F2815" s="88" t="s">
        <v>2118</v>
      </c>
      <c r="G2815" s="88" t="s">
        <v>1921</v>
      </c>
      <c r="H2815" s="88" t="s">
        <v>596</v>
      </c>
    </row>
    <row r="2816" spans="1:8" ht="28.8" x14ac:dyDescent="0.3">
      <c r="A2816" s="88" t="s">
        <v>592</v>
      </c>
      <c r="B2816" s="88">
        <v>51</v>
      </c>
      <c r="C2816" s="88">
        <v>16</v>
      </c>
      <c r="D2816" s="88" t="s">
        <v>405</v>
      </c>
      <c r="E2816" s="88" t="s">
        <v>2119</v>
      </c>
      <c r="F2816" s="88" t="s">
        <v>2120</v>
      </c>
      <c r="G2816" s="88" t="s">
        <v>1924</v>
      </c>
      <c r="H2816" s="88" t="s">
        <v>596</v>
      </c>
    </row>
    <row r="2817" spans="1:8" ht="28.8" x14ac:dyDescent="0.3">
      <c r="A2817" s="88" t="s">
        <v>592</v>
      </c>
      <c r="B2817" s="88">
        <v>52</v>
      </c>
      <c r="C2817" s="88">
        <v>15</v>
      </c>
      <c r="D2817" s="88" t="s">
        <v>139</v>
      </c>
      <c r="E2817" s="88" t="s">
        <v>2121</v>
      </c>
      <c r="F2817" s="88" t="s">
        <v>2122</v>
      </c>
      <c r="G2817" s="88" t="s">
        <v>1921</v>
      </c>
      <c r="H2817" s="88" t="s">
        <v>596</v>
      </c>
    </row>
    <row r="2818" spans="1:8" ht="28.8" x14ac:dyDescent="0.3">
      <c r="A2818" s="88" t="s">
        <v>592</v>
      </c>
      <c r="B2818" s="88">
        <v>52</v>
      </c>
      <c r="C2818" s="88">
        <v>16</v>
      </c>
      <c r="D2818" s="88" t="s">
        <v>139</v>
      </c>
      <c r="E2818" s="88" t="s">
        <v>2123</v>
      </c>
      <c r="F2818" s="88" t="s">
        <v>2124</v>
      </c>
      <c r="G2818" s="88" t="s">
        <v>1924</v>
      </c>
      <c r="H2818" s="88" t="s">
        <v>596</v>
      </c>
    </row>
    <row r="2819" spans="1:8" ht="28.8" x14ac:dyDescent="0.3">
      <c r="A2819" s="88" t="s">
        <v>592</v>
      </c>
      <c r="B2819" s="88">
        <v>53</v>
      </c>
      <c r="C2819" s="88">
        <v>15</v>
      </c>
      <c r="D2819" s="88" t="s">
        <v>408</v>
      </c>
      <c r="E2819" s="88" t="s">
        <v>2125</v>
      </c>
      <c r="F2819" s="88" t="s">
        <v>2126</v>
      </c>
      <c r="G2819" s="88" t="s">
        <v>1921</v>
      </c>
      <c r="H2819" s="88" t="s">
        <v>596</v>
      </c>
    </row>
    <row r="2820" spans="1:8" ht="28.8" x14ac:dyDescent="0.3">
      <c r="A2820" s="88" t="s">
        <v>592</v>
      </c>
      <c r="B2820" s="88">
        <v>53</v>
      </c>
      <c r="C2820" s="88">
        <v>16</v>
      </c>
      <c r="D2820" s="88" t="s">
        <v>408</v>
      </c>
      <c r="E2820" s="88" t="s">
        <v>2127</v>
      </c>
      <c r="F2820" s="88" t="s">
        <v>2128</v>
      </c>
      <c r="G2820" s="88" t="s">
        <v>1924</v>
      </c>
      <c r="H2820" s="88" t="s">
        <v>596</v>
      </c>
    </row>
    <row r="2821" spans="1:8" ht="28.8" x14ac:dyDescent="0.3">
      <c r="A2821" s="88" t="s">
        <v>592</v>
      </c>
      <c r="B2821" s="88">
        <v>54</v>
      </c>
      <c r="C2821" s="88">
        <v>15</v>
      </c>
      <c r="D2821" s="88" t="s">
        <v>141</v>
      </c>
      <c r="E2821" s="88" t="s">
        <v>2129</v>
      </c>
      <c r="F2821" s="88" t="s">
        <v>2130</v>
      </c>
      <c r="G2821" s="88" t="s">
        <v>1921</v>
      </c>
      <c r="H2821" s="88" t="s">
        <v>596</v>
      </c>
    </row>
    <row r="2822" spans="1:8" ht="28.8" x14ac:dyDescent="0.3">
      <c r="A2822" s="88" t="s">
        <v>592</v>
      </c>
      <c r="B2822" s="88">
        <v>54</v>
      </c>
      <c r="C2822" s="88">
        <v>16</v>
      </c>
      <c r="D2822" s="88" t="s">
        <v>141</v>
      </c>
      <c r="E2822" s="88" t="s">
        <v>2131</v>
      </c>
      <c r="F2822" s="88" t="s">
        <v>2132</v>
      </c>
      <c r="G2822" s="88" t="s">
        <v>1924</v>
      </c>
      <c r="H2822" s="88" t="s">
        <v>596</v>
      </c>
    </row>
    <row r="2823" spans="1:8" ht="28.8" x14ac:dyDescent="0.3">
      <c r="A2823" s="88" t="s">
        <v>592</v>
      </c>
      <c r="B2823" s="88">
        <v>55</v>
      </c>
      <c r="C2823" s="88">
        <v>15</v>
      </c>
      <c r="D2823" s="88" t="s">
        <v>142</v>
      </c>
      <c r="E2823" s="88" t="s">
        <v>2133</v>
      </c>
      <c r="F2823" s="88" t="s">
        <v>2134</v>
      </c>
      <c r="G2823" s="88" t="s">
        <v>1921</v>
      </c>
      <c r="H2823" s="88" t="s">
        <v>596</v>
      </c>
    </row>
    <row r="2824" spans="1:8" ht="28.8" x14ac:dyDescent="0.3">
      <c r="A2824" s="88" t="s">
        <v>592</v>
      </c>
      <c r="B2824" s="88">
        <v>55</v>
      </c>
      <c r="C2824" s="88">
        <v>16</v>
      </c>
      <c r="D2824" s="88" t="s">
        <v>142</v>
      </c>
      <c r="E2824" s="88" t="s">
        <v>2135</v>
      </c>
      <c r="F2824" s="88" t="s">
        <v>2136</v>
      </c>
      <c r="G2824" s="88" t="s">
        <v>1924</v>
      </c>
      <c r="H2824" s="88" t="s">
        <v>596</v>
      </c>
    </row>
    <row r="2825" spans="1:8" ht="28.8" x14ac:dyDescent="0.3">
      <c r="A2825" s="88" t="s">
        <v>592</v>
      </c>
      <c r="B2825" s="88">
        <v>56</v>
      </c>
      <c r="C2825" s="88">
        <v>15</v>
      </c>
      <c r="D2825" s="88" t="s">
        <v>412</v>
      </c>
      <c r="E2825" s="88" t="s">
        <v>2137</v>
      </c>
      <c r="F2825" s="88" t="s">
        <v>2138</v>
      </c>
      <c r="G2825" s="88" t="s">
        <v>1921</v>
      </c>
      <c r="H2825" s="88" t="s">
        <v>596</v>
      </c>
    </row>
    <row r="2826" spans="1:8" ht="28.8" x14ac:dyDescent="0.3">
      <c r="A2826" s="88" t="s">
        <v>592</v>
      </c>
      <c r="B2826" s="88">
        <v>56</v>
      </c>
      <c r="C2826" s="88">
        <v>16</v>
      </c>
      <c r="D2826" s="88" t="s">
        <v>412</v>
      </c>
      <c r="E2826" s="88" t="s">
        <v>2139</v>
      </c>
      <c r="F2826" s="88" t="s">
        <v>2140</v>
      </c>
      <c r="G2826" s="88" t="s">
        <v>1924</v>
      </c>
      <c r="H2826" s="88" t="s">
        <v>596</v>
      </c>
    </row>
    <row r="2827" spans="1:8" ht="28.8" x14ac:dyDescent="0.3">
      <c r="A2827" s="88" t="s">
        <v>592</v>
      </c>
      <c r="B2827" s="88">
        <v>57</v>
      </c>
      <c r="C2827" s="88">
        <v>15</v>
      </c>
      <c r="D2827" s="88" t="s">
        <v>414</v>
      </c>
      <c r="E2827" s="88" t="s">
        <v>2141</v>
      </c>
      <c r="F2827" s="88" t="s">
        <v>2142</v>
      </c>
      <c r="G2827" s="88" t="s">
        <v>1921</v>
      </c>
      <c r="H2827" s="88" t="s">
        <v>596</v>
      </c>
    </row>
    <row r="2828" spans="1:8" ht="28.8" x14ac:dyDescent="0.3">
      <c r="A2828" s="88" t="s">
        <v>592</v>
      </c>
      <c r="B2828" s="88">
        <v>57</v>
      </c>
      <c r="C2828" s="88">
        <v>16</v>
      </c>
      <c r="D2828" s="88" t="s">
        <v>414</v>
      </c>
      <c r="E2828" s="88" t="s">
        <v>2143</v>
      </c>
      <c r="F2828" s="88" t="s">
        <v>2144</v>
      </c>
      <c r="G2828" s="88" t="s">
        <v>1924</v>
      </c>
      <c r="H2828" s="88" t="s">
        <v>596</v>
      </c>
    </row>
    <row r="2829" spans="1:8" ht="28.8" x14ac:dyDescent="0.3">
      <c r="A2829" s="88" t="s">
        <v>592</v>
      </c>
      <c r="B2829" s="88">
        <v>58</v>
      </c>
      <c r="C2829" s="88">
        <v>15</v>
      </c>
      <c r="D2829" s="88" t="s">
        <v>145</v>
      </c>
      <c r="E2829" s="88" t="s">
        <v>2145</v>
      </c>
      <c r="F2829" s="88" t="s">
        <v>2146</v>
      </c>
      <c r="G2829" s="88" t="s">
        <v>1921</v>
      </c>
      <c r="H2829" s="88" t="s">
        <v>596</v>
      </c>
    </row>
    <row r="2830" spans="1:8" ht="28.8" x14ac:dyDescent="0.3">
      <c r="A2830" s="88" t="s">
        <v>592</v>
      </c>
      <c r="B2830" s="88">
        <v>58</v>
      </c>
      <c r="C2830" s="88">
        <v>16</v>
      </c>
      <c r="D2830" s="88" t="s">
        <v>145</v>
      </c>
      <c r="E2830" s="88" t="s">
        <v>2147</v>
      </c>
      <c r="F2830" s="88" t="s">
        <v>2148</v>
      </c>
      <c r="G2830" s="88" t="s">
        <v>1924</v>
      </c>
      <c r="H2830" s="88" t="s">
        <v>596</v>
      </c>
    </row>
    <row r="2831" spans="1:8" ht="28.8" x14ac:dyDescent="0.3">
      <c r="A2831" s="88" t="s">
        <v>592</v>
      </c>
      <c r="B2831" s="88">
        <v>59</v>
      </c>
      <c r="C2831" s="88">
        <v>15</v>
      </c>
      <c r="D2831" s="88" t="s">
        <v>146</v>
      </c>
      <c r="E2831" s="88" t="s">
        <v>2149</v>
      </c>
      <c r="F2831" s="88" t="s">
        <v>2150</v>
      </c>
      <c r="G2831" s="88" t="s">
        <v>1921</v>
      </c>
      <c r="H2831" s="88" t="s">
        <v>596</v>
      </c>
    </row>
    <row r="2832" spans="1:8" ht="28.8" x14ac:dyDescent="0.3">
      <c r="A2832" s="88" t="s">
        <v>592</v>
      </c>
      <c r="B2832" s="88">
        <v>59</v>
      </c>
      <c r="C2832" s="88">
        <v>16</v>
      </c>
      <c r="D2832" s="88" t="s">
        <v>146</v>
      </c>
      <c r="E2832" s="88" t="s">
        <v>2151</v>
      </c>
      <c r="F2832" s="88" t="s">
        <v>2152</v>
      </c>
      <c r="G2832" s="88" t="s">
        <v>1924</v>
      </c>
      <c r="H2832" s="88" t="s">
        <v>596</v>
      </c>
    </row>
    <row r="2833" spans="1:8" ht="28.8" x14ac:dyDescent="0.3">
      <c r="A2833" s="88" t="s">
        <v>592</v>
      </c>
      <c r="B2833" s="88">
        <v>60</v>
      </c>
      <c r="C2833" s="88">
        <v>15</v>
      </c>
      <c r="D2833" s="88" t="s">
        <v>147</v>
      </c>
      <c r="E2833" s="88" t="s">
        <v>2153</v>
      </c>
      <c r="F2833" s="88" t="s">
        <v>2154</v>
      </c>
      <c r="G2833" s="88" t="s">
        <v>1921</v>
      </c>
      <c r="H2833" s="88" t="s">
        <v>596</v>
      </c>
    </row>
    <row r="2834" spans="1:8" ht="28.8" x14ac:dyDescent="0.3">
      <c r="A2834" s="88" t="s">
        <v>592</v>
      </c>
      <c r="B2834" s="88">
        <v>60</v>
      </c>
      <c r="C2834" s="88">
        <v>16</v>
      </c>
      <c r="D2834" s="88" t="s">
        <v>147</v>
      </c>
      <c r="E2834" s="88" t="s">
        <v>2155</v>
      </c>
      <c r="F2834" s="88" t="s">
        <v>2156</v>
      </c>
      <c r="G2834" s="88" t="s">
        <v>1924</v>
      </c>
      <c r="H2834" s="88" t="s">
        <v>596</v>
      </c>
    </row>
    <row r="2835" spans="1:8" ht="28.8" x14ac:dyDescent="0.3">
      <c r="A2835" s="88" t="s">
        <v>592</v>
      </c>
      <c r="B2835" s="88">
        <v>61</v>
      </c>
      <c r="C2835" s="88">
        <v>15</v>
      </c>
      <c r="D2835" s="88" t="s">
        <v>148</v>
      </c>
      <c r="E2835" s="88" t="s">
        <v>2157</v>
      </c>
      <c r="F2835" s="88" t="s">
        <v>2158</v>
      </c>
      <c r="G2835" s="88" t="s">
        <v>1921</v>
      </c>
      <c r="H2835" s="88" t="s">
        <v>596</v>
      </c>
    </row>
    <row r="2836" spans="1:8" ht="28.8" x14ac:dyDescent="0.3">
      <c r="A2836" s="88" t="s">
        <v>592</v>
      </c>
      <c r="B2836" s="88">
        <v>61</v>
      </c>
      <c r="C2836" s="88">
        <v>16</v>
      </c>
      <c r="D2836" s="88" t="s">
        <v>148</v>
      </c>
      <c r="E2836" s="88" t="s">
        <v>2159</v>
      </c>
      <c r="F2836" s="88" t="s">
        <v>2160</v>
      </c>
      <c r="G2836" s="88" t="s">
        <v>1924</v>
      </c>
      <c r="H2836" s="88" t="s">
        <v>596</v>
      </c>
    </row>
    <row r="2837" spans="1:8" ht="28.8" x14ac:dyDescent="0.3">
      <c r="A2837" s="88" t="s">
        <v>592</v>
      </c>
      <c r="B2837" s="88">
        <v>62</v>
      </c>
      <c r="C2837" s="88">
        <v>15</v>
      </c>
      <c r="D2837" s="88" t="s">
        <v>149</v>
      </c>
      <c r="E2837" s="88" t="s">
        <v>2161</v>
      </c>
      <c r="F2837" s="88" t="s">
        <v>2162</v>
      </c>
      <c r="G2837" s="88" t="s">
        <v>1921</v>
      </c>
      <c r="H2837" s="88" t="s">
        <v>596</v>
      </c>
    </row>
    <row r="2838" spans="1:8" ht="28.8" x14ac:dyDescent="0.3">
      <c r="A2838" s="88" t="s">
        <v>592</v>
      </c>
      <c r="B2838" s="88">
        <v>62</v>
      </c>
      <c r="C2838" s="88">
        <v>16</v>
      </c>
      <c r="D2838" s="88" t="s">
        <v>149</v>
      </c>
      <c r="E2838" s="88" t="s">
        <v>2163</v>
      </c>
      <c r="F2838" s="88" t="s">
        <v>2164</v>
      </c>
      <c r="G2838" s="88" t="s">
        <v>1924</v>
      </c>
      <c r="H2838" s="88" t="s">
        <v>596</v>
      </c>
    </row>
    <row r="2839" spans="1:8" ht="28.8" x14ac:dyDescent="0.3">
      <c r="A2839" s="88" t="s">
        <v>592</v>
      </c>
      <c r="B2839" s="88">
        <v>63</v>
      </c>
      <c r="C2839" s="88">
        <v>15</v>
      </c>
      <c r="D2839" s="88" t="s">
        <v>150</v>
      </c>
      <c r="E2839" s="88" t="s">
        <v>2165</v>
      </c>
      <c r="F2839" s="88" t="s">
        <v>2166</v>
      </c>
      <c r="G2839" s="88" t="s">
        <v>1921</v>
      </c>
      <c r="H2839" s="88" t="s">
        <v>596</v>
      </c>
    </row>
    <row r="2840" spans="1:8" ht="28.8" x14ac:dyDescent="0.3">
      <c r="A2840" s="88" t="s">
        <v>592</v>
      </c>
      <c r="B2840" s="88">
        <v>63</v>
      </c>
      <c r="C2840" s="88">
        <v>16</v>
      </c>
      <c r="D2840" s="88" t="s">
        <v>150</v>
      </c>
      <c r="E2840" s="88" t="s">
        <v>2167</v>
      </c>
      <c r="F2840" s="88" t="s">
        <v>2168</v>
      </c>
      <c r="G2840" s="88" t="s">
        <v>1924</v>
      </c>
      <c r="H2840" s="88" t="s">
        <v>596</v>
      </c>
    </row>
    <row r="2841" spans="1:8" ht="28.8" x14ac:dyDescent="0.3">
      <c r="A2841" s="88" t="s">
        <v>592</v>
      </c>
      <c r="B2841" s="88">
        <v>64</v>
      </c>
      <c r="C2841" s="88">
        <v>15</v>
      </c>
      <c r="D2841" s="88" t="s">
        <v>422</v>
      </c>
      <c r="E2841" s="88" t="s">
        <v>2169</v>
      </c>
      <c r="F2841" s="88" t="s">
        <v>2170</v>
      </c>
      <c r="G2841" s="88" t="s">
        <v>1921</v>
      </c>
      <c r="H2841" s="88" t="s">
        <v>596</v>
      </c>
    </row>
    <row r="2842" spans="1:8" ht="28.8" x14ac:dyDescent="0.3">
      <c r="A2842" s="88" t="s">
        <v>592</v>
      </c>
      <c r="B2842" s="88">
        <v>64</v>
      </c>
      <c r="C2842" s="88">
        <v>16</v>
      </c>
      <c r="D2842" s="88" t="s">
        <v>422</v>
      </c>
      <c r="E2842" s="88" t="s">
        <v>2171</v>
      </c>
      <c r="F2842" s="88" t="s">
        <v>2172</v>
      </c>
      <c r="G2842" s="88" t="s">
        <v>1924</v>
      </c>
      <c r="H2842" s="88" t="s">
        <v>596</v>
      </c>
    </row>
    <row r="2843" spans="1:8" ht="28.8" x14ac:dyDescent="0.3">
      <c r="A2843" s="88" t="s">
        <v>592</v>
      </c>
      <c r="B2843" s="88">
        <v>65</v>
      </c>
      <c r="C2843" s="88">
        <v>15</v>
      </c>
      <c r="D2843" s="88" t="s">
        <v>152</v>
      </c>
      <c r="E2843" s="88" t="s">
        <v>2173</v>
      </c>
      <c r="F2843" s="88" t="s">
        <v>2174</v>
      </c>
      <c r="G2843" s="88" t="s">
        <v>1921</v>
      </c>
      <c r="H2843" s="88" t="s">
        <v>596</v>
      </c>
    </row>
    <row r="2844" spans="1:8" ht="28.8" x14ac:dyDescent="0.3">
      <c r="A2844" s="88" t="s">
        <v>592</v>
      </c>
      <c r="B2844" s="88">
        <v>65</v>
      </c>
      <c r="C2844" s="88">
        <v>16</v>
      </c>
      <c r="D2844" s="88" t="s">
        <v>152</v>
      </c>
      <c r="E2844" s="88" t="s">
        <v>2175</v>
      </c>
      <c r="F2844" s="88" t="s">
        <v>2176</v>
      </c>
      <c r="G2844" s="88" t="s">
        <v>1924</v>
      </c>
      <c r="H2844" s="88" t="s">
        <v>596</v>
      </c>
    </row>
    <row r="2845" spans="1:8" ht="28.8" x14ac:dyDescent="0.3">
      <c r="A2845" s="88" t="s">
        <v>592</v>
      </c>
      <c r="B2845" s="88">
        <v>66</v>
      </c>
      <c r="C2845" s="88">
        <v>15</v>
      </c>
      <c r="D2845" s="88" t="s">
        <v>153</v>
      </c>
      <c r="E2845" s="88" t="s">
        <v>2177</v>
      </c>
      <c r="F2845" s="88" t="s">
        <v>2178</v>
      </c>
      <c r="G2845" s="88" t="s">
        <v>1921</v>
      </c>
      <c r="H2845" s="88" t="s">
        <v>596</v>
      </c>
    </row>
    <row r="2846" spans="1:8" ht="28.8" x14ac:dyDescent="0.3">
      <c r="A2846" s="88" t="s">
        <v>592</v>
      </c>
      <c r="B2846" s="88">
        <v>66</v>
      </c>
      <c r="C2846" s="88">
        <v>16</v>
      </c>
      <c r="D2846" s="88" t="s">
        <v>153</v>
      </c>
      <c r="E2846" s="88" t="s">
        <v>2179</v>
      </c>
      <c r="F2846" s="88" t="s">
        <v>2180</v>
      </c>
      <c r="G2846" s="88" t="s">
        <v>1924</v>
      </c>
      <c r="H2846" s="88" t="s">
        <v>596</v>
      </c>
    </row>
    <row r="2847" spans="1:8" ht="28.8" x14ac:dyDescent="0.3">
      <c r="A2847" s="88" t="s">
        <v>592</v>
      </c>
      <c r="B2847" s="88">
        <v>67</v>
      </c>
      <c r="C2847" s="88">
        <v>15</v>
      </c>
      <c r="D2847" s="88" t="s">
        <v>426</v>
      </c>
      <c r="E2847" s="88" t="s">
        <v>2181</v>
      </c>
      <c r="F2847" s="88" t="s">
        <v>2182</v>
      </c>
      <c r="G2847" s="88" t="s">
        <v>1921</v>
      </c>
      <c r="H2847" s="88" t="s">
        <v>596</v>
      </c>
    </row>
    <row r="2848" spans="1:8" ht="28.8" x14ac:dyDescent="0.3">
      <c r="A2848" s="88" t="s">
        <v>592</v>
      </c>
      <c r="B2848" s="88">
        <v>67</v>
      </c>
      <c r="C2848" s="88">
        <v>16</v>
      </c>
      <c r="D2848" s="88" t="s">
        <v>426</v>
      </c>
      <c r="E2848" s="88" t="s">
        <v>2183</v>
      </c>
      <c r="F2848" s="88" t="s">
        <v>2184</v>
      </c>
      <c r="G2848" s="88" t="s">
        <v>1924</v>
      </c>
      <c r="H2848" s="88" t="s">
        <v>596</v>
      </c>
    </row>
    <row r="2849" spans="1:8" ht="28.8" x14ac:dyDescent="0.3">
      <c r="A2849" s="88" t="s">
        <v>592</v>
      </c>
      <c r="B2849" s="88">
        <v>68</v>
      </c>
      <c r="C2849" s="88">
        <v>15</v>
      </c>
      <c r="D2849" s="88" t="s">
        <v>428</v>
      </c>
      <c r="E2849" s="88" t="s">
        <v>2185</v>
      </c>
      <c r="F2849" s="88" t="s">
        <v>2186</v>
      </c>
      <c r="G2849" s="88" t="s">
        <v>1921</v>
      </c>
      <c r="H2849" s="88" t="s">
        <v>596</v>
      </c>
    </row>
    <row r="2850" spans="1:8" ht="28.8" x14ac:dyDescent="0.3">
      <c r="A2850" s="88" t="s">
        <v>592</v>
      </c>
      <c r="B2850" s="88">
        <v>68</v>
      </c>
      <c r="C2850" s="88">
        <v>16</v>
      </c>
      <c r="D2850" s="88" t="s">
        <v>428</v>
      </c>
      <c r="E2850" s="88" t="s">
        <v>2187</v>
      </c>
      <c r="F2850" s="88" t="s">
        <v>2188</v>
      </c>
      <c r="G2850" s="88" t="s">
        <v>1924</v>
      </c>
      <c r="H2850" s="88" t="s">
        <v>596</v>
      </c>
    </row>
    <row r="2851" spans="1:8" ht="28.8" x14ac:dyDescent="0.3">
      <c r="A2851" s="88" t="s">
        <v>592</v>
      </c>
      <c r="B2851" s="88">
        <v>69</v>
      </c>
      <c r="C2851" s="88">
        <v>15</v>
      </c>
      <c r="D2851" s="88" t="s">
        <v>156</v>
      </c>
      <c r="E2851" s="88" t="s">
        <v>2189</v>
      </c>
      <c r="F2851" s="88" t="s">
        <v>2190</v>
      </c>
      <c r="G2851" s="88" t="s">
        <v>1921</v>
      </c>
      <c r="H2851" s="88" t="s">
        <v>596</v>
      </c>
    </row>
    <row r="2852" spans="1:8" ht="28.8" x14ac:dyDescent="0.3">
      <c r="A2852" s="88" t="s">
        <v>592</v>
      </c>
      <c r="B2852" s="88">
        <v>69</v>
      </c>
      <c r="C2852" s="88">
        <v>16</v>
      </c>
      <c r="D2852" s="88" t="s">
        <v>156</v>
      </c>
      <c r="E2852" s="88" t="s">
        <v>2191</v>
      </c>
      <c r="F2852" s="88" t="s">
        <v>2192</v>
      </c>
      <c r="G2852" s="88" t="s">
        <v>1924</v>
      </c>
      <c r="H2852" s="88" t="s">
        <v>596</v>
      </c>
    </row>
    <row r="2853" spans="1:8" ht="28.8" x14ac:dyDescent="0.3">
      <c r="A2853" s="88" t="s">
        <v>592</v>
      </c>
      <c r="B2853" s="88">
        <v>70</v>
      </c>
      <c r="C2853" s="88">
        <v>15</v>
      </c>
      <c r="D2853" s="88" t="s">
        <v>157</v>
      </c>
      <c r="E2853" s="88" t="s">
        <v>2193</v>
      </c>
      <c r="F2853" s="88" t="s">
        <v>2194</v>
      </c>
      <c r="G2853" s="88" t="s">
        <v>1921</v>
      </c>
      <c r="H2853" s="88" t="s">
        <v>596</v>
      </c>
    </row>
    <row r="2854" spans="1:8" ht="28.8" x14ac:dyDescent="0.3">
      <c r="A2854" s="88" t="s">
        <v>592</v>
      </c>
      <c r="B2854" s="88">
        <v>70</v>
      </c>
      <c r="C2854" s="88">
        <v>16</v>
      </c>
      <c r="D2854" s="88" t="s">
        <v>157</v>
      </c>
      <c r="E2854" s="88" t="s">
        <v>2195</v>
      </c>
      <c r="F2854" s="88" t="s">
        <v>2196</v>
      </c>
      <c r="G2854" s="88" t="s">
        <v>1924</v>
      </c>
      <c r="H2854" s="88" t="s">
        <v>596</v>
      </c>
    </row>
    <row r="2855" spans="1:8" ht="28.8" x14ac:dyDescent="0.3">
      <c r="A2855" s="88" t="s">
        <v>592</v>
      </c>
      <c r="B2855" s="88">
        <v>71</v>
      </c>
      <c r="C2855" s="88">
        <v>15</v>
      </c>
      <c r="D2855" s="88" t="s">
        <v>432</v>
      </c>
      <c r="E2855" s="88" t="s">
        <v>2197</v>
      </c>
      <c r="F2855" s="88" t="s">
        <v>2198</v>
      </c>
      <c r="G2855" s="88" t="s">
        <v>1921</v>
      </c>
      <c r="H2855" s="88" t="s">
        <v>596</v>
      </c>
    </row>
    <row r="2856" spans="1:8" ht="28.8" x14ac:dyDescent="0.3">
      <c r="A2856" s="88" t="s">
        <v>592</v>
      </c>
      <c r="B2856" s="88">
        <v>71</v>
      </c>
      <c r="C2856" s="88">
        <v>16</v>
      </c>
      <c r="D2856" s="88" t="s">
        <v>432</v>
      </c>
      <c r="E2856" s="88" t="s">
        <v>2199</v>
      </c>
      <c r="F2856" s="88" t="s">
        <v>2200</v>
      </c>
      <c r="G2856" s="88" t="s">
        <v>1924</v>
      </c>
      <c r="H2856" s="88" t="s">
        <v>596</v>
      </c>
    </row>
    <row r="2857" spans="1:8" ht="28.8" x14ac:dyDescent="0.3">
      <c r="A2857" s="88" t="s">
        <v>592</v>
      </c>
      <c r="B2857" s="88">
        <v>72</v>
      </c>
      <c r="C2857" s="88">
        <v>15</v>
      </c>
      <c r="D2857" s="88" t="s">
        <v>159</v>
      </c>
      <c r="E2857" s="88" t="s">
        <v>2201</v>
      </c>
      <c r="F2857" s="88" t="s">
        <v>2202</v>
      </c>
      <c r="G2857" s="88" t="s">
        <v>1921</v>
      </c>
      <c r="H2857" s="88" t="s">
        <v>596</v>
      </c>
    </row>
    <row r="2858" spans="1:8" ht="28.8" x14ac:dyDescent="0.3">
      <c r="A2858" s="88" t="s">
        <v>592</v>
      </c>
      <c r="B2858" s="88">
        <v>72</v>
      </c>
      <c r="C2858" s="88">
        <v>16</v>
      </c>
      <c r="D2858" s="88" t="s">
        <v>159</v>
      </c>
      <c r="E2858" s="88" t="s">
        <v>2203</v>
      </c>
      <c r="F2858" s="88" t="s">
        <v>2204</v>
      </c>
      <c r="G2858" s="88" t="s">
        <v>1924</v>
      </c>
      <c r="H2858" s="88" t="s">
        <v>596</v>
      </c>
    </row>
    <row r="2859" spans="1:8" ht="28.8" x14ac:dyDescent="0.3">
      <c r="A2859" s="88" t="s">
        <v>592</v>
      </c>
      <c r="B2859" s="88">
        <v>73</v>
      </c>
      <c r="C2859" s="88">
        <v>15</v>
      </c>
      <c r="D2859" s="88" t="s">
        <v>160</v>
      </c>
      <c r="E2859" s="88" t="s">
        <v>2205</v>
      </c>
      <c r="F2859" s="88" t="s">
        <v>2206</v>
      </c>
      <c r="G2859" s="88" t="s">
        <v>1921</v>
      </c>
      <c r="H2859" s="88" t="s">
        <v>596</v>
      </c>
    </row>
    <row r="2860" spans="1:8" ht="28.8" x14ac:dyDescent="0.3">
      <c r="A2860" s="88" t="s">
        <v>592</v>
      </c>
      <c r="B2860" s="88">
        <v>73</v>
      </c>
      <c r="C2860" s="88">
        <v>16</v>
      </c>
      <c r="D2860" s="88" t="s">
        <v>160</v>
      </c>
      <c r="E2860" s="88" t="s">
        <v>2207</v>
      </c>
      <c r="F2860" s="88" t="s">
        <v>2208</v>
      </c>
      <c r="G2860" s="88" t="s">
        <v>1924</v>
      </c>
      <c r="H2860" s="88" t="s">
        <v>596</v>
      </c>
    </row>
    <row r="2861" spans="1:8" ht="28.8" x14ac:dyDescent="0.3">
      <c r="A2861" s="88" t="s">
        <v>592</v>
      </c>
      <c r="B2861" s="88">
        <v>74</v>
      </c>
      <c r="C2861" s="88">
        <v>15</v>
      </c>
      <c r="D2861" s="88" t="s">
        <v>161</v>
      </c>
      <c r="E2861" s="88" t="s">
        <v>2209</v>
      </c>
      <c r="F2861" s="88" t="s">
        <v>2210</v>
      </c>
      <c r="G2861" s="88" t="s">
        <v>1921</v>
      </c>
      <c r="H2861" s="88" t="s">
        <v>596</v>
      </c>
    </row>
    <row r="2862" spans="1:8" ht="28.8" x14ac:dyDescent="0.3">
      <c r="A2862" s="88" t="s">
        <v>592</v>
      </c>
      <c r="B2862" s="88">
        <v>74</v>
      </c>
      <c r="C2862" s="88">
        <v>16</v>
      </c>
      <c r="D2862" s="88" t="s">
        <v>161</v>
      </c>
      <c r="E2862" s="88" t="s">
        <v>2211</v>
      </c>
      <c r="F2862" s="88" t="s">
        <v>2212</v>
      </c>
      <c r="G2862" s="88" t="s">
        <v>1924</v>
      </c>
      <c r="H2862" s="88" t="s">
        <v>596</v>
      </c>
    </row>
    <row r="2863" spans="1:8" ht="28.8" x14ac:dyDescent="0.3">
      <c r="A2863" s="88" t="s">
        <v>592</v>
      </c>
      <c r="B2863" s="88">
        <v>75</v>
      </c>
      <c r="C2863" s="88">
        <v>15</v>
      </c>
      <c r="D2863" s="88" t="s">
        <v>162</v>
      </c>
      <c r="E2863" s="88" t="s">
        <v>2213</v>
      </c>
      <c r="F2863" s="88" t="s">
        <v>2214</v>
      </c>
      <c r="G2863" s="88" t="s">
        <v>1921</v>
      </c>
      <c r="H2863" s="88" t="s">
        <v>596</v>
      </c>
    </row>
    <row r="2864" spans="1:8" ht="28.8" x14ac:dyDescent="0.3">
      <c r="A2864" s="88" t="s">
        <v>592</v>
      </c>
      <c r="B2864" s="88">
        <v>75</v>
      </c>
      <c r="C2864" s="88">
        <v>16</v>
      </c>
      <c r="D2864" s="88" t="s">
        <v>162</v>
      </c>
      <c r="E2864" s="88" t="s">
        <v>2215</v>
      </c>
      <c r="F2864" s="88" t="s">
        <v>2216</v>
      </c>
      <c r="G2864" s="88" t="s">
        <v>1924</v>
      </c>
      <c r="H2864" s="88" t="s">
        <v>596</v>
      </c>
    </row>
    <row r="2865" spans="1:8" ht="28.8" x14ac:dyDescent="0.3">
      <c r="A2865" s="88" t="s">
        <v>592</v>
      </c>
      <c r="B2865" s="88">
        <v>76</v>
      </c>
      <c r="C2865" s="88">
        <v>15</v>
      </c>
      <c r="D2865" s="88" t="s">
        <v>438</v>
      </c>
      <c r="E2865" s="88" t="s">
        <v>2217</v>
      </c>
      <c r="F2865" s="88" t="s">
        <v>2218</v>
      </c>
      <c r="G2865" s="88" t="s">
        <v>1921</v>
      </c>
      <c r="H2865" s="88" t="s">
        <v>596</v>
      </c>
    </row>
    <row r="2866" spans="1:8" ht="28.8" x14ac:dyDescent="0.3">
      <c r="A2866" s="88" t="s">
        <v>592</v>
      </c>
      <c r="B2866" s="88">
        <v>76</v>
      </c>
      <c r="C2866" s="88">
        <v>16</v>
      </c>
      <c r="D2866" s="88" t="s">
        <v>438</v>
      </c>
      <c r="E2866" s="88" t="s">
        <v>2219</v>
      </c>
      <c r="F2866" s="88" t="s">
        <v>2220</v>
      </c>
      <c r="G2866" s="88" t="s">
        <v>1924</v>
      </c>
      <c r="H2866" s="88" t="s">
        <v>596</v>
      </c>
    </row>
    <row r="2867" spans="1:8" ht="28.8" x14ac:dyDescent="0.3">
      <c r="A2867" s="88" t="s">
        <v>592</v>
      </c>
      <c r="B2867" s="88">
        <v>77</v>
      </c>
      <c r="C2867" s="88">
        <v>15</v>
      </c>
      <c r="D2867" s="88" t="s">
        <v>440</v>
      </c>
      <c r="E2867" s="88" t="s">
        <v>2221</v>
      </c>
      <c r="F2867" s="88" t="s">
        <v>2222</v>
      </c>
      <c r="G2867" s="88" t="s">
        <v>1921</v>
      </c>
      <c r="H2867" s="88" t="s">
        <v>596</v>
      </c>
    </row>
    <row r="2868" spans="1:8" ht="28.8" x14ac:dyDescent="0.3">
      <c r="A2868" s="88" t="s">
        <v>592</v>
      </c>
      <c r="B2868" s="88">
        <v>77</v>
      </c>
      <c r="C2868" s="88">
        <v>16</v>
      </c>
      <c r="D2868" s="88" t="s">
        <v>440</v>
      </c>
      <c r="E2868" s="88" t="s">
        <v>2223</v>
      </c>
      <c r="F2868" s="88" t="s">
        <v>2224</v>
      </c>
      <c r="G2868" s="88" t="s">
        <v>1924</v>
      </c>
      <c r="H2868" s="88" t="s">
        <v>596</v>
      </c>
    </row>
    <row r="2869" spans="1:8" ht="28.8" x14ac:dyDescent="0.3">
      <c r="A2869" s="88" t="s">
        <v>592</v>
      </c>
      <c r="B2869" s="88">
        <v>78</v>
      </c>
      <c r="C2869" s="88">
        <v>15</v>
      </c>
      <c r="D2869" s="88" t="s">
        <v>165</v>
      </c>
      <c r="E2869" s="88" t="s">
        <v>2225</v>
      </c>
      <c r="F2869" s="88" t="s">
        <v>2226</v>
      </c>
      <c r="G2869" s="88" t="s">
        <v>1921</v>
      </c>
      <c r="H2869" s="88" t="s">
        <v>596</v>
      </c>
    </row>
    <row r="2870" spans="1:8" ht="28.8" x14ac:dyDescent="0.3">
      <c r="A2870" s="88" t="s">
        <v>592</v>
      </c>
      <c r="B2870" s="88">
        <v>78</v>
      </c>
      <c r="C2870" s="88">
        <v>16</v>
      </c>
      <c r="D2870" s="88" t="s">
        <v>165</v>
      </c>
      <c r="E2870" s="88" t="s">
        <v>2227</v>
      </c>
      <c r="F2870" s="88" t="s">
        <v>2228</v>
      </c>
      <c r="G2870" s="88" t="s">
        <v>1924</v>
      </c>
      <c r="H2870" s="88" t="s">
        <v>596</v>
      </c>
    </row>
    <row r="2871" spans="1:8" ht="28.8" x14ac:dyDescent="0.3">
      <c r="A2871" s="88" t="s">
        <v>592</v>
      </c>
      <c r="B2871" s="88">
        <v>79</v>
      </c>
      <c r="C2871" s="88">
        <v>15</v>
      </c>
      <c r="D2871" s="88" t="s">
        <v>443</v>
      </c>
      <c r="E2871" s="88" t="s">
        <v>2229</v>
      </c>
      <c r="F2871" s="88" t="s">
        <v>2230</v>
      </c>
      <c r="G2871" s="88" t="s">
        <v>1921</v>
      </c>
      <c r="H2871" s="88" t="s">
        <v>596</v>
      </c>
    </row>
    <row r="2872" spans="1:8" ht="28.8" x14ac:dyDescent="0.3">
      <c r="A2872" s="88" t="s">
        <v>592</v>
      </c>
      <c r="B2872" s="88">
        <v>79</v>
      </c>
      <c r="C2872" s="88">
        <v>16</v>
      </c>
      <c r="D2872" s="88" t="s">
        <v>443</v>
      </c>
      <c r="E2872" s="88" t="s">
        <v>2231</v>
      </c>
      <c r="F2872" s="88" t="s">
        <v>2232</v>
      </c>
      <c r="G2872" s="88" t="s">
        <v>1924</v>
      </c>
      <c r="H2872" s="88" t="s">
        <v>596</v>
      </c>
    </row>
    <row r="2873" spans="1:8" ht="28.8" x14ac:dyDescent="0.3">
      <c r="A2873" s="88" t="s">
        <v>592</v>
      </c>
      <c r="B2873" s="88">
        <v>80</v>
      </c>
      <c r="C2873" s="88">
        <v>15</v>
      </c>
      <c r="D2873" s="88" t="s">
        <v>167</v>
      </c>
      <c r="E2873" s="88" t="s">
        <v>2233</v>
      </c>
      <c r="F2873" s="88" t="s">
        <v>2234</v>
      </c>
      <c r="G2873" s="88" t="s">
        <v>1921</v>
      </c>
      <c r="H2873" s="88" t="s">
        <v>596</v>
      </c>
    </row>
    <row r="2874" spans="1:8" ht="28.8" x14ac:dyDescent="0.3">
      <c r="A2874" s="88" t="s">
        <v>592</v>
      </c>
      <c r="B2874" s="88">
        <v>80</v>
      </c>
      <c r="C2874" s="88">
        <v>16</v>
      </c>
      <c r="D2874" s="88" t="s">
        <v>167</v>
      </c>
      <c r="E2874" s="88" t="s">
        <v>2235</v>
      </c>
      <c r="F2874" s="88" t="s">
        <v>2236</v>
      </c>
      <c r="G2874" s="88" t="s">
        <v>1924</v>
      </c>
      <c r="H2874" s="88" t="s">
        <v>596</v>
      </c>
    </row>
    <row r="2875" spans="1:8" ht="28.8" x14ac:dyDescent="0.3">
      <c r="A2875" s="88" t="s">
        <v>592</v>
      </c>
      <c r="B2875" s="88">
        <v>81</v>
      </c>
      <c r="C2875" s="88">
        <v>15</v>
      </c>
      <c r="D2875" s="88" t="s">
        <v>168</v>
      </c>
      <c r="E2875" s="88" t="s">
        <v>2237</v>
      </c>
      <c r="F2875" s="88" t="s">
        <v>2238</v>
      </c>
      <c r="G2875" s="88" t="s">
        <v>1921</v>
      </c>
      <c r="H2875" s="88" t="s">
        <v>596</v>
      </c>
    </row>
    <row r="2876" spans="1:8" ht="28.8" x14ac:dyDescent="0.3">
      <c r="A2876" s="88" t="s">
        <v>592</v>
      </c>
      <c r="B2876" s="88">
        <v>81</v>
      </c>
      <c r="C2876" s="88">
        <v>16</v>
      </c>
      <c r="D2876" s="88" t="s">
        <v>168</v>
      </c>
      <c r="E2876" s="88" t="s">
        <v>2239</v>
      </c>
      <c r="F2876" s="88" t="s">
        <v>2240</v>
      </c>
      <c r="G2876" s="88" t="s">
        <v>1924</v>
      </c>
      <c r="H2876" s="88" t="s">
        <v>596</v>
      </c>
    </row>
    <row r="2877" spans="1:8" ht="28.8" x14ac:dyDescent="0.3">
      <c r="A2877" s="88" t="s">
        <v>592</v>
      </c>
      <c r="B2877" s="88">
        <v>82</v>
      </c>
      <c r="C2877" s="88">
        <v>15</v>
      </c>
      <c r="D2877" s="88" t="s">
        <v>169</v>
      </c>
      <c r="E2877" s="88" t="s">
        <v>2241</v>
      </c>
      <c r="F2877" s="88" t="s">
        <v>2242</v>
      </c>
      <c r="G2877" s="88" t="s">
        <v>1921</v>
      </c>
      <c r="H2877" s="88" t="s">
        <v>596</v>
      </c>
    </row>
    <row r="2878" spans="1:8" ht="28.8" x14ac:dyDescent="0.3">
      <c r="A2878" s="88" t="s">
        <v>592</v>
      </c>
      <c r="B2878" s="88">
        <v>82</v>
      </c>
      <c r="C2878" s="88">
        <v>16</v>
      </c>
      <c r="D2878" s="88" t="s">
        <v>169</v>
      </c>
      <c r="E2878" s="88" t="s">
        <v>2243</v>
      </c>
      <c r="F2878" s="88" t="s">
        <v>2244</v>
      </c>
      <c r="G2878" s="88" t="s">
        <v>1924</v>
      </c>
      <c r="H2878" s="88" t="s">
        <v>596</v>
      </c>
    </row>
    <row r="2879" spans="1:8" ht="28.8" x14ac:dyDescent="0.3">
      <c r="A2879" s="88" t="s">
        <v>592</v>
      </c>
      <c r="B2879" s="88">
        <v>83</v>
      </c>
      <c r="C2879" s="88">
        <v>15</v>
      </c>
      <c r="D2879" s="88" t="s">
        <v>170</v>
      </c>
      <c r="E2879" s="88" t="s">
        <v>2245</v>
      </c>
      <c r="F2879" s="88" t="s">
        <v>2246</v>
      </c>
      <c r="G2879" s="88" t="s">
        <v>1921</v>
      </c>
      <c r="H2879" s="88" t="s">
        <v>596</v>
      </c>
    </row>
    <row r="2880" spans="1:8" ht="28.8" x14ac:dyDescent="0.3">
      <c r="A2880" s="88" t="s">
        <v>592</v>
      </c>
      <c r="B2880" s="88">
        <v>83</v>
      </c>
      <c r="C2880" s="88">
        <v>16</v>
      </c>
      <c r="D2880" s="88" t="s">
        <v>170</v>
      </c>
      <c r="E2880" s="88" t="s">
        <v>2247</v>
      </c>
      <c r="F2880" s="88" t="s">
        <v>2248</v>
      </c>
      <c r="G2880" s="88" t="s">
        <v>1924</v>
      </c>
      <c r="H2880" s="88" t="s">
        <v>596</v>
      </c>
    </row>
    <row r="2881" spans="1:8" ht="28.8" x14ac:dyDescent="0.3">
      <c r="A2881" s="88" t="s">
        <v>592</v>
      </c>
      <c r="B2881" s="88">
        <v>84</v>
      </c>
      <c r="C2881" s="88">
        <v>15</v>
      </c>
      <c r="D2881" s="88" t="s">
        <v>171</v>
      </c>
      <c r="E2881" s="88" t="s">
        <v>2249</v>
      </c>
      <c r="F2881" s="88" t="s">
        <v>2250</v>
      </c>
      <c r="G2881" s="88" t="s">
        <v>1921</v>
      </c>
      <c r="H2881" s="88" t="s">
        <v>596</v>
      </c>
    </row>
    <row r="2882" spans="1:8" ht="28.8" x14ac:dyDescent="0.3">
      <c r="A2882" s="88" t="s">
        <v>592</v>
      </c>
      <c r="B2882" s="88">
        <v>84</v>
      </c>
      <c r="C2882" s="88">
        <v>16</v>
      </c>
      <c r="D2882" s="88" t="s">
        <v>171</v>
      </c>
      <c r="E2882" s="88" t="s">
        <v>2251</v>
      </c>
      <c r="F2882" s="88" t="s">
        <v>2252</v>
      </c>
      <c r="G2882" s="88" t="s">
        <v>1924</v>
      </c>
      <c r="H2882" s="88" t="s">
        <v>596</v>
      </c>
    </row>
    <row r="2883" spans="1:8" ht="28.8" x14ac:dyDescent="0.3">
      <c r="A2883" s="88" t="s">
        <v>592</v>
      </c>
      <c r="B2883" s="88">
        <v>85</v>
      </c>
      <c r="C2883" s="88">
        <v>15</v>
      </c>
      <c r="D2883" s="88" t="s">
        <v>450</v>
      </c>
      <c r="E2883" s="88" t="s">
        <v>2253</v>
      </c>
      <c r="F2883" s="88" t="s">
        <v>2254</v>
      </c>
      <c r="G2883" s="88" t="s">
        <v>1921</v>
      </c>
      <c r="H2883" s="88" t="s">
        <v>596</v>
      </c>
    </row>
    <row r="2884" spans="1:8" ht="28.8" x14ac:dyDescent="0.3">
      <c r="A2884" s="88" t="s">
        <v>592</v>
      </c>
      <c r="B2884" s="88">
        <v>85</v>
      </c>
      <c r="C2884" s="88">
        <v>16</v>
      </c>
      <c r="D2884" s="88" t="s">
        <v>450</v>
      </c>
      <c r="E2884" s="88" t="s">
        <v>2255</v>
      </c>
      <c r="F2884" s="88" t="s">
        <v>2256</v>
      </c>
      <c r="G2884" s="88" t="s">
        <v>1924</v>
      </c>
      <c r="H2884" s="88" t="s">
        <v>596</v>
      </c>
    </row>
    <row r="2885" spans="1:8" ht="28.8" x14ac:dyDescent="0.3">
      <c r="A2885" s="88" t="s">
        <v>592</v>
      </c>
      <c r="B2885" s="88">
        <v>86</v>
      </c>
      <c r="C2885" s="88">
        <v>15</v>
      </c>
      <c r="D2885" s="88" t="s">
        <v>452</v>
      </c>
      <c r="E2885" s="88" t="s">
        <v>2257</v>
      </c>
      <c r="F2885" s="88" t="s">
        <v>2258</v>
      </c>
      <c r="G2885" s="88" t="s">
        <v>1921</v>
      </c>
      <c r="H2885" s="88" t="s">
        <v>596</v>
      </c>
    </row>
    <row r="2886" spans="1:8" ht="28.8" x14ac:dyDescent="0.3">
      <c r="A2886" s="88" t="s">
        <v>592</v>
      </c>
      <c r="B2886" s="88">
        <v>86</v>
      </c>
      <c r="C2886" s="88">
        <v>16</v>
      </c>
      <c r="D2886" s="88" t="s">
        <v>452</v>
      </c>
      <c r="E2886" s="88" t="s">
        <v>2259</v>
      </c>
      <c r="F2886" s="88" t="s">
        <v>2260</v>
      </c>
      <c r="G2886" s="88" t="s">
        <v>1924</v>
      </c>
      <c r="H2886" s="88" t="s">
        <v>596</v>
      </c>
    </row>
    <row r="2887" spans="1:8" ht="28.8" x14ac:dyDescent="0.3">
      <c r="A2887" s="88" t="s">
        <v>592</v>
      </c>
      <c r="B2887" s="88">
        <v>87</v>
      </c>
      <c r="C2887" s="88">
        <v>15</v>
      </c>
      <c r="D2887" s="88" t="s">
        <v>174</v>
      </c>
      <c r="E2887" s="88" t="s">
        <v>2261</v>
      </c>
      <c r="F2887" s="88" t="s">
        <v>2262</v>
      </c>
      <c r="G2887" s="88" t="s">
        <v>1921</v>
      </c>
      <c r="H2887" s="88" t="s">
        <v>596</v>
      </c>
    </row>
    <row r="2888" spans="1:8" ht="28.8" x14ac:dyDescent="0.3">
      <c r="A2888" s="88" t="s">
        <v>592</v>
      </c>
      <c r="B2888" s="88">
        <v>87</v>
      </c>
      <c r="C2888" s="88">
        <v>16</v>
      </c>
      <c r="D2888" s="88" t="s">
        <v>174</v>
      </c>
      <c r="E2888" s="88" t="s">
        <v>2263</v>
      </c>
      <c r="F2888" s="88" t="s">
        <v>2264</v>
      </c>
      <c r="G2888" s="88" t="s">
        <v>1924</v>
      </c>
      <c r="H2888" s="88" t="s">
        <v>596</v>
      </c>
    </row>
    <row r="2889" spans="1:8" ht="28.8" x14ac:dyDescent="0.3">
      <c r="A2889" s="88" t="s">
        <v>592</v>
      </c>
      <c r="B2889" s="88">
        <v>88</v>
      </c>
      <c r="C2889" s="88">
        <v>15</v>
      </c>
      <c r="D2889" s="88" t="s">
        <v>455</v>
      </c>
      <c r="E2889" s="88" t="s">
        <v>2265</v>
      </c>
      <c r="F2889" s="88" t="s">
        <v>2266</v>
      </c>
      <c r="G2889" s="88" t="s">
        <v>1921</v>
      </c>
      <c r="H2889" s="88" t="s">
        <v>596</v>
      </c>
    </row>
    <row r="2890" spans="1:8" ht="28.8" x14ac:dyDescent="0.3">
      <c r="A2890" s="88" t="s">
        <v>592</v>
      </c>
      <c r="B2890" s="88">
        <v>88</v>
      </c>
      <c r="C2890" s="88">
        <v>16</v>
      </c>
      <c r="D2890" s="88" t="s">
        <v>455</v>
      </c>
      <c r="E2890" s="88" t="s">
        <v>2267</v>
      </c>
      <c r="F2890" s="88" t="s">
        <v>2268</v>
      </c>
      <c r="G2890" s="88" t="s">
        <v>1924</v>
      </c>
      <c r="H2890" s="88" t="s">
        <v>596</v>
      </c>
    </row>
    <row r="2891" spans="1:8" ht="28.8" x14ac:dyDescent="0.3">
      <c r="A2891" s="88" t="s">
        <v>592</v>
      </c>
      <c r="B2891" s="88">
        <v>89</v>
      </c>
      <c r="C2891" s="88">
        <v>15</v>
      </c>
      <c r="D2891" s="88" t="s">
        <v>176</v>
      </c>
      <c r="E2891" s="88" t="s">
        <v>2269</v>
      </c>
      <c r="F2891" s="88" t="s">
        <v>2270</v>
      </c>
      <c r="G2891" s="88" t="s">
        <v>1921</v>
      </c>
      <c r="H2891" s="88" t="s">
        <v>596</v>
      </c>
    </row>
    <row r="2892" spans="1:8" ht="28.8" x14ac:dyDescent="0.3">
      <c r="A2892" s="88" t="s">
        <v>592</v>
      </c>
      <c r="B2892" s="88">
        <v>89</v>
      </c>
      <c r="C2892" s="88">
        <v>16</v>
      </c>
      <c r="D2892" s="88" t="s">
        <v>176</v>
      </c>
      <c r="E2892" s="88" t="s">
        <v>2271</v>
      </c>
      <c r="F2892" s="88" t="s">
        <v>2272</v>
      </c>
      <c r="G2892" s="88" t="s">
        <v>1924</v>
      </c>
      <c r="H2892" s="88" t="s">
        <v>596</v>
      </c>
    </row>
    <row r="2893" spans="1:8" ht="28.8" x14ac:dyDescent="0.3">
      <c r="A2893" s="88" t="s">
        <v>592</v>
      </c>
      <c r="B2893" s="88">
        <v>90</v>
      </c>
      <c r="C2893" s="88">
        <v>15</v>
      </c>
      <c r="D2893" s="88" t="s">
        <v>457</v>
      </c>
      <c r="E2893" s="88" t="s">
        <v>2273</v>
      </c>
      <c r="F2893" s="88" t="s">
        <v>2274</v>
      </c>
      <c r="G2893" s="88" t="s">
        <v>1921</v>
      </c>
      <c r="H2893" s="88" t="s">
        <v>596</v>
      </c>
    </row>
    <row r="2894" spans="1:8" ht="28.8" x14ac:dyDescent="0.3">
      <c r="A2894" s="88" t="s">
        <v>592</v>
      </c>
      <c r="B2894" s="88">
        <v>90</v>
      </c>
      <c r="C2894" s="88">
        <v>16</v>
      </c>
      <c r="D2894" s="88" t="s">
        <v>457</v>
      </c>
      <c r="E2894" s="88" t="s">
        <v>2275</v>
      </c>
      <c r="F2894" s="88" t="s">
        <v>2276</v>
      </c>
      <c r="G2894" s="88" t="s">
        <v>1924</v>
      </c>
      <c r="H2894" s="88" t="s">
        <v>596</v>
      </c>
    </row>
    <row r="2895" spans="1:8" ht="28.8" x14ac:dyDescent="0.3">
      <c r="A2895" s="88" t="s">
        <v>592</v>
      </c>
      <c r="B2895" s="88">
        <v>91</v>
      </c>
      <c r="C2895" s="88">
        <v>15</v>
      </c>
      <c r="D2895" s="88" t="s">
        <v>178</v>
      </c>
      <c r="E2895" s="88" t="s">
        <v>2277</v>
      </c>
      <c r="F2895" s="88" t="s">
        <v>2278</v>
      </c>
      <c r="G2895" s="88" t="s">
        <v>1921</v>
      </c>
      <c r="H2895" s="88" t="s">
        <v>596</v>
      </c>
    </row>
    <row r="2896" spans="1:8" ht="28.8" x14ac:dyDescent="0.3">
      <c r="A2896" s="88" t="s">
        <v>592</v>
      </c>
      <c r="B2896" s="88">
        <v>91</v>
      </c>
      <c r="C2896" s="88">
        <v>16</v>
      </c>
      <c r="D2896" s="88" t="s">
        <v>178</v>
      </c>
      <c r="E2896" s="88" t="s">
        <v>2279</v>
      </c>
      <c r="F2896" s="88" t="s">
        <v>2280</v>
      </c>
      <c r="G2896" s="88" t="s">
        <v>1924</v>
      </c>
      <c r="H2896" s="88" t="s">
        <v>596</v>
      </c>
    </row>
    <row r="2897" spans="1:8" ht="28.8" x14ac:dyDescent="0.3">
      <c r="A2897" s="88" t="s">
        <v>592</v>
      </c>
      <c r="B2897" s="88">
        <v>92</v>
      </c>
      <c r="C2897" s="88">
        <v>15</v>
      </c>
      <c r="D2897" s="88" t="s">
        <v>179</v>
      </c>
      <c r="E2897" s="88" t="s">
        <v>2281</v>
      </c>
      <c r="F2897" s="88" t="s">
        <v>2282</v>
      </c>
      <c r="G2897" s="88" t="s">
        <v>1921</v>
      </c>
      <c r="H2897" s="88" t="s">
        <v>596</v>
      </c>
    </row>
    <row r="2898" spans="1:8" ht="28.8" x14ac:dyDescent="0.3">
      <c r="A2898" s="88" t="s">
        <v>592</v>
      </c>
      <c r="B2898" s="88">
        <v>92</v>
      </c>
      <c r="C2898" s="88">
        <v>16</v>
      </c>
      <c r="D2898" s="88" t="s">
        <v>179</v>
      </c>
      <c r="E2898" s="88" t="s">
        <v>2283</v>
      </c>
      <c r="F2898" s="88" t="s">
        <v>2284</v>
      </c>
      <c r="G2898" s="88" t="s">
        <v>1924</v>
      </c>
      <c r="H2898" s="88" t="s">
        <v>596</v>
      </c>
    </row>
    <row r="2899" spans="1:8" ht="28.8" x14ac:dyDescent="0.3">
      <c r="A2899" s="88" t="s">
        <v>592</v>
      </c>
      <c r="B2899" s="88">
        <v>93</v>
      </c>
      <c r="C2899" s="88">
        <v>15</v>
      </c>
      <c r="D2899" s="88" t="s">
        <v>180</v>
      </c>
      <c r="E2899" s="88" t="s">
        <v>2285</v>
      </c>
      <c r="F2899" s="88" t="s">
        <v>2286</v>
      </c>
      <c r="G2899" s="88" t="s">
        <v>1921</v>
      </c>
      <c r="H2899" s="88" t="s">
        <v>596</v>
      </c>
    </row>
    <row r="2900" spans="1:8" ht="28.8" x14ac:dyDescent="0.3">
      <c r="A2900" s="88" t="s">
        <v>592</v>
      </c>
      <c r="B2900" s="88">
        <v>93</v>
      </c>
      <c r="C2900" s="88">
        <v>16</v>
      </c>
      <c r="D2900" s="88" t="s">
        <v>180</v>
      </c>
      <c r="E2900" s="88" t="s">
        <v>2287</v>
      </c>
      <c r="F2900" s="88" t="s">
        <v>2288</v>
      </c>
      <c r="G2900" s="88" t="s">
        <v>1924</v>
      </c>
      <c r="H2900" s="88" t="s">
        <v>596</v>
      </c>
    </row>
    <row r="2901" spans="1:8" ht="28.8" x14ac:dyDescent="0.3">
      <c r="A2901" s="88" t="s">
        <v>592</v>
      </c>
      <c r="B2901" s="88">
        <v>94</v>
      </c>
      <c r="C2901" s="88">
        <v>15</v>
      </c>
      <c r="D2901" s="88" t="s">
        <v>181</v>
      </c>
      <c r="E2901" s="88" t="s">
        <v>2289</v>
      </c>
      <c r="F2901" s="88" t="s">
        <v>2290</v>
      </c>
      <c r="G2901" s="88" t="s">
        <v>1921</v>
      </c>
      <c r="H2901" s="88" t="s">
        <v>596</v>
      </c>
    </row>
    <row r="2902" spans="1:8" ht="28.8" x14ac:dyDescent="0.3">
      <c r="A2902" s="88" t="s">
        <v>592</v>
      </c>
      <c r="B2902" s="88">
        <v>94</v>
      </c>
      <c r="C2902" s="88">
        <v>16</v>
      </c>
      <c r="D2902" s="88" t="s">
        <v>181</v>
      </c>
      <c r="E2902" s="88" t="s">
        <v>2291</v>
      </c>
      <c r="F2902" s="88" t="s">
        <v>2292</v>
      </c>
      <c r="G2902" s="88" t="s">
        <v>1924</v>
      </c>
      <c r="H2902" s="88" t="s">
        <v>596</v>
      </c>
    </row>
    <row r="2903" spans="1:8" ht="28.8" x14ac:dyDescent="0.3">
      <c r="A2903" s="88" t="s">
        <v>592</v>
      </c>
      <c r="B2903" s="88">
        <v>95</v>
      </c>
      <c r="C2903" s="88">
        <v>15</v>
      </c>
      <c r="D2903" s="88" t="s">
        <v>182</v>
      </c>
      <c r="E2903" s="88" t="s">
        <v>2293</v>
      </c>
      <c r="F2903" s="88" t="s">
        <v>2294</v>
      </c>
      <c r="G2903" s="88" t="s">
        <v>1921</v>
      </c>
      <c r="H2903" s="88" t="s">
        <v>596</v>
      </c>
    </row>
    <row r="2904" spans="1:8" ht="28.8" x14ac:dyDescent="0.3">
      <c r="A2904" s="88" t="s">
        <v>592</v>
      </c>
      <c r="B2904" s="88">
        <v>95</v>
      </c>
      <c r="C2904" s="88">
        <v>16</v>
      </c>
      <c r="D2904" s="88" t="s">
        <v>182</v>
      </c>
      <c r="E2904" s="88" t="s">
        <v>2295</v>
      </c>
      <c r="F2904" s="88" t="s">
        <v>2296</v>
      </c>
      <c r="G2904" s="88" t="s">
        <v>1924</v>
      </c>
      <c r="H2904" s="88" t="s">
        <v>596</v>
      </c>
    </row>
    <row r="2905" spans="1:8" ht="28.8" x14ac:dyDescent="0.3">
      <c r="A2905" s="88" t="s">
        <v>592</v>
      </c>
      <c r="B2905" s="88">
        <v>96</v>
      </c>
      <c r="C2905" s="88">
        <v>15</v>
      </c>
      <c r="D2905" s="88" t="s">
        <v>183</v>
      </c>
      <c r="E2905" s="88" t="s">
        <v>2297</v>
      </c>
      <c r="F2905" s="88" t="s">
        <v>2298</v>
      </c>
      <c r="G2905" s="88" t="s">
        <v>1921</v>
      </c>
      <c r="H2905" s="88" t="s">
        <v>596</v>
      </c>
    </row>
    <row r="2906" spans="1:8" ht="28.8" x14ac:dyDescent="0.3">
      <c r="A2906" s="88" t="s">
        <v>592</v>
      </c>
      <c r="B2906" s="88">
        <v>96</v>
      </c>
      <c r="C2906" s="88">
        <v>16</v>
      </c>
      <c r="D2906" s="88" t="s">
        <v>183</v>
      </c>
      <c r="E2906" s="88" t="s">
        <v>2299</v>
      </c>
      <c r="F2906" s="88" t="s">
        <v>2300</v>
      </c>
      <c r="G2906" s="88" t="s">
        <v>1924</v>
      </c>
      <c r="H2906" s="88" t="s">
        <v>596</v>
      </c>
    </row>
    <row r="2907" spans="1:8" ht="28.8" x14ac:dyDescent="0.3">
      <c r="A2907" s="88" t="s">
        <v>592</v>
      </c>
      <c r="B2907" s="88">
        <v>97</v>
      </c>
      <c r="C2907" s="88">
        <v>15</v>
      </c>
      <c r="D2907" s="88" t="s">
        <v>184</v>
      </c>
      <c r="E2907" s="88" t="s">
        <v>2301</v>
      </c>
      <c r="F2907" s="88" t="s">
        <v>2302</v>
      </c>
      <c r="G2907" s="88" t="s">
        <v>1921</v>
      </c>
      <c r="H2907" s="88" t="s">
        <v>596</v>
      </c>
    </row>
    <row r="2908" spans="1:8" ht="28.8" x14ac:dyDescent="0.3">
      <c r="A2908" s="88" t="s">
        <v>592</v>
      </c>
      <c r="B2908" s="88">
        <v>97</v>
      </c>
      <c r="C2908" s="88">
        <v>16</v>
      </c>
      <c r="D2908" s="88" t="s">
        <v>184</v>
      </c>
      <c r="E2908" s="88" t="s">
        <v>2303</v>
      </c>
      <c r="F2908" s="88" t="s">
        <v>2304</v>
      </c>
      <c r="G2908" s="88" t="s">
        <v>1924</v>
      </c>
      <c r="H2908" s="88" t="s">
        <v>596</v>
      </c>
    </row>
    <row r="2909" spans="1:8" ht="28.8" x14ac:dyDescent="0.3">
      <c r="A2909" s="88" t="s">
        <v>592</v>
      </c>
      <c r="B2909" s="88">
        <v>98</v>
      </c>
      <c r="C2909" s="88">
        <v>15</v>
      </c>
      <c r="D2909" s="88" t="s">
        <v>185</v>
      </c>
      <c r="E2909" s="88" t="s">
        <v>2305</v>
      </c>
      <c r="F2909" s="88" t="s">
        <v>2306</v>
      </c>
      <c r="G2909" s="88" t="s">
        <v>1921</v>
      </c>
      <c r="H2909" s="88" t="s">
        <v>596</v>
      </c>
    </row>
    <row r="2910" spans="1:8" ht="28.8" x14ac:dyDescent="0.3">
      <c r="A2910" s="88" t="s">
        <v>592</v>
      </c>
      <c r="B2910" s="88">
        <v>98</v>
      </c>
      <c r="C2910" s="88">
        <v>16</v>
      </c>
      <c r="D2910" s="88" t="s">
        <v>185</v>
      </c>
      <c r="E2910" s="88" t="s">
        <v>2307</v>
      </c>
      <c r="F2910" s="88" t="s">
        <v>2308</v>
      </c>
      <c r="G2910" s="88" t="s">
        <v>1924</v>
      </c>
      <c r="H2910" s="88" t="s">
        <v>596</v>
      </c>
    </row>
    <row r="2911" spans="1:8" ht="28.8" x14ac:dyDescent="0.3">
      <c r="A2911" s="88" t="s">
        <v>592</v>
      </c>
      <c r="B2911" s="88">
        <v>99</v>
      </c>
      <c r="C2911" s="88">
        <v>15</v>
      </c>
      <c r="D2911" s="88" t="s">
        <v>186</v>
      </c>
      <c r="E2911" s="88" t="s">
        <v>2309</v>
      </c>
      <c r="F2911" s="88" t="s">
        <v>2310</v>
      </c>
      <c r="G2911" s="88" t="s">
        <v>1921</v>
      </c>
      <c r="H2911" s="88" t="s">
        <v>596</v>
      </c>
    </row>
    <row r="2912" spans="1:8" ht="28.8" x14ac:dyDescent="0.3">
      <c r="A2912" s="88" t="s">
        <v>592</v>
      </c>
      <c r="B2912" s="88">
        <v>99</v>
      </c>
      <c r="C2912" s="88">
        <v>16</v>
      </c>
      <c r="D2912" s="88" t="s">
        <v>186</v>
      </c>
      <c r="E2912" s="88" t="s">
        <v>2311</v>
      </c>
      <c r="F2912" s="88" t="s">
        <v>2312</v>
      </c>
      <c r="G2912" s="88" t="s">
        <v>1924</v>
      </c>
      <c r="H2912" s="88" t="s">
        <v>596</v>
      </c>
    </row>
    <row r="2913" spans="1:8" ht="28.8" x14ac:dyDescent="0.3">
      <c r="A2913" s="88" t="s">
        <v>592</v>
      </c>
      <c r="B2913" s="88">
        <v>100</v>
      </c>
      <c r="C2913" s="88">
        <v>15</v>
      </c>
      <c r="D2913" s="88" t="s">
        <v>187</v>
      </c>
      <c r="E2913" s="88" t="s">
        <v>2313</v>
      </c>
      <c r="F2913" s="88" t="s">
        <v>2314</v>
      </c>
      <c r="G2913" s="88" t="s">
        <v>1921</v>
      </c>
      <c r="H2913" s="88" t="s">
        <v>596</v>
      </c>
    </row>
    <row r="2914" spans="1:8" ht="28.8" x14ac:dyDescent="0.3">
      <c r="A2914" s="88" t="s">
        <v>592</v>
      </c>
      <c r="B2914" s="88">
        <v>100</v>
      </c>
      <c r="C2914" s="88">
        <v>16</v>
      </c>
      <c r="D2914" s="88" t="s">
        <v>187</v>
      </c>
      <c r="E2914" s="88" t="s">
        <v>2315</v>
      </c>
      <c r="F2914" s="88" t="s">
        <v>2316</v>
      </c>
      <c r="G2914" s="88" t="s">
        <v>1924</v>
      </c>
      <c r="H2914" s="88" t="s">
        <v>596</v>
      </c>
    </row>
    <row r="2915" spans="1:8" ht="28.8" x14ac:dyDescent="0.3">
      <c r="A2915" s="88" t="s">
        <v>592</v>
      </c>
      <c r="B2915" s="88">
        <v>101</v>
      </c>
      <c r="C2915" s="88">
        <v>15</v>
      </c>
      <c r="D2915" s="88" t="s">
        <v>469</v>
      </c>
      <c r="E2915" s="88" t="s">
        <v>2317</v>
      </c>
      <c r="F2915" s="88" t="s">
        <v>2318</v>
      </c>
      <c r="G2915" s="88" t="s">
        <v>1921</v>
      </c>
      <c r="H2915" s="88" t="s">
        <v>596</v>
      </c>
    </row>
    <row r="2916" spans="1:8" ht="28.8" x14ac:dyDescent="0.3">
      <c r="A2916" s="88" t="s">
        <v>592</v>
      </c>
      <c r="B2916" s="88">
        <v>101</v>
      </c>
      <c r="C2916" s="88">
        <v>16</v>
      </c>
      <c r="D2916" s="88" t="s">
        <v>469</v>
      </c>
      <c r="E2916" s="88" t="s">
        <v>2319</v>
      </c>
      <c r="F2916" s="88" t="s">
        <v>2320</v>
      </c>
      <c r="G2916" s="88" t="s">
        <v>1924</v>
      </c>
      <c r="H2916" s="88" t="s">
        <v>596</v>
      </c>
    </row>
    <row r="2917" spans="1:8" ht="28.8" x14ac:dyDescent="0.3">
      <c r="A2917" s="88" t="s">
        <v>592</v>
      </c>
      <c r="B2917" s="88">
        <v>102</v>
      </c>
      <c r="C2917" s="88">
        <v>15</v>
      </c>
      <c r="D2917" s="88" t="s">
        <v>189</v>
      </c>
      <c r="E2917" s="88" t="s">
        <v>2321</v>
      </c>
      <c r="F2917" s="88" t="s">
        <v>2322</v>
      </c>
      <c r="G2917" s="88" t="s">
        <v>1921</v>
      </c>
      <c r="H2917" s="88" t="s">
        <v>596</v>
      </c>
    </row>
    <row r="2918" spans="1:8" ht="28.8" x14ac:dyDescent="0.3">
      <c r="A2918" s="88" t="s">
        <v>592</v>
      </c>
      <c r="B2918" s="88">
        <v>102</v>
      </c>
      <c r="C2918" s="88">
        <v>16</v>
      </c>
      <c r="D2918" s="88" t="s">
        <v>189</v>
      </c>
      <c r="E2918" s="88" t="s">
        <v>2323</v>
      </c>
      <c r="F2918" s="88" t="s">
        <v>2324</v>
      </c>
      <c r="G2918" s="88" t="s">
        <v>1924</v>
      </c>
      <c r="H2918" s="88" t="s">
        <v>596</v>
      </c>
    </row>
    <row r="2919" spans="1:8" ht="28.8" x14ac:dyDescent="0.3">
      <c r="A2919" s="88" t="s">
        <v>592</v>
      </c>
      <c r="B2919" s="88">
        <v>103</v>
      </c>
      <c r="C2919" s="88">
        <v>15</v>
      </c>
      <c r="D2919" s="88" t="s">
        <v>190</v>
      </c>
      <c r="E2919" s="88" t="s">
        <v>2325</v>
      </c>
      <c r="F2919" s="88" t="s">
        <v>2326</v>
      </c>
      <c r="G2919" s="88" t="s">
        <v>1921</v>
      </c>
      <c r="H2919" s="88" t="s">
        <v>596</v>
      </c>
    </row>
    <row r="2920" spans="1:8" ht="28.8" x14ac:dyDescent="0.3">
      <c r="A2920" s="88" t="s">
        <v>592</v>
      </c>
      <c r="B2920" s="88">
        <v>103</v>
      </c>
      <c r="C2920" s="88">
        <v>16</v>
      </c>
      <c r="D2920" s="88" t="s">
        <v>190</v>
      </c>
      <c r="E2920" s="88" t="s">
        <v>2327</v>
      </c>
      <c r="F2920" s="88" t="s">
        <v>2328</v>
      </c>
      <c r="G2920" s="88" t="s">
        <v>1924</v>
      </c>
      <c r="H2920" s="88" t="s">
        <v>596</v>
      </c>
    </row>
    <row r="2921" spans="1:8" ht="28.8" x14ac:dyDescent="0.3">
      <c r="A2921" s="88" t="s">
        <v>592</v>
      </c>
      <c r="B2921" s="88">
        <v>104</v>
      </c>
      <c r="C2921" s="88">
        <v>15</v>
      </c>
      <c r="D2921" s="88" t="s">
        <v>191</v>
      </c>
      <c r="E2921" s="88" t="s">
        <v>2329</v>
      </c>
      <c r="F2921" s="88" t="s">
        <v>2330</v>
      </c>
      <c r="G2921" s="88" t="s">
        <v>1921</v>
      </c>
      <c r="H2921" s="88" t="s">
        <v>596</v>
      </c>
    </row>
    <row r="2922" spans="1:8" ht="28.8" x14ac:dyDescent="0.3">
      <c r="A2922" s="88" t="s">
        <v>592</v>
      </c>
      <c r="B2922" s="88">
        <v>104</v>
      </c>
      <c r="C2922" s="88">
        <v>16</v>
      </c>
      <c r="D2922" s="88" t="s">
        <v>191</v>
      </c>
      <c r="E2922" s="88" t="s">
        <v>2331</v>
      </c>
      <c r="F2922" s="88" t="s">
        <v>2332</v>
      </c>
      <c r="G2922" s="88" t="s">
        <v>1924</v>
      </c>
      <c r="H2922" s="88" t="s">
        <v>596</v>
      </c>
    </row>
    <row r="2923" spans="1:8" ht="28.8" x14ac:dyDescent="0.3">
      <c r="A2923" s="88" t="s">
        <v>592</v>
      </c>
      <c r="B2923" s="88">
        <v>105</v>
      </c>
      <c r="C2923" s="88">
        <v>15</v>
      </c>
      <c r="D2923" s="88" t="s">
        <v>474</v>
      </c>
      <c r="E2923" s="88" t="s">
        <v>2333</v>
      </c>
      <c r="F2923" s="88" t="s">
        <v>2334</v>
      </c>
      <c r="G2923" s="88" t="s">
        <v>1921</v>
      </c>
      <c r="H2923" s="88" t="s">
        <v>596</v>
      </c>
    </row>
    <row r="2924" spans="1:8" ht="28.8" x14ac:dyDescent="0.3">
      <c r="A2924" s="88" t="s">
        <v>592</v>
      </c>
      <c r="B2924" s="88">
        <v>105</v>
      </c>
      <c r="C2924" s="88">
        <v>16</v>
      </c>
      <c r="D2924" s="88" t="s">
        <v>474</v>
      </c>
      <c r="E2924" s="88" t="s">
        <v>2335</v>
      </c>
      <c r="F2924" s="88" t="s">
        <v>2336</v>
      </c>
      <c r="G2924" s="88" t="s">
        <v>1924</v>
      </c>
      <c r="H2924" s="88" t="s">
        <v>596</v>
      </c>
    </row>
    <row r="2925" spans="1:8" ht="28.8" x14ac:dyDescent="0.3">
      <c r="A2925" s="88" t="s">
        <v>592</v>
      </c>
      <c r="B2925" s="88">
        <v>106</v>
      </c>
      <c r="C2925" s="88">
        <v>15</v>
      </c>
      <c r="D2925" s="88" t="s">
        <v>193</v>
      </c>
      <c r="E2925" s="88" t="s">
        <v>2337</v>
      </c>
      <c r="F2925" s="88" t="s">
        <v>2338</v>
      </c>
      <c r="G2925" s="88" t="s">
        <v>1921</v>
      </c>
      <c r="H2925" s="88" t="s">
        <v>596</v>
      </c>
    </row>
    <row r="2926" spans="1:8" ht="28.8" x14ac:dyDescent="0.3">
      <c r="A2926" s="88" t="s">
        <v>592</v>
      </c>
      <c r="B2926" s="88">
        <v>106</v>
      </c>
      <c r="C2926" s="88">
        <v>16</v>
      </c>
      <c r="D2926" s="88" t="s">
        <v>193</v>
      </c>
      <c r="E2926" s="88" t="s">
        <v>2339</v>
      </c>
      <c r="F2926" s="88" t="s">
        <v>2340</v>
      </c>
      <c r="G2926" s="88" t="s">
        <v>1924</v>
      </c>
      <c r="H2926" s="88" t="s">
        <v>596</v>
      </c>
    </row>
    <row r="2927" spans="1:8" ht="28.8" x14ac:dyDescent="0.3">
      <c r="A2927" s="88" t="s">
        <v>592</v>
      </c>
      <c r="B2927" s="88">
        <v>107</v>
      </c>
      <c r="C2927" s="88">
        <v>15</v>
      </c>
      <c r="D2927" s="88" t="s">
        <v>194</v>
      </c>
      <c r="E2927" s="88" t="s">
        <v>2341</v>
      </c>
      <c r="F2927" s="88" t="s">
        <v>2342</v>
      </c>
      <c r="G2927" s="88" t="s">
        <v>1921</v>
      </c>
      <c r="H2927" s="88" t="s">
        <v>596</v>
      </c>
    </row>
    <row r="2928" spans="1:8" ht="28.8" x14ac:dyDescent="0.3">
      <c r="A2928" s="88" t="s">
        <v>592</v>
      </c>
      <c r="B2928" s="88">
        <v>107</v>
      </c>
      <c r="C2928" s="88">
        <v>16</v>
      </c>
      <c r="D2928" s="88" t="s">
        <v>194</v>
      </c>
      <c r="E2928" s="88" t="s">
        <v>2343</v>
      </c>
      <c r="F2928" s="88" t="s">
        <v>2344</v>
      </c>
      <c r="G2928" s="88" t="s">
        <v>1924</v>
      </c>
      <c r="H2928" s="88" t="s">
        <v>596</v>
      </c>
    </row>
    <row r="2929" spans="1:8" ht="28.8" x14ac:dyDescent="0.3">
      <c r="A2929" s="88" t="s">
        <v>592</v>
      </c>
      <c r="B2929" s="88">
        <v>108</v>
      </c>
      <c r="C2929" s="88">
        <v>15</v>
      </c>
      <c r="D2929" s="88" t="s">
        <v>478</v>
      </c>
      <c r="E2929" s="88" t="s">
        <v>2345</v>
      </c>
      <c r="F2929" s="88" t="s">
        <v>2346</v>
      </c>
      <c r="G2929" s="88" t="s">
        <v>1921</v>
      </c>
      <c r="H2929" s="88" t="s">
        <v>596</v>
      </c>
    </row>
    <row r="2930" spans="1:8" ht="28.8" x14ac:dyDescent="0.3">
      <c r="A2930" s="88" t="s">
        <v>592</v>
      </c>
      <c r="B2930" s="88">
        <v>108</v>
      </c>
      <c r="C2930" s="88">
        <v>16</v>
      </c>
      <c r="D2930" s="88" t="s">
        <v>478</v>
      </c>
      <c r="E2930" s="88" t="s">
        <v>2347</v>
      </c>
      <c r="F2930" s="88" t="s">
        <v>2348</v>
      </c>
      <c r="G2930" s="88" t="s">
        <v>1924</v>
      </c>
      <c r="H2930" s="88" t="s">
        <v>596</v>
      </c>
    </row>
    <row r="2931" spans="1:8" ht="28.8" x14ac:dyDescent="0.3">
      <c r="A2931" s="88" t="s">
        <v>592</v>
      </c>
      <c r="B2931" s="88">
        <v>109</v>
      </c>
      <c r="C2931" s="88">
        <v>15</v>
      </c>
      <c r="D2931" s="88" t="s">
        <v>480</v>
      </c>
      <c r="E2931" s="88" t="s">
        <v>2349</v>
      </c>
      <c r="F2931" s="88" t="s">
        <v>2350</v>
      </c>
      <c r="G2931" s="88" t="s">
        <v>1921</v>
      </c>
      <c r="H2931" s="88" t="s">
        <v>596</v>
      </c>
    </row>
    <row r="2932" spans="1:8" ht="28.8" x14ac:dyDescent="0.3">
      <c r="A2932" s="88" t="s">
        <v>592</v>
      </c>
      <c r="B2932" s="88">
        <v>109</v>
      </c>
      <c r="C2932" s="88">
        <v>16</v>
      </c>
      <c r="D2932" s="88" t="s">
        <v>480</v>
      </c>
      <c r="E2932" s="88" t="s">
        <v>2351</v>
      </c>
      <c r="F2932" s="88" t="s">
        <v>2352</v>
      </c>
      <c r="G2932" s="88" t="s">
        <v>1924</v>
      </c>
      <c r="H2932" s="88" t="s">
        <v>596</v>
      </c>
    </row>
    <row r="2933" spans="1:8" ht="28.8" x14ac:dyDescent="0.3">
      <c r="A2933" s="88" t="s">
        <v>592</v>
      </c>
      <c r="B2933" s="88">
        <v>110</v>
      </c>
      <c r="C2933" s="88">
        <v>15</v>
      </c>
      <c r="D2933" s="88" t="s">
        <v>197</v>
      </c>
      <c r="E2933" s="88" t="s">
        <v>2353</v>
      </c>
      <c r="F2933" s="88" t="s">
        <v>2354</v>
      </c>
      <c r="G2933" s="88" t="s">
        <v>1921</v>
      </c>
      <c r="H2933" s="88" t="s">
        <v>596</v>
      </c>
    </row>
    <row r="2934" spans="1:8" ht="28.8" x14ac:dyDescent="0.3">
      <c r="A2934" s="88" t="s">
        <v>592</v>
      </c>
      <c r="B2934" s="88">
        <v>110</v>
      </c>
      <c r="C2934" s="88">
        <v>16</v>
      </c>
      <c r="D2934" s="88" t="s">
        <v>197</v>
      </c>
      <c r="E2934" s="88" t="s">
        <v>2355</v>
      </c>
      <c r="F2934" s="88" t="s">
        <v>2356</v>
      </c>
      <c r="G2934" s="88" t="s">
        <v>1924</v>
      </c>
      <c r="H2934" s="88" t="s">
        <v>596</v>
      </c>
    </row>
    <row r="2935" spans="1:8" ht="28.8" x14ac:dyDescent="0.3">
      <c r="A2935" s="88" t="s">
        <v>592</v>
      </c>
      <c r="B2935" s="88">
        <v>111</v>
      </c>
      <c r="C2935" s="88">
        <v>15</v>
      </c>
      <c r="D2935" s="88" t="s">
        <v>198</v>
      </c>
      <c r="E2935" s="88" t="s">
        <v>2357</v>
      </c>
      <c r="F2935" s="88" t="s">
        <v>2358</v>
      </c>
      <c r="G2935" s="88" t="s">
        <v>1921</v>
      </c>
      <c r="H2935" s="88" t="s">
        <v>596</v>
      </c>
    </row>
    <row r="2936" spans="1:8" ht="28.8" x14ac:dyDescent="0.3">
      <c r="A2936" s="88" t="s">
        <v>592</v>
      </c>
      <c r="B2936" s="88">
        <v>111</v>
      </c>
      <c r="C2936" s="88">
        <v>16</v>
      </c>
      <c r="D2936" s="88" t="s">
        <v>198</v>
      </c>
      <c r="E2936" s="88" t="s">
        <v>2359</v>
      </c>
      <c r="F2936" s="88" t="s">
        <v>2360</v>
      </c>
      <c r="G2936" s="88" t="s">
        <v>1924</v>
      </c>
      <c r="H2936" s="88" t="s">
        <v>596</v>
      </c>
    </row>
    <row r="2937" spans="1:8" ht="28.8" x14ac:dyDescent="0.3">
      <c r="A2937" s="88" t="s">
        <v>592</v>
      </c>
      <c r="B2937" s="88">
        <v>112</v>
      </c>
      <c r="C2937" s="88">
        <v>15</v>
      </c>
      <c r="D2937" s="88" t="s">
        <v>199</v>
      </c>
      <c r="E2937" s="88" t="s">
        <v>2361</v>
      </c>
      <c r="F2937" s="88" t="s">
        <v>2362</v>
      </c>
      <c r="G2937" s="88" t="s">
        <v>1921</v>
      </c>
      <c r="H2937" s="88" t="s">
        <v>596</v>
      </c>
    </row>
    <row r="2938" spans="1:8" ht="28.8" x14ac:dyDescent="0.3">
      <c r="A2938" s="88" t="s">
        <v>592</v>
      </c>
      <c r="B2938" s="88">
        <v>112</v>
      </c>
      <c r="C2938" s="88">
        <v>16</v>
      </c>
      <c r="D2938" s="88" t="s">
        <v>199</v>
      </c>
      <c r="E2938" s="88" t="s">
        <v>2363</v>
      </c>
      <c r="F2938" s="88" t="s">
        <v>2364</v>
      </c>
      <c r="G2938" s="88" t="s">
        <v>1924</v>
      </c>
      <c r="H2938" s="88" t="s">
        <v>596</v>
      </c>
    </row>
    <row r="2939" spans="1:8" ht="28.8" x14ac:dyDescent="0.3">
      <c r="A2939" s="88" t="s">
        <v>592</v>
      </c>
      <c r="B2939" s="88">
        <v>113</v>
      </c>
      <c r="C2939" s="88">
        <v>15</v>
      </c>
      <c r="D2939" s="88" t="s">
        <v>485</v>
      </c>
      <c r="E2939" s="88" t="s">
        <v>2365</v>
      </c>
      <c r="F2939" s="88" t="s">
        <v>2366</v>
      </c>
      <c r="G2939" s="88" t="s">
        <v>1921</v>
      </c>
      <c r="H2939" s="88" t="s">
        <v>596</v>
      </c>
    </row>
    <row r="2940" spans="1:8" ht="28.8" x14ac:dyDescent="0.3">
      <c r="A2940" s="88" t="s">
        <v>592</v>
      </c>
      <c r="B2940" s="88">
        <v>113</v>
      </c>
      <c r="C2940" s="88">
        <v>16</v>
      </c>
      <c r="D2940" s="88" t="s">
        <v>485</v>
      </c>
      <c r="E2940" s="88" t="s">
        <v>2367</v>
      </c>
      <c r="F2940" s="88" t="s">
        <v>2368</v>
      </c>
      <c r="G2940" s="88" t="s">
        <v>1924</v>
      </c>
      <c r="H2940" s="88" t="s">
        <v>596</v>
      </c>
    </row>
    <row r="2941" spans="1:8" ht="28.8" x14ac:dyDescent="0.3">
      <c r="A2941" s="88" t="s">
        <v>592</v>
      </c>
      <c r="B2941" s="88">
        <v>114</v>
      </c>
      <c r="C2941" s="88">
        <v>15</v>
      </c>
      <c r="D2941" s="88" t="s">
        <v>487</v>
      </c>
      <c r="E2941" s="88" t="s">
        <v>2369</v>
      </c>
      <c r="F2941" s="88" t="s">
        <v>2370</v>
      </c>
      <c r="G2941" s="88" t="s">
        <v>1921</v>
      </c>
      <c r="H2941" s="88" t="s">
        <v>596</v>
      </c>
    </row>
    <row r="2942" spans="1:8" ht="28.8" x14ac:dyDescent="0.3">
      <c r="A2942" s="88" t="s">
        <v>592</v>
      </c>
      <c r="B2942" s="88">
        <v>114</v>
      </c>
      <c r="C2942" s="88">
        <v>16</v>
      </c>
      <c r="D2942" s="88" t="s">
        <v>487</v>
      </c>
      <c r="E2942" s="88" t="s">
        <v>2371</v>
      </c>
      <c r="F2942" s="88" t="s">
        <v>2372</v>
      </c>
      <c r="G2942" s="88" t="s">
        <v>1924</v>
      </c>
      <c r="H2942" s="88" t="s">
        <v>596</v>
      </c>
    </row>
    <row r="2943" spans="1:8" ht="28.8" x14ac:dyDescent="0.3">
      <c r="A2943" s="88" t="s">
        <v>592</v>
      </c>
      <c r="B2943" s="88">
        <v>115</v>
      </c>
      <c r="C2943" s="88">
        <v>15</v>
      </c>
      <c r="D2943" s="88" t="s">
        <v>489</v>
      </c>
      <c r="E2943" s="88" t="s">
        <v>2373</v>
      </c>
      <c r="F2943" s="88" t="s">
        <v>2374</v>
      </c>
      <c r="G2943" s="88" t="s">
        <v>1921</v>
      </c>
      <c r="H2943" s="88" t="s">
        <v>596</v>
      </c>
    </row>
    <row r="2944" spans="1:8" ht="28.8" x14ac:dyDescent="0.3">
      <c r="A2944" s="88" t="s">
        <v>592</v>
      </c>
      <c r="B2944" s="88">
        <v>115</v>
      </c>
      <c r="C2944" s="88">
        <v>16</v>
      </c>
      <c r="D2944" s="88" t="s">
        <v>489</v>
      </c>
      <c r="E2944" s="88" t="s">
        <v>2375</v>
      </c>
      <c r="F2944" s="88" t="s">
        <v>2376</v>
      </c>
      <c r="G2944" s="88" t="s">
        <v>1924</v>
      </c>
      <c r="H2944" s="88" t="s">
        <v>596</v>
      </c>
    </row>
    <row r="2945" spans="1:8" ht="28.8" x14ac:dyDescent="0.3">
      <c r="A2945" s="88" t="s">
        <v>592</v>
      </c>
      <c r="B2945" s="88">
        <v>116</v>
      </c>
      <c r="C2945" s="88">
        <v>15</v>
      </c>
      <c r="D2945" s="88" t="s">
        <v>491</v>
      </c>
      <c r="E2945" s="88" t="s">
        <v>2377</v>
      </c>
      <c r="F2945" s="88" t="s">
        <v>2378</v>
      </c>
      <c r="G2945" s="88" t="s">
        <v>1921</v>
      </c>
      <c r="H2945" s="88" t="s">
        <v>596</v>
      </c>
    </row>
    <row r="2946" spans="1:8" ht="28.8" x14ac:dyDescent="0.3">
      <c r="A2946" s="88" t="s">
        <v>592</v>
      </c>
      <c r="B2946" s="88">
        <v>116</v>
      </c>
      <c r="C2946" s="88">
        <v>16</v>
      </c>
      <c r="D2946" s="88" t="s">
        <v>491</v>
      </c>
      <c r="E2946" s="88" t="s">
        <v>2379</v>
      </c>
      <c r="F2946" s="88" t="s">
        <v>2380</v>
      </c>
      <c r="G2946" s="88" t="s">
        <v>1924</v>
      </c>
      <c r="H2946" s="88" t="s">
        <v>596</v>
      </c>
    </row>
    <row r="2947" spans="1:8" ht="28.8" x14ac:dyDescent="0.3">
      <c r="A2947" s="88" t="s">
        <v>592</v>
      </c>
      <c r="B2947" s="88">
        <v>117</v>
      </c>
      <c r="C2947" s="88">
        <v>15</v>
      </c>
      <c r="D2947" s="88" t="s">
        <v>204</v>
      </c>
      <c r="E2947" s="88" t="s">
        <v>2381</v>
      </c>
      <c r="F2947" s="88" t="s">
        <v>2382</v>
      </c>
      <c r="G2947" s="88" t="s">
        <v>1921</v>
      </c>
      <c r="H2947" s="88" t="s">
        <v>596</v>
      </c>
    </row>
    <row r="2948" spans="1:8" ht="28.8" x14ac:dyDescent="0.3">
      <c r="A2948" s="88" t="s">
        <v>592</v>
      </c>
      <c r="B2948" s="88">
        <v>117</v>
      </c>
      <c r="C2948" s="88">
        <v>16</v>
      </c>
      <c r="D2948" s="88" t="s">
        <v>204</v>
      </c>
      <c r="E2948" s="88" t="s">
        <v>2383</v>
      </c>
      <c r="F2948" s="88" t="s">
        <v>2384</v>
      </c>
      <c r="G2948" s="88" t="s">
        <v>1924</v>
      </c>
      <c r="H2948" s="88" t="s">
        <v>596</v>
      </c>
    </row>
    <row r="2949" spans="1:8" ht="28.8" x14ac:dyDescent="0.3">
      <c r="A2949" s="88" t="s">
        <v>592</v>
      </c>
      <c r="B2949" s="88">
        <v>118</v>
      </c>
      <c r="C2949" s="88">
        <v>15</v>
      </c>
      <c r="D2949" s="88" t="s">
        <v>205</v>
      </c>
      <c r="E2949" s="88" t="s">
        <v>2385</v>
      </c>
      <c r="F2949" s="88" t="s">
        <v>2386</v>
      </c>
      <c r="G2949" s="88" t="s">
        <v>1921</v>
      </c>
      <c r="H2949" s="88" t="s">
        <v>596</v>
      </c>
    </row>
    <row r="2950" spans="1:8" ht="28.8" x14ac:dyDescent="0.3">
      <c r="A2950" s="88" t="s">
        <v>592</v>
      </c>
      <c r="B2950" s="88">
        <v>118</v>
      </c>
      <c r="C2950" s="88">
        <v>16</v>
      </c>
      <c r="D2950" s="88" t="s">
        <v>205</v>
      </c>
      <c r="E2950" s="88" t="s">
        <v>2387</v>
      </c>
      <c r="F2950" s="88" t="s">
        <v>2388</v>
      </c>
      <c r="G2950" s="88" t="s">
        <v>1924</v>
      </c>
      <c r="H2950" s="88" t="s">
        <v>596</v>
      </c>
    </row>
    <row r="2951" spans="1:8" ht="28.8" x14ac:dyDescent="0.3">
      <c r="A2951" s="88" t="s">
        <v>592</v>
      </c>
      <c r="B2951" s="88">
        <v>119</v>
      </c>
      <c r="C2951" s="88">
        <v>15</v>
      </c>
      <c r="D2951" s="88" t="s">
        <v>495</v>
      </c>
      <c r="E2951" s="88" t="s">
        <v>2389</v>
      </c>
      <c r="F2951" s="88" t="s">
        <v>2390</v>
      </c>
      <c r="G2951" s="88" t="s">
        <v>1921</v>
      </c>
      <c r="H2951" s="88" t="s">
        <v>596</v>
      </c>
    </row>
    <row r="2952" spans="1:8" ht="28.8" x14ac:dyDescent="0.3">
      <c r="A2952" s="88" t="s">
        <v>592</v>
      </c>
      <c r="B2952" s="88">
        <v>119</v>
      </c>
      <c r="C2952" s="88">
        <v>16</v>
      </c>
      <c r="D2952" s="88" t="s">
        <v>495</v>
      </c>
      <c r="E2952" s="88" t="s">
        <v>2391</v>
      </c>
      <c r="F2952" s="88" t="s">
        <v>2392</v>
      </c>
      <c r="G2952" s="88" t="s">
        <v>1924</v>
      </c>
      <c r="H2952" s="88" t="s">
        <v>596</v>
      </c>
    </row>
    <row r="2953" spans="1:8" ht="28.8" x14ac:dyDescent="0.3">
      <c r="A2953" s="88" t="s">
        <v>592</v>
      </c>
      <c r="B2953" s="88">
        <v>120</v>
      </c>
      <c r="C2953" s="88">
        <v>15</v>
      </c>
      <c r="D2953" s="88" t="s">
        <v>207</v>
      </c>
      <c r="E2953" s="88" t="s">
        <v>2393</v>
      </c>
      <c r="F2953" s="88" t="s">
        <v>2394</v>
      </c>
      <c r="G2953" s="88" t="s">
        <v>1921</v>
      </c>
      <c r="H2953" s="88" t="s">
        <v>596</v>
      </c>
    </row>
    <row r="2954" spans="1:8" ht="28.8" x14ac:dyDescent="0.3">
      <c r="A2954" s="88" t="s">
        <v>592</v>
      </c>
      <c r="B2954" s="88">
        <v>120</v>
      </c>
      <c r="C2954" s="88">
        <v>16</v>
      </c>
      <c r="D2954" s="88" t="s">
        <v>207</v>
      </c>
      <c r="E2954" s="88" t="s">
        <v>2395</v>
      </c>
      <c r="F2954" s="88" t="s">
        <v>2396</v>
      </c>
      <c r="G2954" s="88" t="s">
        <v>1924</v>
      </c>
      <c r="H2954" s="88" t="s">
        <v>596</v>
      </c>
    </row>
    <row r="2955" spans="1:8" ht="28.8" x14ac:dyDescent="0.3">
      <c r="A2955" s="88" t="s">
        <v>592</v>
      </c>
      <c r="B2955" s="88">
        <v>121</v>
      </c>
      <c r="C2955" s="88">
        <v>15</v>
      </c>
      <c r="D2955" s="88" t="s">
        <v>208</v>
      </c>
      <c r="E2955" s="88" t="s">
        <v>2397</v>
      </c>
      <c r="F2955" s="88" t="s">
        <v>2398</v>
      </c>
      <c r="G2955" s="88" t="s">
        <v>1921</v>
      </c>
      <c r="H2955" s="88" t="s">
        <v>596</v>
      </c>
    </row>
    <row r="2956" spans="1:8" ht="28.8" x14ac:dyDescent="0.3">
      <c r="A2956" s="88" t="s">
        <v>592</v>
      </c>
      <c r="B2956" s="88">
        <v>121</v>
      </c>
      <c r="C2956" s="88">
        <v>16</v>
      </c>
      <c r="D2956" s="88" t="s">
        <v>208</v>
      </c>
      <c r="E2956" s="88" t="s">
        <v>2399</v>
      </c>
      <c r="F2956" s="88" t="s">
        <v>2400</v>
      </c>
      <c r="G2956" s="88" t="s">
        <v>1924</v>
      </c>
      <c r="H2956" s="88" t="s">
        <v>596</v>
      </c>
    </row>
    <row r="2957" spans="1:8" ht="28.8" x14ac:dyDescent="0.3">
      <c r="A2957" s="88" t="s">
        <v>592</v>
      </c>
      <c r="B2957" s="88">
        <v>122</v>
      </c>
      <c r="C2957" s="88">
        <v>15</v>
      </c>
      <c r="D2957" s="88" t="s">
        <v>209</v>
      </c>
      <c r="E2957" s="88" t="s">
        <v>2401</v>
      </c>
      <c r="F2957" s="88" t="s">
        <v>2402</v>
      </c>
      <c r="G2957" s="88" t="s">
        <v>1921</v>
      </c>
      <c r="H2957" s="88" t="s">
        <v>596</v>
      </c>
    </row>
    <row r="2958" spans="1:8" ht="28.8" x14ac:dyDescent="0.3">
      <c r="A2958" s="88" t="s">
        <v>592</v>
      </c>
      <c r="B2958" s="88">
        <v>122</v>
      </c>
      <c r="C2958" s="88">
        <v>16</v>
      </c>
      <c r="D2958" s="88" t="s">
        <v>209</v>
      </c>
      <c r="E2958" s="88" t="s">
        <v>2403</v>
      </c>
      <c r="F2958" s="88" t="s">
        <v>2404</v>
      </c>
      <c r="G2958" s="88" t="s">
        <v>1924</v>
      </c>
      <c r="H2958" s="88" t="s">
        <v>596</v>
      </c>
    </row>
    <row r="2959" spans="1:8" ht="28.8" x14ac:dyDescent="0.3">
      <c r="A2959" s="88" t="s">
        <v>592</v>
      </c>
      <c r="B2959" s="88">
        <v>123</v>
      </c>
      <c r="C2959" s="88">
        <v>15</v>
      </c>
      <c r="D2959" s="88" t="s">
        <v>210</v>
      </c>
      <c r="E2959" s="88" t="s">
        <v>2405</v>
      </c>
      <c r="F2959" s="88" t="s">
        <v>2406</v>
      </c>
      <c r="G2959" s="88" t="s">
        <v>1921</v>
      </c>
      <c r="H2959" s="88" t="s">
        <v>596</v>
      </c>
    </row>
    <row r="2960" spans="1:8" ht="28.8" x14ac:dyDescent="0.3">
      <c r="A2960" s="88" t="s">
        <v>592</v>
      </c>
      <c r="B2960" s="88">
        <v>123</v>
      </c>
      <c r="C2960" s="88">
        <v>16</v>
      </c>
      <c r="D2960" s="88" t="s">
        <v>210</v>
      </c>
      <c r="E2960" s="88" t="s">
        <v>2407</v>
      </c>
      <c r="F2960" s="88" t="s">
        <v>2408</v>
      </c>
      <c r="G2960" s="88" t="s">
        <v>1924</v>
      </c>
      <c r="H2960" s="88" t="s">
        <v>596</v>
      </c>
    </row>
    <row r="2961" spans="1:8" ht="28.8" x14ac:dyDescent="0.3">
      <c r="A2961" s="88" t="s">
        <v>592</v>
      </c>
      <c r="B2961" s="88">
        <v>124</v>
      </c>
      <c r="C2961" s="88">
        <v>15</v>
      </c>
      <c r="D2961" s="88" t="s">
        <v>211</v>
      </c>
      <c r="E2961" s="88" t="s">
        <v>2409</v>
      </c>
      <c r="F2961" s="88" t="s">
        <v>2410</v>
      </c>
      <c r="G2961" s="88" t="s">
        <v>1921</v>
      </c>
      <c r="H2961" s="88" t="s">
        <v>596</v>
      </c>
    </row>
    <row r="2962" spans="1:8" ht="28.8" x14ac:dyDescent="0.3">
      <c r="A2962" s="88" t="s">
        <v>592</v>
      </c>
      <c r="B2962" s="88">
        <v>124</v>
      </c>
      <c r="C2962" s="88">
        <v>16</v>
      </c>
      <c r="D2962" s="88" t="s">
        <v>211</v>
      </c>
      <c r="E2962" s="88" t="s">
        <v>2411</v>
      </c>
      <c r="F2962" s="88" t="s">
        <v>2412</v>
      </c>
      <c r="G2962" s="88" t="s">
        <v>1924</v>
      </c>
      <c r="H2962" s="88" t="s">
        <v>596</v>
      </c>
    </row>
    <row r="2963" spans="1:8" ht="28.8" x14ac:dyDescent="0.3">
      <c r="A2963" s="88" t="s">
        <v>592</v>
      </c>
      <c r="B2963" s="88">
        <v>125</v>
      </c>
      <c r="C2963" s="88">
        <v>15</v>
      </c>
      <c r="D2963" s="88" t="s">
        <v>212</v>
      </c>
      <c r="E2963" s="88" t="s">
        <v>2413</v>
      </c>
      <c r="F2963" s="88" t="s">
        <v>2414</v>
      </c>
      <c r="G2963" s="88" t="s">
        <v>1921</v>
      </c>
      <c r="H2963" s="88" t="s">
        <v>596</v>
      </c>
    </row>
    <row r="2964" spans="1:8" ht="28.8" x14ac:dyDescent="0.3">
      <c r="A2964" s="88" t="s">
        <v>592</v>
      </c>
      <c r="B2964" s="88">
        <v>125</v>
      </c>
      <c r="C2964" s="88">
        <v>16</v>
      </c>
      <c r="D2964" s="88" t="s">
        <v>212</v>
      </c>
      <c r="E2964" s="88" t="s">
        <v>2415</v>
      </c>
      <c r="F2964" s="88" t="s">
        <v>2416</v>
      </c>
      <c r="G2964" s="88" t="s">
        <v>1924</v>
      </c>
      <c r="H2964" s="88" t="s">
        <v>596</v>
      </c>
    </row>
    <row r="2965" spans="1:8" ht="28.8" x14ac:dyDescent="0.3">
      <c r="A2965" s="88" t="s">
        <v>592</v>
      </c>
      <c r="B2965" s="88">
        <v>126</v>
      </c>
      <c r="C2965" s="88">
        <v>15</v>
      </c>
      <c r="D2965" s="88" t="s">
        <v>213</v>
      </c>
      <c r="E2965" s="88" t="s">
        <v>2417</v>
      </c>
      <c r="F2965" s="88" t="s">
        <v>2418</v>
      </c>
      <c r="G2965" s="88" t="s">
        <v>1921</v>
      </c>
      <c r="H2965" s="88" t="s">
        <v>596</v>
      </c>
    </row>
    <row r="2966" spans="1:8" ht="28.8" x14ac:dyDescent="0.3">
      <c r="A2966" s="88" t="s">
        <v>592</v>
      </c>
      <c r="B2966" s="88">
        <v>126</v>
      </c>
      <c r="C2966" s="88">
        <v>16</v>
      </c>
      <c r="D2966" s="88" t="s">
        <v>213</v>
      </c>
      <c r="E2966" s="88" t="s">
        <v>2419</v>
      </c>
      <c r="F2966" s="88" t="s">
        <v>2420</v>
      </c>
      <c r="G2966" s="88" t="s">
        <v>1924</v>
      </c>
      <c r="H2966" s="88" t="s">
        <v>596</v>
      </c>
    </row>
    <row r="2967" spans="1:8" ht="28.8" x14ac:dyDescent="0.3">
      <c r="A2967" s="88" t="s">
        <v>592</v>
      </c>
      <c r="B2967" s="88">
        <v>127</v>
      </c>
      <c r="C2967" s="88">
        <v>15</v>
      </c>
      <c r="D2967" s="88" t="s">
        <v>504</v>
      </c>
      <c r="E2967" s="88" t="s">
        <v>2421</v>
      </c>
      <c r="F2967" s="88" t="s">
        <v>2422</v>
      </c>
      <c r="G2967" s="88" t="s">
        <v>1921</v>
      </c>
      <c r="H2967" s="88" t="s">
        <v>596</v>
      </c>
    </row>
    <row r="2968" spans="1:8" ht="28.8" x14ac:dyDescent="0.3">
      <c r="A2968" s="88" t="s">
        <v>592</v>
      </c>
      <c r="B2968" s="88">
        <v>127</v>
      </c>
      <c r="C2968" s="88">
        <v>16</v>
      </c>
      <c r="D2968" s="88" t="s">
        <v>504</v>
      </c>
      <c r="E2968" s="88" t="s">
        <v>2423</v>
      </c>
      <c r="F2968" s="88" t="s">
        <v>2424</v>
      </c>
      <c r="G2968" s="88" t="s">
        <v>1924</v>
      </c>
      <c r="H2968" s="88" t="s">
        <v>596</v>
      </c>
    </row>
    <row r="2969" spans="1:8" ht="28.8" x14ac:dyDescent="0.3">
      <c r="A2969" s="88" t="s">
        <v>592</v>
      </c>
      <c r="B2969" s="88">
        <v>128</v>
      </c>
      <c r="C2969" s="88">
        <v>15</v>
      </c>
      <c r="D2969" s="88" t="s">
        <v>215</v>
      </c>
      <c r="E2969" s="88" t="s">
        <v>2425</v>
      </c>
      <c r="F2969" s="88" t="s">
        <v>2426</v>
      </c>
      <c r="G2969" s="88" t="s">
        <v>1921</v>
      </c>
      <c r="H2969" s="88" t="s">
        <v>596</v>
      </c>
    </row>
    <row r="2970" spans="1:8" ht="28.8" x14ac:dyDescent="0.3">
      <c r="A2970" s="88" t="s">
        <v>592</v>
      </c>
      <c r="B2970" s="88">
        <v>128</v>
      </c>
      <c r="C2970" s="88">
        <v>16</v>
      </c>
      <c r="D2970" s="88" t="s">
        <v>215</v>
      </c>
      <c r="E2970" s="88" t="s">
        <v>2427</v>
      </c>
      <c r="F2970" s="88" t="s">
        <v>2428</v>
      </c>
      <c r="G2970" s="88" t="s">
        <v>1924</v>
      </c>
      <c r="H2970" s="88" t="s">
        <v>596</v>
      </c>
    </row>
    <row r="2971" spans="1:8" ht="28.8" x14ac:dyDescent="0.3">
      <c r="A2971" s="88" t="s">
        <v>592</v>
      </c>
      <c r="B2971" s="88">
        <v>129</v>
      </c>
      <c r="C2971" s="88">
        <v>15</v>
      </c>
      <c r="D2971" s="88" t="s">
        <v>216</v>
      </c>
      <c r="E2971" s="88" t="s">
        <v>2429</v>
      </c>
      <c r="F2971" s="88" t="s">
        <v>2430</v>
      </c>
      <c r="G2971" s="88" t="s">
        <v>1921</v>
      </c>
      <c r="H2971" s="88" t="s">
        <v>596</v>
      </c>
    </row>
    <row r="2972" spans="1:8" ht="28.8" x14ac:dyDescent="0.3">
      <c r="A2972" s="88" t="s">
        <v>592</v>
      </c>
      <c r="B2972" s="88">
        <v>129</v>
      </c>
      <c r="C2972" s="88">
        <v>16</v>
      </c>
      <c r="D2972" s="88" t="s">
        <v>216</v>
      </c>
      <c r="E2972" s="88" t="s">
        <v>2431</v>
      </c>
      <c r="F2972" s="88" t="s">
        <v>2432</v>
      </c>
      <c r="G2972" s="88" t="s">
        <v>1924</v>
      </c>
      <c r="H2972" s="88" t="s">
        <v>596</v>
      </c>
    </row>
    <row r="2973" spans="1:8" ht="28.8" x14ac:dyDescent="0.3">
      <c r="A2973" s="88" t="s">
        <v>592</v>
      </c>
      <c r="B2973" s="88">
        <v>130</v>
      </c>
      <c r="C2973" s="88">
        <v>15</v>
      </c>
      <c r="D2973" s="88" t="s">
        <v>217</v>
      </c>
      <c r="E2973" s="88" t="s">
        <v>2433</v>
      </c>
      <c r="F2973" s="88" t="s">
        <v>2434</v>
      </c>
      <c r="G2973" s="88" t="s">
        <v>1921</v>
      </c>
      <c r="H2973" s="88" t="s">
        <v>596</v>
      </c>
    </row>
    <row r="2974" spans="1:8" ht="28.8" x14ac:dyDescent="0.3">
      <c r="A2974" s="88" t="s">
        <v>592</v>
      </c>
      <c r="B2974" s="88">
        <v>130</v>
      </c>
      <c r="C2974" s="88">
        <v>16</v>
      </c>
      <c r="D2974" s="88" t="s">
        <v>217</v>
      </c>
      <c r="E2974" s="88" t="s">
        <v>2435</v>
      </c>
      <c r="F2974" s="88" t="s">
        <v>2436</v>
      </c>
      <c r="G2974" s="88" t="s">
        <v>1924</v>
      </c>
      <c r="H2974" s="88" t="s">
        <v>596</v>
      </c>
    </row>
    <row r="2975" spans="1:8" ht="28.8" x14ac:dyDescent="0.3">
      <c r="A2975" s="88" t="s">
        <v>592</v>
      </c>
      <c r="B2975" s="88">
        <v>131</v>
      </c>
      <c r="C2975" s="88">
        <v>15</v>
      </c>
      <c r="D2975" s="88" t="s">
        <v>509</v>
      </c>
      <c r="E2975" s="88" t="s">
        <v>2437</v>
      </c>
      <c r="F2975" s="88" t="s">
        <v>2438</v>
      </c>
      <c r="G2975" s="88" t="s">
        <v>1921</v>
      </c>
      <c r="H2975" s="88" t="s">
        <v>596</v>
      </c>
    </row>
    <row r="2976" spans="1:8" ht="28.8" x14ac:dyDescent="0.3">
      <c r="A2976" s="88" t="s">
        <v>592</v>
      </c>
      <c r="B2976" s="88">
        <v>131</v>
      </c>
      <c r="C2976" s="88">
        <v>16</v>
      </c>
      <c r="D2976" s="88" t="s">
        <v>509</v>
      </c>
      <c r="E2976" s="88" t="s">
        <v>2439</v>
      </c>
      <c r="F2976" s="88" t="s">
        <v>2440</v>
      </c>
      <c r="G2976" s="88" t="s">
        <v>1924</v>
      </c>
      <c r="H2976" s="88" t="s">
        <v>596</v>
      </c>
    </row>
    <row r="2977" spans="1:8" ht="28.8" x14ac:dyDescent="0.3">
      <c r="A2977" s="88" t="s">
        <v>592</v>
      </c>
      <c r="B2977" s="88">
        <v>132</v>
      </c>
      <c r="C2977" s="88">
        <v>15</v>
      </c>
      <c r="D2977" s="88" t="s">
        <v>219</v>
      </c>
      <c r="E2977" s="88" t="s">
        <v>2441</v>
      </c>
      <c r="F2977" s="88" t="s">
        <v>2442</v>
      </c>
      <c r="G2977" s="88" t="s">
        <v>1921</v>
      </c>
      <c r="H2977" s="88" t="s">
        <v>596</v>
      </c>
    </row>
    <row r="2978" spans="1:8" ht="28.8" x14ac:dyDescent="0.3">
      <c r="A2978" s="88" t="s">
        <v>592</v>
      </c>
      <c r="B2978" s="88">
        <v>132</v>
      </c>
      <c r="C2978" s="88">
        <v>16</v>
      </c>
      <c r="D2978" s="88" t="s">
        <v>219</v>
      </c>
      <c r="E2978" s="88" t="s">
        <v>2443</v>
      </c>
      <c r="F2978" s="88" t="s">
        <v>2444</v>
      </c>
      <c r="G2978" s="88" t="s">
        <v>1924</v>
      </c>
      <c r="H2978" s="88" t="s">
        <v>596</v>
      </c>
    </row>
    <row r="2979" spans="1:8" ht="28.8" x14ac:dyDescent="0.3">
      <c r="A2979" s="88" t="s">
        <v>592</v>
      </c>
      <c r="B2979" s="88">
        <v>133</v>
      </c>
      <c r="C2979" s="88">
        <v>15</v>
      </c>
      <c r="D2979" s="88" t="s">
        <v>512</v>
      </c>
      <c r="E2979" s="88" t="s">
        <v>2445</v>
      </c>
      <c r="F2979" s="88" t="s">
        <v>2446</v>
      </c>
      <c r="G2979" s="88" t="s">
        <v>1921</v>
      </c>
      <c r="H2979" s="88" t="s">
        <v>596</v>
      </c>
    </row>
    <row r="2980" spans="1:8" ht="28.8" x14ac:dyDescent="0.3">
      <c r="A2980" s="88" t="s">
        <v>592</v>
      </c>
      <c r="B2980" s="88">
        <v>133</v>
      </c>
      <c r="C2980" s="88">
        <v>16</v>
      </c>
      <c r="D2980" s="88" t="s">
        <v>512</v>
      </c>
      <c r="E2980" s="88" t="s">
        <v>2447</v>
      </c>
      <c r="F2980" s="88" t="s">
        <v>2448</v>
      </c>
      <c r="G2980" s="88" t="s">
        <v>1924</v>
      </c>
      <c r="H2980" s="88" t="s">
        <v>596</v>
      </c>
    </row>
    <row r="2981" spans="1:8" ht="28.8" x14ac:dyDescent="0.3">
      <c r="A2981" s="88" t="s">
        <v>592</v>
      </c>
      <c r="B2981" s="88">
        <v>134</v>
      </c>
      <c r="C2981" s="88">
        <v>15</v>
      </c>
      <c r="D2981" s="88" t="s">
        <v>221</v>
      </c>
      <c r="E2981" s="88" t="s">
        <v>2449</v>
      </c>
      <c r="F2981" s="88" t="s">
        <v>2450</v>
      </c>
      <c r="G2981" s="88" t="s">
        <v>1921</v>
      </c>
      <c r="H2981" s="88" t="s">
        <v>596</v>
      </c>
    </row>
    <row r="2982" spans="1:8" ht="28.8" x14ac:dyDescent="0.3">
      <c r="A2982" s="88" t="s">
        <v>592</v>
      </c>
      <c r="B2982" s="88">
        <v>134</v>
      </c>
      <c r="C2982" s="88">
        <v>16</v>
      </c>
      <c r="D2982" s="88" t="s">
        <v>221</v>
      </c>
      <c r="E2982" s="88" t="s">
        <v>2451</v>
      </c>
      <c r="F2982" s="88" t="s">
        <v>2452</v>
      </c>
      <c r="G2982" s="88" t="s">
        <v>1924</v>
      </c>
      <c r="H2982" s="88" t="s">
        <v>596</v>
      </c>
    </row>
    <row r="2983" spans="1:8" ht="28.8" x14ac:dyDescent="0.3">
      <c r="A2983" s="88" t="s">
        <v>592</v>
      </c>
      <c r="B2983" s="88">
        <v>135</v>
      </c>
      <c r="C2983" s="88">
        <v>15</v>
      </c>
      <c r="D2983" s="88" t="s">
        <v>222</v>
      </c>
      <c r="E2983" s="88" t="s">
        <v>2453</v>
      </c>
      <c r="F2983" s="88" t="s">
        <v>2454</v>
      </c>
      <c r="G2983" s="88" t="s">
        <v>1921</v>
      </c>
      <c r="H2983" s="88" t="s">
        <v>596</v>
      </c>
    </row>
    <row r="2984" spans="1:8" ht="28.8" x14ac:dyDescent="0.3">
      <c r="A2984" s="88" t="s">
        <v>592</v>
      </c>
      <c r="B2984" s="88">
        <v>135</v>
      </c>
      <c r="C2984" s="88">
        <v>16</v>
      </c>
      <c r="D2984" s="88" t="s">
        <v>222</v>
      </c>
      <c r="E2984" s="88" t="s">
        <v>2455</v>
      </c>
      <c r="F2984" s="88" t="s">
        <v>2456</v>
      </c>
      <c r="G2984" s="88" t="s">
        <v>1924</v>
      </c>
      <c r="H2984" s="88" t="s">
        <v>596</v>
      </c>
    </row>
    <row r="2985" spans="1:8" ht="28.8" x14ac:dyDescent="0.3">
      <c r="A2985" s="88" t="s">
        <v>592</v>
      </c>
      <c r="B2985" s="88">
        <v>136</v>
      </c>
      <c r="C2985" s="88">
        <v>15</v>
      </c>
      <c r="D2985" s="88" t="s">
        <v>223</v>
      </c>
      <c r="E2985" s="88" t="s">
        <v>2457</v>
      </c>
      <c r="F2985" s="88" t="s">
        <v>2458</v>
      </c>
      <c r="G2985" s="88" t="s">
        <v>1921</v>
      </c>
      <c r="H2985" s="88" t="s">
        <v>596</v>
      </c>
    </row>
    <row r="2986" spans="1:8" ht="28.8" x14ac:dyDescent="0.3">
      <c r="A2986" s="88" t="s">
        <v>592</v>
      </c>
      <c r="B2986" s="88">
        <v>136</v>
      </c>
      <c r="C2986" s="88">
        <v>16</v>
      </c>
      <c r="D2986" s="88" t="s">
        <v>223</v>
      </c>
      <c r="E2986" s="88" t="s">
        <v>2459</v>
      </c>
      <c r="F2986" s="88" t="s">
        <v>2460</v>
      </c>
      <c r="G2986" s="88" t="s">
        <v>1924</v>
      </c>
      <c r="H2986" s="88" t="s">
        <v>596</v>
      </c>
    </row>
    <row r="2987" spans="1:8" ht="28.8" x14ac:dyDescent="0.3">
      <c r="A2987" s="88" t="s">
        <v>592</v>
      </c>
      <c r="B2987" s="88">
        <v>137</v>
      </c>
      <c r="C2987" s="88">
        <v>15</v>
      </c>
      <c r="D2987" s="88" t="s">
        <v>224</v>
      </c>
      <c r="E2987" s="88" t="s">
        <v>2461</v>
      </c>
      <c r="F2987" s="88" t="s">
        <v>2462</v>
      </c>
      <c r="G2987" s="88" t="s">
        <v>1921</v>
      </c>
      <c r="H2987" s="88" t="s">
        <v>596</v>
      </c>
    </row>
    <row r="2988" spans="1:8" ht="28.8" x14ac:dyDescent="0.3">
      <c r="A2988" s="88" t="s">
        <v>592</v>
      </c>
      <c r="B2988" s="88">
        <v>137</v>
      </c>
      <c r="C2988" s="88">
        <v>16</v>
      </c>
      <c r="D2988" s="88" t="s">
        <v>224</v>
      </c>
      <c r="E2988" s="88" t="s">
        <v>2463</v>
      </c>
      <c r="F2988" s="88" t="s">
        <v>2464</v>
      </c>
      <c r="G2988" s="88" t="s">
        <v>1924</v>
      </c>
      <c r="H2988" s="88" t="s">
        <v>596</v>
      </c>
    </row>
    <row r="2989" spans="1:8" ht="28.8" x14ac:dyDescent="0.3">
      <c r="A2989" s="88" t="s">
        <v>592</v>
      </c>
      <c r="B2989" s="88">
        <v>138</v>
      </c>
      <c r="C2989" s="88">
        <v>15</v>
      </c>
      <c r="D2989" s="88" t="s">
        <v>225</v>
      </c>
      <c r="E2989" s="88" t="s">
        <v>2465</v>
      </c>
      <c r="F2989" s="88" t="s">
        <v>2466</v>
      </c>
      <c r="G2989" s="88" t="s">
        <v>1921</v>
      </c>
      <c r="H2989" s="88" t="s">
        <v>596</v>
      </c>
    </row>
    <row r="2990" spans="1:8" ht="28.8" x14ac:dyDescent="0.3">
      <c r="A2990" s="88" t="s">
        <v>592</v>
      </c>
      <c r="B2990" s="88">
        <v>138</v>
      </c>
      <c r="C2990" s="88">
        <v>16</v>
      </c>
      <c r="D2990" s="88" t="s">
        <v>225</v>
      </c>
      <c r="E2990" s="88" t="s">
        <v>2467</v>
      </c>
      <c r="F2990" s="88" t="s">
        <v>2468</v>
      </c>
      <c r="G2990" s="88" t="s">
        <v>1924</v>
      </c>
      <c r="H2990" s="88" t="s">
        <v>596</v>
      </c>
    </row>
    <row r="2991" spans="1:8" ht="28.8" x14ac:dyDescent="0.3">
      <c r="A2991" s="88" t="s">
        <v>592</v>
      </c>
      <c r="B2991" s="88">
        <v>139</v>
      </c>
      <c r="C2991" s="88">
        <v>15</v>
      </c>
      <c r="D2991" s="88" t="s">
        <v>226</v>
      </c>
      <c r="E2991" s="88" t="s">
        <v>2469</v>
      </c>
      <c r="F2991" s="88" t="s">
        <v>2470</v>
      </c>
      <c r="G2991" s="88" t="s">
        <v>1921</v>
      </c>
      <c r="H2991" s="88" t="s">
        <v>596</v>
      </c>
    </row>
    <row r="2992" spans="1:8" ht="28.8" x14ac:dyDescent="0.3">
      <c r="A2992" s="88" t="s">
        <v>592</v>
      </c>
      <c r="B2992" s="88">
        <v>139</v>
      </c>
      <c r="C2992" s="88">
        <v>16</v>
      </c>
      <c r="D2992" s="88" t="s">
        <v>226</v>
      </c>
      <c r="E2992" s="88" t="s">
        <v>2471</v>
      </c>
      <c r="F2992" s="88" t="s">
        <v>2472</v>
      </c>
      <c r="G2992" s="88" t="s">
        <v>1924</v>
      </c>
      <c r="H2992" s="88" t="s">
        <v>596</v>
      </c>
    </row>
    <row r="2993" spans="1:8" ht="28.8" x14ac:dyDescent="0.3">
      <c r="A2993" s="88" t="s">
        <v>592</v>
      </c>
      <c r="B2993" s="88">
        <v>140</v>
      </c>
      <c r="C2993" s="88">
        <v>15</v>
      </c>
      <c r="D2993" s="88" t="s">
        <v>227</v>
      </c>
      <c r="E2993" s="88" t="s">
        <v>2473</v>
      </c>
      <c r="F2993" s="88" t="s">
        <v>2474</v>
      </c>
      <c r="G2993" s="88" t="s">
        <v>1921</v>
      </c>
      <c r="H2993" s="88" t="s">
        <v>596</v>
      </c>
    </row>
    <row r="2994" spans="1:8" ht="28.8" x14ac:dyDescent="0.3">
      <c r="A2994" s="88" t="s">
        <v>592</v>
      </c>
      <c r="B2994" s="88">
        <v>140</v>
      </c>
      <c r="C2994" s="88">
        <v>16</v>
      </c>
      <c r="D2994" s="88" t="s">
        <v>227</v>
      </c>
      <c r="E2994" s="88" t="s">
        <v>2475</v>
      </c>
      <c r="F2994" s="88" t="s">
        <v>2476</v>
      </c>
      <c r="G2994" s="88" t="s">
        <v>1924</v>
      </c>
      <c r="H2994" s="88" t="s">
        <v>596</v>
      </c>
    </row>
    <row r="2995" spans="1:8" ht="28.8" x14ac:dyDescent="0.3">
      <c r="A2995" s="88" t="s">
        <v>592</v>
      </c>
      <c r="B2995" s="88">
        <v>141</v>
      </c>
      <c r="C2995" s="88">
        <v>15</v>
      </c>
      <c r="D2995" s="88" t="s">
        <v>228</v>
      </c>
      <c r="E2995" s="88" t="s">
        <v>2477</v>
      </c>
      <c r="F2995" s="88" t="s">
        <v>2478</v>
      </c>
      <c r="G2995" s="88" t="s">
        <v>1921</v>
      </c>
      <c r="H2995" s="88" t="s">
        <v>596</v>
      </c>
    </row>
    <row r="2996" spans="1:8" ht="28.8" x14ac:dyDescent="0.3">
      <c r="A2996" s="88" t="s">
        <v>592</v>
      </c>
      <c r="B2996" s="88">
        <v>141</v>
      </c>
      <c r="C2996" s="88">
        <v>16</v>
      </c>
      <c r="D2996" s="88" t="s">
        <v>228</v>
      </c>
      <c r="E2996" s="88" t="s">
        <v>2479</v>
      </c>
      <c r="F2996" s="88" t="s">
        <v>2480</v>
      </c>
      <c r="G2996" s="88" t="s">
        <v>1924</v>
      </c>
      <c r="H2996" s="88" t="s">
        <v>596</v>
      </c>
    </row>
    <row r="2997" spans="1:8" ht="28.8" x14ac:dyDescent="0.3">
      <c r="A2997" s="88" t="s">
        <v>592</v>
      </c>
      <c r="B2997" s="88">
        <v>142</v>
      </c>
      <c r="C2997" s="88">
        <v>15</v>
      </c>
      <c r="D2997" s="88" t="s">
        <v>229</v>
      </c>
      <c r="E2997" s="88" t="s">
        <v>2481</v>
      </c>
      <c r="F2997" s="88" t="s">
        <v>2482</v>
      </c>
      <c r="G2997" s="88" t="s">
        <v>1921</v>
      </c>
      <c r="H2997" s="88" t="s">
        <v>596</v>
      </c>
    </row>
    <row r="2998" spans="1:8" ht="28.8" x14ac:dyDescent="0.3">
      <c r="A2998" s="88" t="s">
        <v>592</v>
      </c>
      <c r="B2998" s="88">
        <v>142</v>
      </c>
      <c r="C2998" s="88">
        <v>16</v>
      </c>
      <c r="D2998" s="88" t="s">
        <v>229</v>
      </c>
      <c r="E2998" s="88" t="s">
        <v>2483</v>
      </c>
      <c r="F2998" s="88" t="s">
        <v>2484</v>
      </c>
      <c r="G2998" s="88" t="s">
        <v>1924</v>
      </c>
      <c r="H2998" s="88" t="s">
        <v>596</v>
      </c>
    </row>
    <row r="2999" spans="1:8" ht="28.8" x14ac:dyDescent="0.3">
      <c r="A2999" s="88" t="s">
        <v>592</v>
      </c>
      <c r="B2999" s="88">
        <v>143</v>
      </c>
      <c r="C2999" s="88">
        <v>15</v>
      </c>
      <c r="D2999" s="88" t="s">
        <v>230</v>
      </c>
      <c r="E2999" s="88" t="s">
        <v>2485</v>
      </c>
      <c r="F2999" s="88" t="s">
        <v>2486</v>
      </c>
      <c r="G2999" s="88" t="s">
        <v>1921</v>
      </c>
      <c r="H2999" s="88" t="s">
        <v>596</v>
      </c>
    </row>
    <row r="3000" spans="1:8" ht="28.8" x14ac:dyDescent="0.3">
      <c r="A3000" s="88" t="s">
        <v>592</v>
      </c>
      <c r="B3000" s="88">
        <v>143</v>
      </c>
      <c r="C3000" s="88">
        <v>16</v>
      </c>
      <c r="D3000" s="88" t="s">
        <v>230</v>
      </c>
      <c r="E3000" s="88" t="s">
        <v>2487</v>
      </c>
      <c r="F3000" s="88" t="s">
        <v>2488</v>
      </c>
      <c r="G3000" s="88" t="s">
        <v>1924</v>
      </c>
      <c r="H3000" s="88" t="s">
        <v>596</v>
      </c>
    </row>
    <row r="3001" spans="1:8" ht="28.8" x14ac:dyDescent="0.3">
      <c r="A3001" s="88" t="s">
        <v>592</v>
      </c>
      <c r="B3001" s="88">
        <v>144</v>
      </c>
      <c r="C3001" s="88">
        <v>15</v>
      </c>
      <c r="D3001" s="88" t="s">
        <v>231</v>
      </c>
      <c r="E3001" s="88" t="s">
        <v>2489</v>
      </c>
      <c r="F3001" s="88" t="s">
        <v>2490</v>
      </c>
      <c r="G3001" s="88" t="s">
        <v>1921</v>
      </c>
      <c r="H3001" s="88" t="s">
        <v>596</v>
      </c>
    </row>
    <row r="3002" spans="1:8" ht="28.8" x14ac:dyDescent="0.3">
      <c r="A3002" s="88" t="s">
        <v>592</v>
      </c>
      <c r="B3002" s="88">
        <v>144</v>
      </c>
      <c r="C3002" s="88">
        <v>16</v>
      </c>
      <c r="D3002" s="88" t="s">
        <v>231</v>
      </c>
      <c r="E3002" s="88" t="s">
        <v>2491</v>
      </c>
      <c r="F3002" s="88" t="s">
        <v>2492</v>
      </c>
      <c r="G3002" s="88" t="s">
        <v>1924</v>
      </c>
      <c r="H3002" s="88" t="s">
        <v>596</v>
      </c>
    </row>
    <row r="3003" spans="1:8" ht="28.8" x14ac:dyDescent="0.3">
      <c r="A3003" s="88" t="s">
        <v>592</v>
      </c>
      <c r="B3003" s="88">
        <v>145</v>
      </c>
      <c r="C3003" s="88">
        <v>15</v>
      </c>
      <c r="D3003" s="88" t="s">
        <v>232</v>
      </c>
      <c r="E3003" s="88" t="s">
        <v>2493</v>
      </c>
      <c r="F3003" s="88" t="s">
        <v>2494</v>
      </c>
      <c r="G3003" s="88" t="s">
        <v>1921</v>
      </c>
      <c r="H3003" s="88" t="s">
        <v>596</v>
      </c>
    </row>
    <row r="3004" spans="1:8" ht="28.8" x14ac:dyDescent="0.3">
      <c r="A3004" s="88" t="s">
        <v>592</v>
      </c>
      <c r="B3004" s="88">
        <v>145</v>
      </c>
      <c r="C3004" s="88">
        <v>16</v>
      </c>
      <c r="D3004" s="88" t="s">
        <v>232</v>
      </c>
      <c r="E3004" s="88" t="s">
        <v>2495</v>
      </c>
      <c r="F3004" s="88" t="s">
        <v>2496</v>
      </c>
      <c r="G3004" s="88" t="s">
        <v>1924</v>
      </c>
      <c r="H3004" s="88" t="s">
        <v>596</v>
      </c>
    </row>
    <row r="3005" spans="1:8" ht="28.8" x14ac:dyDescent="0.3">
      <c r="A3005" s="88" t="s">
        <v>592</v>
      </c>
      <c r="B3005" s="88">
        <v>146</v>
      </c>
      <c r="C3005" s="88">
        <v>15</v>
      </c>
      <c r="D3005" s="88" t="s">
        <v>233</v>
      </c>
      <c r="E3005" s="88" t="s">
        <v>2497</v>
      </c>
      <c r="F3005" s="88" t="s">
        <v>2498</v>
      </c>
      <c r="G3005" s="88" t="s">
        <v>1921</v>
      </c>
      <c r="H3005" s="88" t="s">
        <v>596</v>
      </c>
    </row>
    <row r="3006" spans="1:8" ht="28.8" x14ac:dyDescent="0.3">
      <c r="A3006" s="88" t="s">
        <v>592</v>
      </c>
      <c r="B3006" s="88">
        <v>146</v>
      </c>
      <c r="C3006" s="88">
        <v>16</v>
      </c>
      <c r="D3006" s="88" t="s">
        <v>233</v>
      </c>
      <c r="E3006" s="88" t="s">
        <v>2499</v>
      </c>
      <c r="F3006" s="88" t="s">
        <v>2500</v>
      </c>
      <c r="G3006" s="88" t="s">
        <v>1924</v>
      </c>
      <c r="H3006" s="88" t="s">
        <v>596</v>
      </c>
    </row>
    <row r="3007" spans="1:8" ht="28.8" x14ac:dyDescent="0.3">
      <c r="A3007" s="88" t="s">
        <v>592</v>
      </c>
      <c r="B3007" s="88">
        <v>147</v>
      </c>
      <c r="C3007" s="88">
        <v>15</v>
      </c>
      <c r="D3007" s="88" t="s">
        <v>234</v>
      </c>
      <c r="E3007" s="88" t="s">
        <v>2501</v>
      </c>
      <c r="F3007" s="88" t="s">
        <v>2502</v>
      </c>
      <c r="G3007" s="88" t="s">
        <v>1921</v>
      </c>
      <c r="H3007" s="88" t="s">
        <v>596</v>
      </c>
    </row>
    <row r="3008" spans="1:8" ht="28.8" x14ac:dyDescent="0.3">
      <c r="A3008" s="88" t="s">
        <v>592</v>
      </c>
      <c r="B3008" s="88">
        <v>147</v>
      </c>
      <c r="C3008" s="88">
        <v>16</v>
      </c>
      <c r="D3008" s="88" t="s">
        <v>234</v>
      </c>
      <c r="E3008" s="88" t="s">
        <v>2503</v>
      </c>
      <c r="F3008" s="88" t="s">
        <v>2504</v>
      </c>
      <c r="G3008" s="88" t="s">
        <v>1924</v>
      </c>
      <c r="H3008" s="88" t="s">
        <v>596</v>
      </c>
    </row>
    <row r="3009" spans="1:8" ht="28.8" x14ac:dyDescent="0.3">
      <c r="A3009" s="88" t="s">
        <v>592</v>
      </c>
      <c r="B3009" s="88">
        <v>148</v>
      </c>
      <c r="C3009" s="88">
        <v>15</v>
      </c>
      <c r="D3009" s="88" t="s">
        <v>235</v>
      </c>
      <c r="E3009" s="88" t="s">
        <v>2505</v>
      </c>
      <c r="F3009" s="88" t="s">
        <v>2506</v>
      </c>
      <c r="G3009" s="88" t="s">
        <v>1921</v>
      </c>
      <c r="H3009" s="88" t="s">
        <v>596</v>
      </c>
    </row>
    <row r="3010" spans="1:8" ht="28.8" x14ac:dyDescent="0.3">
      <c r="A3010" s="88" t="s">
        <v>592</v>
      </c>
      <c r="B3010" s="88">
        <v>148</v>
      </c>
      <c r="C3010" s="88">
        <v>16</v>
      </c>
      <c r="D3010" s="88" t="s">
        <v>235</v>
      </c>
      <c r="E3010" s="88" t="s">
        <v>2507</v>
      </c>
      <c r="F3010" s="88" t="s">
        <v>2508</v>
      </c>
      <c r="G3010" s="88" t="s">
        <v>1924</v>
      </c>
      <c r="H3010" s="88" t="s">
        <v>596</v>
      </c>
    </row>
    <row r="3011" spans="1:8" ht="28.8" x14ac:dyDescent="0.3">
      <c r="A3011" s="88" t="s">
        <v>592</v>
      </c>
      <c r="B3011" s="88">
        <v>149</v>
      </c>
      <c r="C3011" s="88">
        <v>15</v>
      </c>
      <c r="D3011" s="88" t="s">
        <v>529</v>
      </c>
      <c r="E3011" s="88" t="s">
        <v>2509</v>
      </c>
      <c r="F3011" s="88" t="s">
        <v>2510</v>
      </c>
      <c r="G3011" s="88" t="s">
        <v>1921</v>
      </c>
      <c r="H3011" s="88" t="s">
        <v>596</v>
      </c>
    </row>
    <row r="3012" spans="1:8" ht="28.8" x14ac:dyDescent="0.3">
      <c r="A3012" s="88" t="s">
        <v>592</v>
      </c>
      <c r="B3012" s="88">
        <v>149</v>
      </c>
      <c r="C3012" s="88">
        <v>16</v>
      </c>
      <c r="D3012" s="88" t="s">
        <v>529</v>
      </c>
      <c r="E3012" s="88" t="s">
        <v>2511</v>
      </c>
      <c r="F3012" s="88" t="s">
        <v>2512</v>
      </c>
      <c r="G3012" s="88" t="s">
        <v>1924</v>
      </c>
      <c r="H3012" s="88" t="s">
        <v>596</v>
      </c>
    </row>
    <row r="3013" spans="1:8" ht="28.8" x14ac:dyDescent="0.3">
      <c r="A3013" s="88" t="s">
        <v>592</v>
      </c>
      <c r="B3013" s="88">
        <v>150</v>
      </c>
      <c r="C3013" s="88">
        <v>15</v>
      </c>
      <c r="D3013" s="88" t="s">
        <v>531</v>
      </c>
      <c r="E3013" s="88" t="s">
        <v>2513</v>
      </c>
      <c r="F3013" s="88" t="s">
        <v>2514</v>
      </c>
      <c r="G3013" s="88" t="s">
        <v>1921</v>
      </c>
      <c r="H3013" s="88" t="s">
        <v>596</v>
      </c>
    </row>
    <row r="3014" spans="1:8" ht="28.8" x14ac:dyDescent="0.3">
      <c r="A3014" s="88" t="s">
        <v>592</v>
      </c>
      <c r="B3014" s="88">
        <v>150</v>
      </c>
      <c r="C3014" s="88">
        <v>16</v>
      </c>
      <c r="D3014" s="88" t="s">
        <v>531</v>
      </c>
      <c r="E3014" s="88" t="s">
        <v>2515</v>
      </c>
      <c r="F3014" s="88" t="s">
        <v>2516</v>
      </c>
      <c r="G3014" s="88" t="s">
        <v>1924</v>
      </c>
      <c r="H3014" s="88" t="s">
        <v>596</v>
      </c>
    </row>
    <row r="3015" spans="1:8" ht="28.8" x14ac:dyDescent="0.3">
      <c r="A3015" s="88" t="s">
        <v>592</v>
      </c>
      <c r="B3015" s="88">
        <v>151</v>
      </c>
      <c r="C3015" s="88">
        <v>15</v>
      </c>
      <c r="D3015" s="88" t="s">
        <v>533</v>
      </c>
      <c r="E3015" s="88" t="s">
        <v>2517</v>
      </c>
      <c r="F3015" s="88" t="s">
        <v>2518</v>
      </c>
      <c r="G3015" s="88" t="s">
        <v>1921</v>
      </c>
      <c r="H3015" s="88" t="s">
        <v>596</v>
      </c>
    </row>
    <row r="3016" spans="1:8" ht="28.8" x14ac:dyDescent="0.3">
      <c r="A3016" s="88" t="s">
        <v>592</v>
      </c>
      <c r="B3016" s="88">
        <v>151</v>
      </c>
      <c r="C3016" s="88">
        <v>16</v>
      </c>
      <c r="D3016" s="88" t="s">
        <v>533</v>
      </c>
      <c r="E3016" s="88" t="s">
        <v>2519</v>
      </c>
      <c r="F3016" s="88" t="s">
        <v>2520</v>
      </c>
      <c r="G3016" s="88" t="s">
        <v>1924</v>
      </c>
      <c r="H3016" s="88" t="s">
        <v>596</v>
      </c>
    </row>
    <row r="3017" spans="1:8" ht="28.8" x14ac:dyDescent="0.3">
      <c r="A3017" s="88" t="s">
        <v>592</v>
      </c>
      <c r="B3017" s="88">
        <v>152</v>
      </c>
      <c r="C3017" s="88">
        <v>15</v>
      </c>
      <c r="D3017" s="88" t="s">
        <v>239</v>
      </c>
      <c r="E3017" s="88" t="s">
        <v>2521</v>
      </c>
      <c r="F3017" s="88" t="s">
        <v>2522</v>
      </c>
      <c r="G3017" s="88" t="s">
        <v>1921</v>
      </c>
      <c r="H3017" s="88" t="s">
        <v>596</v>
      </c>
    </row>
    <row r="3018" spans="1:8" ht="28.8" x14ac:dyDescent="0.3">
      <c r="A3018" s="88" t="s">
        <v>592</v>
      </c>
      <c r="B3018" s="88">
        <v>152</v>
      </c>
      <c r="C3018" s="88">
        <v>16</v>
      </c>
      <c r="D3018" s="88" t="s">
        <v>239</v>
      </c>
      <c r="E3018" s="88" t="s">
        <v>2523</v>
      </c>
      <c r="F3018" s="88" t="s">
        <v>2524</v>
      </c>
      <c r="G3018" s="88" t="s">
        <v>1924</v>
      </c>
      <c r="H3018" s="88" t="s">
        <v>596</v>
      </c>
    </row>
    <row r="3019" spans="1:8" ht="28.8" x14ac:dyDescent="0.3">
      <c r="A3019" s="88" t="s">
        <v>592</v>
      </c>
      <c r="B3019" s="88">
        <v>153</v>
      </c>
      <c r="C3019" s="88">
        <v>15</v>
      </c>
      <c r="D3019" s="88" t="s">
        <v>536</v>
      </c>
      <c r="E3019" s="88" t="s">
        <v>2525</v>
      </c>
      <c r="F3019" s="88" t="s">
        <v>2526</v>
      </c>
      <c r="G3019" s="88" t="s">
        <v>1921</v>
      </c>
      <c r="H3019" s="88" t="s">
        <v>596</v>
      </c>
    </row>
    <row r="3020" spans="1:8" ht="28.8" x14ac:dyDescent="0.3">
      <c r="A3020" s="88" t="s">
        <v>592</v>
      </c>
      <c r="B3020" s="88">
        <v>153</v>
      </c>
      <c r="C3020" s="88">
        <v>16</v>
      </c>
      <c r="D3020" s="88" t="s">
        <v>536</v>
      </c>
      <c r="E3020" s="88" t="s">
        <v>2527</v>
      </c>
      <c r="F3020" s="88" t="s">
        <v>2528</v>
      </c>
      <c r="G3020" s="88" t="s">
        <v>1924</v>
      </c>
      <c r="H3020" s="88" t="s">
        <v>596</v>
      </c>
    </row>
    <row r="3021" spans="1:8" ht="28.8" x14ac:dyDescent="0.3">
      <c r="A3021" s="88" t="s">
        <v>592</v>
      </c>
      <c r="B3021" s="88">
        <v>154</v>
      </c>
      <c r="C3021" s="88">
        <v>15</v>
      </c>
      <c r="D3021" s="88" t="s">
        <v>538</v>
      </c>
      <c r="E3021" s="88" t="s">
        <v>2529</v>
      </c>
      <c r="F3021" s="88" t="s">
        <v>2530</v>
      </c>
      <c r="G3021" s="88" t="s">
        <v>1921</v>
      </c>
      <c r="H3021" s="88" t="s">
        <v>596</v>
      </c>
    </row>
    <row r="3022" spans="1:8" ht="28.8" x14ac:dyDescent="0.3">
      <c r="A3022" s="88" t="s">
        <v>592</v>
      </c>
      <c r="B3022" s="88">
        <v>154</v>
      </c>
      <c r="C3022" s="88">
        <v>16</v>
      </c>
      <c r="D3022" s="88" t="s">
        <v>538</v>
      </c>
      <c r="E3022" s="88" t="s">
        <v>2531</v>
      </c>
      <c r="F3022" s="88" t="s">
        <v>2532</v>
      </c>
      <c r="G3022" s="88" t="s">
        <v>1924</v>
      </c>
      <c r="H3022" s="88" t="s">
        <v>596</v>
      </c>
    </row>
    <row r="3023" spans="1:8" ht="28.8" x14ac:dyDescent="0.3">
      <c r="A3023" s="88" t="s">
        <v>592</v>
      </c>
      <c r="B3023" s="88">
        <v>155</v>
      </c>
      <c r="C3023" s="88">
        <v>15</v>
      </c>
      <c r="D3023" s="88" t="s">
        <v>242</v>
      </c>
      <c r="E3023" s="88" t="s">
        <v>2533</v>
      </c>
      <c r="F3023" s="88" t="s">
        <v>2534</v>
      </c>
      <c r="G3023" s="88" t="s">
        <v>1921</v>
      </c>
      <c r="H3023" s="88" t="s">
        <v>596</v>
      </c>
    </row>
    <row r="3024" spans="1:8" ht="28.8" x14ac:dyDescent="0.3">
      <c r="A3024" s="88" t="s">
        <v>592</v>
      </c>
      <c r="B3024" s="88">
        <v>155</v>
      </c>
      <c r="C3024" s="88">
        <v>16</v>
      </c>
      <c r="D3024" s="88" t="s">
        <v>242</v>
      </c>
      <c r="E3024" s="88" t="s">
        <v>2535</v>
      </c>
      <c r="F3024" s="88" t="s">
        <v>2536</v>
      </c>
      <c r="G3024" s="88" t="s">
        <v>1924</v>
      </c>
      <c r="H3024" s="88" t="s">
        <v>596</v>
      </c>
    </row>
    <row r="3025" spans="1:8" ht="28.8" x14ac:dyDescent="0.3">
      <c r="A3025" s="88" t="s">
        <v>592</v>
      </c>
      <c r="B3025" s="88">
        <v>156</v>
      </c>
      <c r="C3025" s="88">
        <v>15</v>
      </c>
      <c r="D3025" s="88" t="s">
        <v>243</v>
      </c>
      <c r="E3025" s="88" t="s">
        <v>2537</v>
      </c>
      <c r="F3025" s="88" t="s">
        <v>2538</v>
      </c>
      <c r="G3025" s="88" t="s">
        <v>1921</v>
      </c>
      <c r="H3025" s="88" t="s">
        <v>596</v>
      </c>
    </row>
    <row r="3026" spans="1:8" ht="28.8" x14ac:dyDescent="0.3">
      <c r="A3026" s="88" t="s">
        <v>592</v>
      </c>
      <c r="B3026" s="88">
        <v>156</v>
      </c>
      <c r="C3026" s="88">
        <v>16</v>
      </c>
      <c r="D3026" s="88" t="s">
        <v>243</v>
      </c>
      <c r="E3026" s="88" t="s">
        <v>2539</v>
      </c>
      <c r="F3026" s="88" t="s">
        <v>2540</v>
      </c>
      <c r="G3026" s="88" t="s">
        <v>1924</v>
      </c>
      <c r="H3026" s="88" t="s">
        <v>596</v>
      </c>
    </row>
    <row r="3027" spans="1:8" ht="28.8" x14ac:dyDescent="0.3">
      <c r="A3027" s="88" t="s">
        <v>592</v>
      </c>
      <c r="B3027" s="88">
        <v>157</v>
      </c>
      <c r="C3027" s="88">
        <v>15</v>
      </c>
      <c r="D3027" s="88" t="s">
        <v>244</v>
      </c>
      <c r="E3027" s="88" t="s">
        <v>2541</v>
      </c>
      <c r="F3027" s="88" t="s">
        <v>2542</v>
      </c>
      <c r="G3027" s="88" t="s">
        <v>1921</v>
      </c>
      <c r="H3027" s="88" t="s">
        <v>596</v>
      </c>
    </row>
    <row r="3028" spans="1:8" ht="28.8" x14ac:dyDescent="0.3">
      <c r="A3028" s="88" t="s">
        <v>592</v>
      </c>
      <c r="B3028" s="88">
        <v>157</v>
      </c>
      <c r="C3028" s="88">
        <v>16</v>
      </c>
      <c r="D3028" s="88" t="s">
        <v>244</v>
      </c>
      <c r="E3028" s="88" t="s">
        <v>2543</v>
      </c>
      <c r="F3028" s="88" t="s">
        <v>2544</v>
      </c>
      <c r="G3028" s="88" t="s">
        <v>1924</v>
      </c>
      <c r="H3028" s="88" t="s">
        <v>596</v>
      </c>
    </row>
    <row r="3029" spans="1:8" ht="28.8" x14ac:dyDescent="0.3">
      <c r="A3029" s="88" t="s">
        <v>592</v>
      </c>
      <c r="B3029" s="88">
        <v>158</v>
      </c>
      <c r="C3029" s="88">
        <v>15</v>
      </c>
      <c r="D3029" s="88" t="s">
        <v>245</v>
      </c>
      <c r="E3029" s="88" t="s">
        <v>2545</v>
      </c>
      <c r="F3029" s="88" t="s">
        <v>2546</v>
      </c>
      <c r="G3029" s="88" t="s">
        <v>1921</v>
      </c>
      <c r="H3029" s="88" t="s">
        <v>596</v>
      </c>
    </row>
    <row r="3030" spans="1:8" ht="28.8" x14ac:dyDescent="0.3">
      <c r="A3030" s="88" t="s">
        <v>592</v>
      </c>
      <c r="B3030" s="88">
        <v>158</v>
      </c>
      <c r="C3030" s="88">
        <v>16</v>
      </c>
      <c r="D3030" s="88" t="s">
        <v>245</v>
      </c>
      <c r="E3030" s="88" t="s">
        <v>2547</v>
      </c>
      <c r="F3030" s="88" t="s">
        <v>2548</v>
      </c>
      <c r="G3030" s="88" t="s">
        <v>1924</v>
      </c>
      <c r="H3030" s="88" t="s">
        <v>596</v>
      </c>
    </row>
    <row r="3031" spans="1:8" ht="28.8" x14ac:dyDescent="0.3">
      <c r="A3031" s="88" t="s">
        <v>592</v>
      </c>
      <c r="B3031" s="88">
        <v>159</v>
      </c>
      <c r="C3031" s="88">
        <v>15</v>
      </c>
      <c r="D3031" s="88" t="s">
        <v>544</v>
      </c>
      <c r="E3031" s="88" t="s">
        <v>622</v>
      </c>
      <c r="F3031" s="88" t="s">
        <v>2549</v>
      </c>
      <c r="G3031" s="88" t="s">
        <v>1921</v>
      </c>
      <c r="H3031" s="88" t="s">
        <v>596</v>
      </c>
    </row>
    <row r="3032" spans="1:8" ht="28.8" x14ac:dyDescent="0.3">
      <c r="A3032" s="88" t="s">
        <v>592</v>
      </c>
      <c r="B3032" s="88">
        <v>159</v>
      </c>
      <c r="C3032" s="88">
        <v>16</v>
      </c>
      <c r="D3032" s="88" t="s">
        <v>544</v>
      </c>
      <c r="E3032" s="88" t="s">
        <v>624</v>
      </c>
      <c r="F3032" s="88" t="s">
        <v>2550</v>
      </c>
      <c r="G3032" s="88" t="s">
        <v>1924</v>
      </c>
      <c r="H3032" s="88" t="s">
        <v>596</v>
      </c>
    </row>
    <row r="3033" spans="1:8" ht="28.8" x14ac:dyDescent="0.3">
      <c r="A3033" s="88" t="s">
        <v>592</v>
      </c>
      <c r="B3033" s="88">
        <v>160</v>
      </c>
      <c r="C3033" s="88">
        <v>15</v>
      </c>
      <c r="D3033" s="88" t="s">
        <v>546</v>
      </c>
      <c r="E3033" s="88" t="s">
        <v>621</v>
      </c>
      <c r="F3033" s="88" t="s">
        <v>2551</v>
      </c>
      <c r="G3033" s="88" t="s">
        <v>1921</v>
      </c>
      <c r="H3033" s="88" t="s">
        <v>596</v>
      </c>
    </row>
    <row r="3034" spans="1:8" ht="28.8" x14ac:dyDescent="0.3">
      <c r="A3034" s="88" t="s">
        <v>592</v>
      </c>
      <c r="B3034" s="88">
        <v>160</v>
      </c>
      <c r="C3034" s="88">
        <v>16</v>
      </c>
      <c r="D3034" s="88" t="s">
        <v>546</v>
      </c>
      <c r="E3034" s="88" t="s">
        <v>623</v>
      </c>
      <c r="F3034" s="88" t="s">
        <v>2552</v>
      </c>
      <c r="G3034" s="88" t="s">
        <v>1924</v>
      </c>
      <c r="H3034" s="88" t="s">
        <v>596</v>
      </c>
    </row>
    <row r="3035" spans="1:8" ht="28.8" x14ac:dyDescent="0.3">
      <c r="A3035" s="88" t="s">
        <v>592</v>
      </c>
      <c r="B3035" s="88">
        <v>161</v>
      </c>
      <c r="C3035" s="88">
        <v>15</v>
      </c>
      <c r="D3035" s="88" t="s">
        <v>248</v>
      </c>
      <c r="E3035" s="88" t="s">
        <v>690</v>
      </c>
      <c r="F3035" s="88" t="s">
        <v>2553</v>
      </c>
      <c r="G3035" s="88" t="s">
        <v>1921</v>
      </c>
      <c r="H3035" s="88" t="s">
        <v>596</v>
      </c>
    </row>
    <row r="3036" spans="1:8" ht="28.8" x14ac:dyDescent="0.3">
      <c r="A3036" s="88" t="s">
        <v>592</v>
      </c>
      <c r="B3036" s="88">
        <v>161</v>
      </c>
      <c r="C3036" s="88">
        <v>16</v>
      </c>
      <c r="D3036" s="88" t="s">
        <v>248</v>
      </c>
      <c r="E3036" s="88" t="s">
        <v>691</v>
      </c>
      <c r="F3036" s="88" t="s">
        <v>2554</v>
      </c>
      <c r="G3036" s="88" t="s">
        <v>1924</v>
      </c>
      <c r="H3036" s="88" t="s">
        <v>596</v>
      </c>
    </row>
    <row r="3037" spans="1:8" ht="28.8" x14ac:dyDescent="0.3">
      <c r="A3037" s="88" t="s">
        <v>592</v>
      </c>
      <c r="B3037" s="88">
        <v>162</v>
      </c>
      <c r="C3037" s="88">
        <v>15</v>
      </c>
      <c r="D3037" s="88" t="s">
        <v>549</v>
      </c>
      <c r="E3037" s="88" t="s">
        <v>2555</v>
      </c>
      <c r="F3037" s="88" t="s">
        <v>2556</v>
      </c>
      <c r="G3037" s="88" t="s">
        <v>1921</v>
      </c>
      <c r="H3037" s="88" t="s">
        <v>596</v>
      </c>
    </row>
    <row r="3038" spans="1:8" ht="28.8" x14ac:dyDescent="0.3">
      <c r="A3038" s="88" t="s">
        <v>592</v>
      </c>
      <c r="B3038" s="88">
        <v>162</v>
      </c>
      <c r="C3038" s="88">
        <v>16</v>
      </c>
      <c r="D3038" s="88" t="s">
        <v>549</v>
      </c>
      <c r="E3038" s="88" t="s">
        <v>2557</v>
      </c>
      <c r="F3038" s="88" t="s">
        <v>2558</v>
      </c>
      <c r="G3038" s="88" t="s">
        <v>1924</v>
      </c>
      <c r="H3038" s="88" t="s">
        <v>596</v>
      </c>
    </row>
    <row r="3039" spans="1:8" ht="28.8" x14ac:dyDescent="0.3">
      <c r="A3039" s="88" t="s">
        <v>592</v>
      </c>
      <c r="B3039" s="88">
        <v>163</v>
      </c>
      <c r="C3039" s="88">
        <v>15</v>
      </c>
      <c r="D3039" s="88" t="s">
        <v>551</v>
      </c>
      <c r="E3039" s="88" t="s">
        <v>2559</v>
      </c>
      <c r="F3039" s="88" t="s">
        <v>2560</v>
      </c>
      <c r="G3039" s="88" t="s">
        <v>1921</v>
      </c>
      <c r="H3039" s="88" t="s">
        <v>596</v>
      </c>
    </row>
    <row r="3040" spans="1:8" ht="28.8" x14ac:dyDescent="0.3">
      <c r="A3040" s="88" t="s">
        <v>592</v>
      </c>
      <c r="B3040" s="88">
        <v>163</v>
      </c>
      <c r="C3040" s="88">
        <v>16</v>
      </c>
      <c r="D3040" s="88" t="s">
        <v>551</v>
      </c>
      <c r="E3040" s="88" t="s">
        <v>2561</v>
      </c>
      <c r="F3040" s="88" t="s">
        <v>2562</v>
      </c>
      <c r="G3040" s="88" t="s">
        <v>1924</v>
      </c>
      <c r="H3040" s="88" t="s">
        <v>596</v>
      </c>
    </row>
    <row r="3041" spans="1:8" ht="28.8" x14ac:dyDescent="0.3">
      <c r="A3041" s="88" t="s">
        <v>592</v>
      </c>
      <c r="B3041" s="88">
        <v>164</v>
      </c>
      <c r="C3041" s="88">
        <v>15</v>
      </c>
      <c r="D3041" s="88" t="s">
        <v>553</v>
      </c>
      <c r="E3041" s="88" t="s">
        <v>2563</v>
      </c>
      <c r="F3041" s="88" t="s">
        <v>2564</v>
      </c>
      <c r="G3041" s="88" t="s">
        <v>1921</v>
      </c>
      <c r="H3041" s="88" t="s">
        <v>596</v>
      </c>
    </row>
    <row r="3042" spans="1:8" ht="28.8" x14ac:dyDescent="0.3">
      <c r="A3042" s="88" t="s">
        <v>592</v>
      </c>
      <c r="B3042" s="88">
        <v>164</v>
      </c>
      <c r="C3042" s="88">
        <v>16</v>
      </c>
      <c r="D3042" s="88" t="s">
        <v>553</v>
      </c>
      <c r="E3042" s="88" t="s">
        <v>2565</v>
      </c>
      <c r="F3042" s="88" t="s">
        <v>2566</v>
      </c>
      <c r="G3042" s="88" t="s">
        <v>1924</v>
      </c>
      <c r="H3042" s="88" t="s">
        <v>596</v>
      </c>
    </row>
    <row r="3043" spans="1:8" ht="28.8" x14ac:dyDescent="0.3">
      <c r="A3043" s="88" t="s">
        <v>592</v>
      </c>
      <c r="B3043" s="88">
        <v>165</v>
      </c>
      <c r="C3043" s="88">
        <v>15</v>
      </c>
      <c r="D3043" s="88" t="s">
        <v>555</v>
      </c>
      <c r="E3043" s="88" t="s">
        <v>2567</v>
      </c>
      <c r="F3043" s="88" t="s">
        <v>2568</v>
      </c>
      <c r="G3043" s="88" t="s">
        <v>1921</v>
      </c>
      <c r="H3043" s="88" t="s">
        <v>596</v>
      </c>
    </row>
    <row r="3044" spans="1:8" ht="28.8" x14ac:dyDescent="0.3">
      <c r="A3044" s="88" t="s">
        <v>592</v>
      </c>
      <c r="B3044" s="88">
        <v>165</v>
      </c>
      <c r="C3044" s="88">
        <v>16</v>
      </c>
      <c r="D3044" s="88" t="s">
        <v>555</v>
      </c>
      <c r="E3044" s="88" t="s">
        <v>2569</v>
      </c>
      <c r="F3044" s="88" t="s">
        <v>2570</v>
      </c>
      <c r="G3044" s="88" t="s">
        <v>1924</v>
      </c>
      <c r="H3044" s="88" t="s">
        <v>596</v>
      </c>
    </row>
    <row r="3045" spans="1:8" ht="28.8" x14ac:dyDescent="0.3">
      <c r="A3045" s="88" t="s">
        <v>592</v>
      </c>
      <c r="B3045" s="88">
        <v>166</v>
      </c>
      <c r="C3045" s="88">
        <v>15</v>
      </c>
      <c r="D3045" s="88" t="s">
        <v>253</v>
      </c>
      <c r="E3045" s="88" t="s">
        <v>2571</v>
      </c>
      <c r="F3045" s="88" t="s">
        <v>2572</v>
      </c>
      <c r="G3045" s="88" t="s">
        <v>1921</v>
      </c>
      <c r="H3045" s="88" t="s">
        <v>596</v>
      </c>
    </row>
    <row r="3046" spans="1:8" ht="28.8" x14ac:dyDescent="0.3">
      <c r="A3046" s="88" t="s">
        <v>592</v>
      </c>
      <c r="B3046" s="88">
        <v>166</v>
      </c>
      <c r="C3046" s="88">
        <v>16</v>
      </c>
      <c r="D3046" s="88" t="s">
        <v>253</v>
      </c>
      <c r="E3046" s="88" t="s">
        <v>2573</v>
      </c>
      <c r="F3046" s="88" t="s">
        <v>2574</v>
      </c>
      <c r="G3046" s="88" t="s">
        <v>1924</v>
      </c>
      <c r="H3046" s="88" t="s">
        <v>596</v>
      </c>
    </row>
    <row r="3047" spans="1:8" ht="28.8" x14ac:dyDescent="0.3">
      <c r="A3047" s="88" t="s">
        <v>592</v>
      </c>
      <c r="B3047" s="88">
        <v>167</v>
      </c>
      <c r="C3047" s="88">
        <v>15</v>
      </c>
      <c r="D3047" s="88" t="s">
        <v>558</v>
      </c>
      <c r="E3047" s="88" t="s">
        <v>2575</v>
      </c>
      <c r="F3047" s="88" t="s">
        <v>2576</v>
      </c>
      <c r="G3047" s="88" t="s">
        <v>1921</v>
      </c>
      <c r="H3047" s="88" t="s">
        <v>596</v>
      </c>
    </row>
    <row r="3048" spans="1:8" ht="28.8" x14ac:dyDescent="0.3">
      <c r="A3048" s="88" t="s">
        <v>592</v>
      </c>
      <c r="B3048" s="88">
        <v>167</v>
      </c>
      <c r="C3048" s="88">
        <v>16</v>
      </c>
      <c r="D3048" s="88" t="s">
        <v>558</v>
      </c>
      <c r="E3048" s="88" t="s">
        <v>2577</v>
      </c>
      <c r="F3048" s="88" t="s">
        <v>2578</v>
      </c>
      <c r="G3048" s="88" t="s">
        <v>1924</v>
      </c>
      <c r="H3048" s="88" t="s">
        <v>596</v>
      </c>
    </row>
    <row r="3049" spans="1:8" ht="28.8" x14ac:dyDescent="0.3">
      <c r="A3049" s="88" t="s">
        <v>592</v>
      </c>
      <c r="B3049" s="88">
        <v>168</v>
      </c>
      <c r="C3049" s="88">
        <v>15</v>
      </c>
      <c r="D3049" s="88" t="s">
        <v>255</v>
      </c>
      <c r="E3049" s="88" t="s">
        <v>2579</v>
      </c>
      <c r="F3049" s="88" t="s">
        <v>2580</v>
      </c>
      <c r="G3049" s="88" t="s">
        <v>1921</v>
      </c>
      <c r="H3049" s="88" t="s">
        <v>596</v>
      </c>
    </row>
    <row r="3050" spans="1:8" ht="28.8" x14ac:dyDescent="0.3">
      <c r="A3050" s="88" t="s">
        <v>592</v>
      </c>
      <c r="B3050" s="88">
        <v>168</v>
      </c>
      <c r="C3050" s="88">
        <v>16</v>
      </c>
      <c r="D3050" s="88" t="s">
        <v>255</v>
      </c>
      <c r="E3050" s="88" t="s">
        <v>2581</v>
      </c>
      <c r="F3050" s="88" t="s">
        <v>2582</v>
      </c>
      <c r="G3050" s="88" t="s">
        <v>1924</v>
      </c>
      <c r="H3050" s="88" t="s">
        <v>596</v>
      </c>
    </row>
    <row r="3051" spans="1:8" ht="28.8" x14ac:dyDescent="0.3">
      <c r="A3051" s="88" t="s">
        <v>592</v>
      </c>
      <c r="B3051" s="88">
        <v>169</v>
      </c>
      <c r="C3051" s="88">
        <v>15</v>
      </c>
      <c r="D3051" s="88" t="s">
        <v>561</v>
      </c>
      <c r="E3051" s="88" t="s">
        <v>2583</v>
      </c>
      <c r="F3051" s="88" t="s">
        <v>2584</v>
      </c>
      <c r="G3051" s="88" t="s">
        <v>1921</v>
      </c>
      <c r="H3051" s="88" t="s">
        <v>596</v>
      </c>
    </row>
    <row r="3052" spans="1:8" ht="28.8" x14ac:dyDescent="0.3">
      <c r="A3052" s="88" t="s">
        <v>592</v>
      </c>
      <c r="B3052" s="88">
        <v>169</v>
      </c>
      <c r="C3052" s="88">
        <v>16</v>
      </c>
      <c r="D3052" s="88" t="s">
        <v>561</v>
      </c>
      <c r="E3052" s="88" t="s">
        <v>2585</v>
      </c>
      <c r="F3052" s="88" t="s">
        <v>2586</v>
      </c>
      <c r="G3052" s="88" t="s">
        <v>1924</v>
      </c>
      <c r="H3052" s="88" t="s">
        <v>596</v>
      </c>
    </row>
    <row r="3053" spans="1:8" ht="28.8" x14ac:dyDescent="0.3">
      <c r="A3053" s="88" t="s">
        <v>592</v>
      </c>
      <c r="B3053" s="88">
        <v>170</v>
      </c>
      <c r="C3053" s="88">
        <v>15</v>
      </c>
      <c r="D3053" s="88" t="s">
        <v>257</v>
      </c>
      <c r="E3053" s="88" t="s">
        <v>2587</v>
      </c>
      <c r="F3053" s="88" t="s">
        <v>2588</v>
      </c>
      <c r="G3053" s="88" t="s">
        <v>1921</v>
      </c>
      <c r="H3053" s="88" t="s">
        <v>596</v>
      </c>
    </row>
    <row r="3054" spans="1:8" ht="28.8" x14ac:dyDescent="0.3">
      <c r="A3054" s="88" t="s">
        <v>592</v>
      </c>
      <c r="B3054" s="88">
        <v>170</v>
      </c>
      <c r="C3054" s="88">
        <v>16</v>
      </c>
      <c r="D3054" s="88" t="s">
        <v>257</v>
      </c>
      <c r="E3054" s="88" t="s">
        <v>2589</v>
      </c>
      <c r="F3054" s="88" t="s">
        <v>2590</v>
      </c>
      <c r="G3054" s="88" t="s">
        <v>1924</v>
      </c>
      <c r="H3054" s="88" t="s">
        <v>596</v>
      </c>
    </row>
    <row r="3055" spans="1:8" ht="28.8" x14ac:dyDescent="0.3">
      <c r="A3055" s="88" t="s">
        <v>592</v>
      </c>
      <c r="B3055" s="88">
        <v>171</v>
      </c>
      <c r="C3055" s="88">
        <v>15</v>
      </c>
      <c r="D3055" s="88" t="s">
        <v>258</v>
      </c>
      <c r="E3055" s="88" t="s">
        <v>2591</v>
      </c>
      <c r="F3055" s="88" t="s">
        <v>2592</v>
      </c>
      <c r="G3055" s="88" t="s">
        <v>1921</v>
      </c>
      <c r="H3055" s="88" t="s">
        <v>596</v>
      </c>
    </row>
    <row r="3056" spans="1:8" ht="28.8" x14ac:dyDescent="0.3">
      <c r="A3056" s="88" t="s">
        <v>592</v>
      </c>
      <c r="B3056" s="88">
        <v>171</v>
      </c>
      <c r="C3056" s="88">
        <v>16</v>
      </c>
      <c r="D3056" s="88" t="s">
        <v>258</v>
      </c>
      <c r="E3056" s="88" t="s">
        <v>2593</v>
      </c>
      <c r="F3056" s="88" t="s">
        <v>2594</v>
      </c>
      <c r="G3056" s="88" t="s">
        <v>1924</v>
      </c>
      <c r="H3056" s="88" t="s">
        <v>596</v>
      </c>
    </row>
    <row r="3057" spans="1:8" ht="28.8" x14ac:dyDescent="0.3">
      <c r="A3057" s="88" t="s">
        <v>592</v>
      </c>
      <c r="B3057" s="88">
        <v>172</v>
      </c>
      <c r="C3057" s="88">
        <v>15</v>
      </c>
      <c r="D3057" s="88" t="s">
        <v>259</v>
      </c>
      <c r="E3057" s="88" t="s">
        <v>2595</v>
      </c>
      <c r="F3057" s="88" t="s">
        <v>2596</v>
      </c>
      <c r="G3057" s="88" t="s">
        <v>1921</v>
      </c>
      <c r="H3057" s="88" t="s">
        <v>596</v>
      </c>
    </row>
    <row r="3058" spans="1:8" ht="28.8" x14ac:dyDescent="0.3">
      <c r="A3058" s="88" t="s">
        <v>592</v>
      </c>
      <c r="B3058" s="88">
        <v>172</v>
      </c>
      <c r="C3058" s="88">
        <v>16</v>
      </c>
      <c r="D3058" s="88" t="s">
        <v>259</v>
      </c>
      <c r="E3058" s="88" t="s">
        <v>2597</v>
      </c>
      <c r="F3058" s="88" t="s">
        <v>2598</v>
      </c>
      <c r="G3058" s="88" t="s">
        <v>1924</v>
      </c>
      <c r="H3058" s="88" t="s">
        <v>596</v>
      </c>
    </row>
    <row r="3059" spans="1:8" ht="28.8" x14ac:dyDescent="0.3">
      <c r="A3059" s="88" t="s">
        <v>592</v>
      </c>
      <c r="B3059" s="88">
        <v>173</v>
      </c>
      <c r="C3059" s="88">
        <v>15</v>
      </c>
      <c r="D3059" s="88" t="s">
        <v>566</v>
      </c>
      <c r="E3059" s="88" t="s">
        <v>2599</v>
      </c>
      <c r="F3059" s="88" t="s">
        <v>2600</v>
      </c>
      <c r="G3059" s="88" t="s">
        <v>1921</v>
      </c>
      <c r="H3059" s="88" t="s">
        <v>596</v>
      </c>
    </row>
    <row r="3060" spans="1:8" ht="28.8" x14ac:dyDescent="0.3">
      <c r="A3060" s="88" t="s">
        <v>592</v>
      </c>
      <c r="B3060" s="88">
        <v>173</v>
      </c>
      <c r="C3060" s="88">
        <v>16</v>
      </c>
      <c r="D3060" s="88" t="s">
        <v>566</v>
      </c>
      <c r="E3060" s="88" t="s">
        <v>2601</v>
      </c>
      <c r="F3060" s="88" t="s">
        <v>2602</v>
      </c>
      <c r="G3060" s="88" t="s">
        <v>1924</v>
      </c>
      <c r="H3060" s="88" t="s">
        <v>596</v>
      </c>
    </row>
    <row r="3061" spans="1:8" ht="28.8" x14ac:dyDescent="0.3">
      <c r="A3061" s="88" t="s">
        <v>592</v>
      </c>
      <c r="B3061" s="88">
        <v>174</v>
      </c>
      <c r="C3061" s="88">
        <v>15</v>
      </c>
      <c r="D3061" s="88" t="s">
        <v>568</v>
      </c>
      <c r="E3061" s="88" t="s">
        <v>2603</v>
      </c>
      <c r="F3061" s="88" t="s">
        <v>2604</v>
      </c>
      <c r="G3061" s="88" t="s">
        <v>1921</v>
      </c>
      <c r="H3061" s="88" t="s">
        <v>596</v>
      </c>
    </row>
    <row r="3062" spans="1:8" ht="28.8" x14ac:dyDescent="0.3">
      <c r="A3062" s="88" t="s">
        <v>592</v>
      </c>
      <c r="B3062" s="88">
        <v>174</v>
      </c>
      <c r="C3062" s="88">
        <v>16</v>
      </c>
      <c r="D3062" s="88" t="s">
        <v>568</v>
      </c>
      <c r="E3062" s="88" t="s">
        <v>2605</v>
      </c>
      <c r="F3062" s="88" t="s">
        <v>2606</v>
      </c>
      <c r="G3062" s="88" t="s">
        <v>1924</v>
      </c>
      <c r="H3062" s="88" t="s">
        <v>596</v>
      </c>
    </row>
    <row r="3063" spans="1:8" ht="28.8" x14ac:dyDescent="0.3">
      <c r="A3063" s="88" t="s">
        <v>592</v>
      </c>
      <c r="B3063" s="88">
        <v>175</v>
      </c>
      <c r="C3063" s="88">
        <v>15</v>
      </c>
      <c r="D3063" s="88" t="s">
        <v>570</v>
      </c>
      <c r="E3063" s="88" t="s">
        <v>2607</v>
      </c>
      <c r="F3063" s="88" t="s">
        <v>2608</v>
      </c>
      <c r="G3063" s="88" t="s">
        <v>1921</v>
      </c>
      <c r="H3063" s="88" t="s">
        <v>596</v>
      </c>
    </row>
    <row r="3064" spans="1:8" ht="28.8" x14ac:dyDescent="0.3">
      <c r="A3064" s="88" t="s">
        <v>592</v>
      </c>
      <c r="B3064" s="88">
        <v>175</v>
      </c>
      <c r="C3064" s="88">
        <v>16</v>
      </c>
      <c r="D3064" s="88" t="s">
        <v>570</v>
      </c>
      <c r="E3064" s="88" t="s">
        <v>2609</v>
      </c>
      <c r="F3064" s="88" t="s">
        <v>2610</v>
      </c>
      <c r="G3064" s="88" t="s">
        <v>1924</v>
      </c>
      <c r="H3064" s="88" t="s">
        <v>596</v>
      </c>
    </row>
    <row r="3065" spans="1:8" ht="28.8" x14ac:dyDescent="0.3">
      <c r="A3065" s="88" t="s">
        <v>592</v>
      </c>
      <c r="B3065" s="88">
        <v>176</v>
      </c>
      <c r="C3065" s="88">
        <v>15</v>
      </c>
      <c r="D3065" s="88" t="s">
        <v>263</v>
      </c>
      <c r="E3065" s="88" t="s">
        <v>2611</v>
      </c>
      <c r="F3065" s="88" t="s">
        <v>2612</v>
      </c>
      <c r="G3065" s="88" t="s">
        <v>1921</v>
      </c>
      <c r="H3065" s="88" t="s">
        <v>596</v>
      </c>
    </row>
    <row r="3066" spans="1:8" ht="28.8" x14ac:dyDescent="0.3">
      <c r="A3066" s="88" t="s">
        <v>592</v>
      </c>
      <c r="B3066" s="88">
        <v>176</v>
      </c>
      <c r="C3066" s="88">
        <v>16</v>
      </c>
      <c r="D3066" s="88" t="s">
        <v>263</v>
      </c>
      <c r="E3066" s="88" t="s">
        <v>2613</v>
      </c>
      <c r="F3066" s="88" t="s">
        <v>2614</v>
      </c>
      <c r="G3066" s="88" t="s">
        <v>1924</v>
      </c>
      <c r="H3066" s="88" t="s">
        <v>596</v>
      </c>
    </row>
    <row r="3067" spans="1:8" ht="28.8" x14ac:dyDescent="0.3">
      <c r="A3067" s="88" t="s">
        <v>592</v>
      </c>
      <c r="B3067" s="88">
        <v>177</v>
      </c>
      <c r="C3067" s="88">
        <v>15</v>
      </c>
      <c r="D3067" s="88" t="s">
        <v>264</v>
      </c>
      <c r="E3067" s="88" t="s">
        <v>2615</v>
      </c>
      <c r="F3067" s="88" t="s">
        <v>2616</v>
      </c>
      <c r="G3067" s="88" t="s">
        <v>1921</v>
      </c>
      <c r="H3067" s="88" t="s">
        <v>596</v>
      </c>
    </row>
    <row r="3068" spans="1:8" ht="28.8" x14ac:dyDescent="0.3">
      <c r="A3068" s="88" t="s">
        <v>592</v>
      </c>
      <c r="B3068" s="88">
        <v>177</v>
      </c>
      <c r="C3068" s="88">
        <v>16</v>
      </c>
      <c r="D3068" s="88" t="s">
        <v>264</v>
      </c>
      <c r="E3068" s="88" t="s">
        <v>2617</v>
      </c>
      <c r="F3068" s="88" t="s">
        <v>2618</v>
      </c>
      <c r="G3068" s="88" t="s">
        <v>1924</v>
      </c>
      <c r="H3068" s="88" t="s">
        <v>596</v>
      </c>
    </row>
    <row r="3069" spans="1:8" ht="28.8" x14ac:dyDescent="0.3">
      <c r="A3069" s="88" t="s">
        <v>592</v>
      </c>
      <c r="B3069" s="88">
        <v>178</v>
      </c>
      <c r="C3069" s="88">
        <v>15</v>
      </c>
      <c r="D3069" s="88" t="s">
        <v>265</v>
      </c>
      <c r="E3069" s="88" t="s">
        <v>2619</v>
      </c>
      <c r="F3069" s="88" t="s">
        <v>2620</v>
      </c>
      <c r="G3069" s="88" t="s">
        <v>1921</v>
      </c>
      <c r="H3069" s="88" t="s">
        <v>596</v>
      </c>
    </row>
    <row r="3070" spans="1:8" ht="28.8" x14ac:dyDescent="0.3">
      <c r="A3070" s="88" t="s">
        <v>592</v>
      </c>
      <c r="B3070" s="88">
        <v>178</v>
      </c>
      <c r="C3070" s="88">
        <v>16</v>
      </c>
      <c r="D3070" s="88" t="s">
        <v>265</v>
      </c>
      <c r="E3070" s="88" t="s">
        <v>2621</v>
      </c>
      <c r="F3070" s="88" t="s">
        <v>2622</v>
      </c>
      <c r="G3070" s="88" t="s">
        <v>1924</v>
      </c>
      <c r="H3070" s="88" t="s">
        <v>596</v>
      </c>
    </row>
    <row r="3071" spans="1:8" ht="28.8" x14ac:dyDescent="0.3">
      <c r="A3071" s="88" t="s">
        <v>592</v>
      </c>
      <c r="B3071" s="88">
        <v>179</v>
      </c>
      <c r="C3071" s="88">
        <v>15</v>
      </c>
      <c r="D3071" s="88" t="s">
        <v>266</v>
      </c>
      <c r="E3071" s="88" t="s">
        <v>2623</v>
      </c>
      <c r="F3071" s="88" t="s">
        <v>2624</v>
      </c>
      <c r="G3071" s="88" t="s">
        <v>1921</v>
      </c>
      <c r="H3071" s="88" t="s">
        <v>596</v>
      </c>
    </row>
    <row r="3072" spans="1:8" ht="28.8" x14ac:dyDescent="0.3">
      <c r="A3072" s="88" t="s">
        <v>592</v>
      </c>
      <c r="B3072" s="88">
        <v>179</v>
      </c>
      <c r="C3072" s="88">
        <v>16</v>
      </c>
      <c r="D3072" s="88" t="s">
        <v>266</v>
      </c>
      <c r="E3072" s="88" t="s">
        <v>2625</v>
      </c>
      <c r="F3072" s="88" t="s">
        <v>2626</v>
      </c>
      <c r="G3072" s="88" t="s">
        <v>1924</v>
      </c>
      <c r="H3072" s="88" t="s">
        <v>596</v>
      </c>
    </row>
    <row r="3073" spans="1:8" ht="28.8" x14ac:dyDescent="0.3">
      <c r="A3073" s="88" t="s">
        <v>592</v>
      </c>
      <c r="B3073" s="88">
        <v>180</v>
      </c>
      <c r="C3073" s="88">
        <v>15</v>
      </c>
      <c r="D3073" s="88" t="s">
        <v>267</v>
      </c>
      <c r="E3073" s="88" t="s">
        <v>2627</v>
      </c>
      <c r="F3073" s="88" t="s">
        <v>2628</v>
      </c>
      <c r="G3073" s="88" t="s">
        <v>1921</v>
      </c>
      <c r="H3073" s="88" t="s">
        <v>596</v>
      </c>
    </row>
    <row r="3074" spans="1:8" ht="28.8" x14ac:dyDescent="0.3">
      <c r="A3074" s="88" t="s">
        <v>592</v>
      </c>
      <c r="B3074" s="88">
        <v>180</v>
      </c>
      <c r="C3074" s="88">
        <v>16</v>
      </c>
      <c r="D3074" s="88" t="s">
        <v>267</v>
      </c>
      <c r="E3074" s="88" t="s">
        <v>2629</v>
      </c>
      <c r="F3074" s="88" t="s">
        <v>2630</v>
      </c>
      <c r="G3074" s="88" t="s">
        <v>1924</v>
      </c>
      <c r="H3074" s="88" t="s">
        <v>596</v>
      </c>
    </row>
    <row r="3075" spans="1:8" ht="28.8" x14ac:dyDescent="0.3">
      <c r="A3075" s="88" t="s">
        <v>592</v>
      </c>
      <c r="B3075" s="88">
        <v>181</v>
      </c>
      <c r="C3075" s="88">
        <v>15</v>
      </c>
      <c r="D3075" s="88" t="s">
        <v>268</v>
      </c>
      <c r="E3075" s="88" t="s">
        <v>2631</v>
      </c>
      <c r="F3075" s="88" t="s">
        <v>2632</v>
      </c>
      <c r="G3075" s="88" t="s">
        <v>1921</v>
      </c>
      <c r="H3075" s="88" t="s">
        <v>596</v>
      </c>
    </row>
    <row r="3076" spans="1:8" ht="28.8" x14ac:dyDescent="0.3">
      <c r="A3076" s="88" t="s">
        <v>592</v>
      </c>
      <c r="B3076" s="88">
        <v>181</v>
      </c>
      <c r="C3076" s="88">
        <v>16</v>
      </c>
      <c r="D3076" s="88" t="s">
        <v>268</v>
      </c>
      <c r="E3076" s="88" t="s">
        <v>2633</v>
      </c>
      <c r="F3076" s="88" t="s">
        <v>2634</v>
      </c>
      <c r="G3076" s="88" t="s">
        <v>1924</v>
      </c>
      <c r="H3076" s="88" t="s">
        <v>596</v>
      </c>
    </row>
    <row r="3077" spans="1:8" ht="28.8" x14ac:dyDescent="0.3">
      <c r="A3077" s="88" t="s">
        <v>592</v>
      </c>
      <c r="B3077" s="88">
        <v>182</v>
      </c>
      <c r="C3077" s="88">
        <v>15</v>
      </c>
      <c r="D3077" s="88" t="s">
        <v>269</v>
      </c>
      <c r="E3077" s="88" t="s">
        <v>2635</v>
      </c>
      <c r="F3077" s="88" t="s">
        <v>2636</v>
      </c>
      <c r="G3077" s="88" t="s">
        <v>1921</v>
      </c>
      <c r="H3077" s="88" t="s">
        <v>596</v>
      </c>
    </row>
    <row r="3078" spans="1:8" ht="28.8" x14ac:dyDescent="0.3">
      <c r="A3078" s="88" t="s">
        <v>592</v>
      </c>
      <c r="B3078" s="88">
        <v>182</v>
      </c>
      <c r="C3078" s="88">
        <v>16</v>
      </c>
      <c r="D3078" s="88" t="s">
        <v>269</v>
      </c>
      <c r="E3078" s="88" t="s">
        <v>2637</v>
      </c>
      <c r="F3078" s="88" t="s">
        <v>2638</v>
      </c>
      <c r="G3078" s="88" t="s">
        <v>1924</v>
      </c>
      <c r="H3078" s="88" t="s">
        <v>596</v>
      </c>
    </row>
    <row r="3079" spans="1:8" ht="28.8" x14ac:dyDescent="0.3">
      <c r="A3079" s="88" t="s">
        <v>592</v>
      </c>
      <c r="B3079" s="88">
        <v>183</v>
      </c>
      <c r="C3079" s="88">
        <v>15</v>
      </c>
      <c r="D3079" s="88" t="s">
        <v>270</v>
      </c>
      <c r="E3079" s="88" t="s">
        <v>2639</v>
      </c>
      <c r="F3079" s="88" t="s">
        <v>2640</v>
      </c>
      <c r="G3079" s="88" t="s">
        <v>1921</v>
      </c>
      <c r="H3079" s="88" t="s">
        <v>596</v>
      </c>
    </row>
    <row r="3080" spans="1:8" ht="28.8" x14ac:dyDescent="0.3">
      <c r="A3080" s="88" t="s">
        <v>592</v>
      </c>
      <c r="B3080" s="88">
        <v>183</v>
      </c>
      <c r="C3080" s="88">
        <v>16</v>
      </c>
      <c r="D3080" s="88" t="s">
        <v>270</v>
      </c>
      <c r="E3080" s="88" t="s">
        <v>2641</v>
      </c>
      <c r="F3080" s="88" t="s">
        <v>2642</v>
      </c>
      <c r="G3080" s="88" t="s">
        <v>1924</v>
      </c>
      <c r="H3080" s="88" t="s">
        <v>596</v>
      </c>
    </row>
    <row r="3081" spans="1:8" ht="28.8" x14ac:dyDescent="0.3">
      <c r="A3081" s="88" t="s">
        <v>592</v>
      </c>
      <c r="B3081" s="88">
        <v>184</v>
      </c>
      <c r="C3081" s="88">
        <v>15</v>
      </c>
      <c r="D3081" s="88" t="s">
        <v>580</v>
      </c>
      <c r="E3081" s="88" t="s">
        <v>2643</v>
      </c>
      <c r="F3081" s="88" t="s">
        <v>2644</v>
      </c>
      <c r="G3081" s="88" t="s">
        <v>1921</v>
      </c>
      <c r="H3081" s="88" t="s">
        <v>596</v>
      </c>
    </row>
    <row r="3082" spans="1:8" ht="28.8" x14ac:dyDescent="0.3">
      <c r="A3082" s="88" t="s">
        <v>592</v>
      </c>
      <c r="B3082" s="88">
        <v>184</v>
      </c>
      <c r="C3082" s="88">
        <v>16</v>
      </c>
      <c r="D3082" s="88" t="s">
        <v>580</v>
      </c>
      <c r="E3082" s="88" t="s">
        <v>2645</v>
      </c>
      <c r="F3082" s="88" t="s">
        <v>2646</v>
      </c>
      <c r="G3082" s="88" t="s">
        <v>1924</v>
      </c>
      <c r="H3082" s="88" t="s">
        <v>596</v>
      </c>
    </row>
    <row r="3083" spans="1:8" ht="28.8" x14ac:dyDescent="0.3">
      <c r="A3083" s="88" t="s">
        <v>592</v>
      </c>
      <c r="B3083" s="88">
        <v>185</v>
      </c>
      <c r="C3083" s="88">
        <v>15</v>
      </c>
      <c r="D3083" s="88" t="s">
        <v>582</v>
      </c>
      <c r="E3083" s="88" t="s">
        <v>2647</v>
      </c>
      <c r="F3083" s="88" t="s">
        <v>2648</v>
      </c>
      <c r="G3083" s="88" t="s">
        <v>1921</v>
      </c>
      <c r="H3083" s="88" t="s">
        <v>596</v>
      </c>
    </row>
    <row r="3084" spans="1:8" ht="28.8" x14ac:dyDescent="0.3">
      <c r="A3084" s="88" t="s">
        <v>592</v>
      </c>
      <c r="B3084" s="88">
        <v>185</v>
      </c>
      <c r="C3084" s="88">
        <v>16</v>
      </c>
      <c r="D3084" s="88" t="s">
        <v>582</v>
      </c>
      <c r="E3084" s="88" t="s">
        <v>2649</v>
      </c>
      <c r="F3084" s="88" t="s">
        <v>2650</v>
      </c>
      <c r="G3084" s="88" t="s">
        <v>1924</v>
      </c>
      <c r="H3084" s="88" t="s">
        <v>596</v>
      </c>
    </row>
    <row r="3085" spans="1:8" ht="28.8" x14ac:dyDescent="0.3">
      <c r="A3085" s="88" t="s">
        <v>716</v>
      </c>
      <c r="B3085" s="88">
        <v>5</v>
      </c>
      <c r="C3085" s="88">
        <v>16</v>
      </c>
      <c r="D3085" s="88" t="s">
        <v>89</v>
      </c>
      <c r="E3085" s="88" t="s">
        <v>1919</v>
      </c>
      <c r="F3085" s="88" t="s">
        <v>1920</v>
      </c>
      <c r="G3085" s="88" t="s">
        <v>1921</v>
      </c>
      <c r="H3085" s="88" t="s">
        <v>596</v>
      </c>
    </row>
    <row r="3086" spans="1:8" ht="28.8" x14ac:dyDescent="0.3">
      <c r="A3086" s="88" t="s">
        <v>716</v>
      </c>
      <c r="B3086" s="88">
        <v>5</v>
      </c>
      <c r="C3086" s="88">
        <v>17</v>
      </c>
      <c r="D3086" s="88" t="s">
        <v>89</v>
      </c>
      <c r="E3086" s="88" t="s">
        <v>1922</v>
      </c>
      <c r="F3086" s="88" t="s">
        <v>1923</v>
      </c>
      <c r="G3086" s="88" t="s">
        <v>1924</v>
      </c>
      <c r="H3086" s="88" t="s">
        <v>596</v>
      </c>
    </row>
    <row r="3087" spans="1:8" ht="28.8" x14ac:dyDescent="0.3">
      <c r="A3087" s="88" t="s">
        <v>716</v>
      </c>
      <c r="B3087" s="88">
        <v>6</v>
      </c>
      <c r="C3087" s="88">
        <v>16</v>
      </c>
      <c r="D3087" s="88" t="s">
        <v>90</v>
      </c>
      <c r="E3087" s="88" t="s">
        <v>1925</v>
      </c>
      <c r="F3087" s="88" t="s">
        <v>1926</v>
      </c>
      <c r="G3087" s="88" t="s">
        <v>1921</v>
      </c>
      <c r="H3087" s="88" t="s">
        <v>596</v>
      </c>
    </row>
    <row r="3088" spans="1:8" ht="28.8" x14ac:dyDescent="0.3">
      <c r="A3088" s="88" t="s">
        <v>716</v>
      </c>
      <c r="B3088" s="88">
        <v>6</v>
      </c>
      <c r="C3088" s="88">
        <v>17</v>
      </c>
      <c r="D3088" s="88" t="s">
        <v>90</v>
      </c>
      <c r="E3088" s="88" t="s">
        <v>1927</v>
      </c>
      <c r="F3088" s="88" t="s">
        <v>1928</v>
      </c>
      <c r="G3088" s="88" t="s">
        <v>1924</v>
      </c>
      <c r="H3088" s="88" t="s">
        <v>596</v>
      </c>
    </row>
    <row r="3089" spans="1:8" ht="28.8" x14ac:dyDescent="0.3">
      <c r="A3089" s="88" t="s">
        <v>716</v>
      </c>
      <c r="B3089" s="88">
        <v>7</v>
      </c>
      <c r="C3089" s="88">
        <v>16</v>
      </c>
      <c r="D3089" s="88" t="s">
        <v>91</v>
      </c>
      <c r="E3089" s="88" t="s">
        <v>1929</v>
      </c>
      <c r="F3089" s="88" t="s">
        <v>1930</v>
      </c>
      <c r="G3089" s="88" t="s">
        <v>1921</v>
      </c>
      <c r="H3089" s="88" t="s">
        <v>596</v>
      </c>
    </row>
    <row r="3090" spans="1:8" ht="28.8" x14ac:dyDescent="0.3">
      <c r="A3090" s="88" t="s">
        <v>716</v>
      </c>
      <c r="B3090" s="88">
        <v>7</v>
      </c>
      <c r="C3090" s="88">
        <v>17</v>
      </c>
      <c r="D3090" s="88" t="s">
        <v>91</v>
      </c>
      <c r="E3090" s="88" t="s">
        <v>1931</v>
      </c>
      <c r="F3090" s="88" t="s">
        <v>1932</v>
      </c>
      <c r="G3090" s="88" t="s">
        <v>1924</v>
      </c>
      <c r="H3090" s="88" t="s">
        <v>596</v>
      </c>
    </row>
    <row r="3091" spans="1:8" ht="28.8" x14ac:dyDescent="0.3">
      <c r="A3091" s="88" t="s">
        <v>716</v>
      </c>
      <c r="B3091" s="88">
        <v>8</v>
      </c>
      <c r="C3091" s="88">
        <v>16</v>
      </c>
      <c r="D3091" s="88" t="s">
        <v>92</v>
      </c>
      <c r="E3091" s="88" t="s">
        <v>1933</v>
      </c>
      <c r="F3091" s="88" t="s">
        <v>1934</v>
      </c>
      <c r="G3091" s="88" t="s">
        <v>1921</v>
      </c>
      <c r="H3091" s="88" t="s">
        <v>596</v>
      </c>
    </row>
    <row r="3092" spans="1:8" ht="28.8" x14ac:dyDescent="0.3">
      <c r="A3092" s="88" t="s">
        <v>716</v>
      </c>
      <c r="B3092" s="88">
        <v>8</v>
      </c>
      <c r="C3092" s="88">
        <v>17</v>
      </c>
      <c r="D3092" s="88" t="s">
        <v>92</v>
      </c>
      <c r="E3092" s="88" t="s">
        <v>1935</v>
      </c>
      <c r="F3092" s="88" t="s">
        <v>1936</v>
      </c>
      <c r="G3092" s="88" t="s">
        <v>1924</v>
      </c>
      <c r="H3092" s="88" t="s">
        <v>596</v>
      </c>
    </row>
    <row r="3093" spans="1:8" ht="28.8" x14ac:dyDescent="0.3">
      <c r="A3093" s="88" t="s">
        <v>716</v>
      </c>
      <c r="B3093" s="88">
        <v>9</v>
      </c>
      <c r="C3093" s="88">
        <v>16</v>
      </c>
      <c r="D3093" s="88" t="s">
        <v>93</v>
      </c>
      <c r="E3093" s="88" t="s">
        <v>1937</v>
      </c>
      <c r="F3093" s="88" t="s">
        <v>1938</v>
      </c>
      <c r="G3093" s="88" t="s">
        <v>1921</v>
      </c>
      <c r="H3093" s="88" t="s">
        <v>596</v>
      </c>
    </row>
    <row r="3094" spans="1:8" ht="28.8" x14ac:dyDescent="0.3">
      <c r="A3094" s="88" t="s">
        <v>716</v>
      </c>
      <c r="B3094" s="88">
        <v>9</v>
      </c>
      <c r="C3094" s="88">
        <v>17</v>
      </c>
      <c r="D3094" s="88" t="s">
        <v>93</v>
      </c>
      <c r="E3094" s="88" t="s">
        <v>1939</v>
      </c>
      <c r="F3094" s="88" t="s">
        <v>1940</v>
      </c>
      <c r="G3094" s="88" t="s">
        <v>1924</v>
      </c>
      <c r="H3094" s="88" t="s">
        <v>596</v>
      </c>
    </row>
    <row r="3095" spans="1:8" ht="28.8" x14ac:dyDescent="0.3">
      <c r="A3095" s="88" t="s">
        <v>716</v>
      </c>
      <c r="B3095" s="88">
        <v>10</v>
      </c>
      <c r="C3095" s="88">
        <v>16</v>
      </c>
      <c r="D3095" s="88" t="s">
        <v>94</v>
      </c>
      <c r="E3095" s="88" t="s">
        <v>1941</v>
      </c>
      <c r="F3095" s="88" t="s">
        <v>1942</v>
      </c>
      <c r="G3095" s="88" t="s">
        <v>1921</v>
      </c>
      <c r="H3095" s="88" t="s">
        <v>596</v>
      </c>
    </row>
    <row r="3096" spans="1:8" ht="28.8" x14ac:dyDescent="0.3">
      <c r="A3096" s="88" t="s">
        <v>716</v>
      </c>
      <c r="B3096" s="88">
        <v>10</v>
      </c>
      <c r="C3096" s="88">
        <v>17</v>
      </c>
      <c r="D3096" s="88" t="s">
        <v>94</v>
      </c>
      <c r="E3096" s="88" t="s">
        <v>1943</v>
      </c>
      <c r="F3096" s="88" t="s">
        <v>1944</v>
      </c>
      <c r="G3096" s="88" t="s">
        <v>1924</v>
      </c>
      <c r="H3096" s="88" t="s">
        <v>596</v>
      </c>
    </row>
    <row r="3097" spans="1:8" ht="28.8" x14ac:dyDescent="0.3">
      <c r="A3097" s="88" t="s">
        <v>716</v>
      </c>
      <c r="B3097" s="88">
        <v>11</v>
      </c>
      <c r="C3097" s="88">
        <v>16</v>
      </c>
      <c r="D3097" s="88" t="s">
        <v>95</v>
      </c>
      <c r="E3097" s="88" t="s">
        <v>1945</v>
      </c>
      <c r="F3097" s="88" t="s">
        <v>1946</v>
      </c>
      <c r="G3097" s="88" t="s">
        <v>1921</v>
      </c>
      <c r="H3097" s="88" t="s">
        <v>596</v>
      </c>
    </row>
    <row r="3098" spans="1:8" ht="28.8" x14ac:dyDescent="0.3">
      <c r="A3098" s="88" t="s">
        <v>716</v>
      </c>
      <c r="B3098" s="88">
        <v>11</v>
      </c>
      <c r="C3098" s="88">
        <v>17</v>
      </c>
      <c r="D3098" s="88" t="s">
        <v>95</v>
      </c>
      <c r="E3098" s="88" t="s">
        <v>1947</v>
      </c>
      <c r="F3098" s="88" t="s">
        <v>1948</v>
      </c>
      <c r="G3098" s="88" t="s">
        <v>1924</v>
      </c>
      <c r="H3098" s="88" t="s">
        <v>596</v>
      </c>
    </row>
    <row r="3099" spans="1:8" ht="28.8" x14ac:dyDescent="0.3">
      <c r="A3099" s="88" t="s">
        <v>716</v>
      </c>
      <c r="B3099" s="88">
        <v>12</v>
      </c>
      <c r="C3099" s="88">
        <v>16</v>
      </c>
      <c r="D3099" s="88" t="s">
        <v>96</v>
      </c>
      <c r="E3099" s="88" t="s">
        <v>1949</v>
      </c>
      <c r="F3099" s="88" t="s">
        <v>1950</v>
      </c>
      <c r="G3099" s="88" t="s">
        <v>1921</v>
      </c>
      <c r="H3099" s="88" t="s">
        <v>596</v>
      </c>
    </row>
    <row r="3100" spans="1:8" ht="28.8" x14ac:dyDescent="0.3">
      <c r="A3100" s="88" t="s">
        <v>716</v>
      </c>
      <c r="B3100" s="88">
        <v>12</v>
      </c>
      <c r="C3100" s="88">
        <v>17</v>
      </c>
      <c r="D3100" s="88" t="s">
        <v>96</v>
      </c>
      <c r="E3100" s="88" t="s">
        <v>1951</v>
      </c>
      <c r="F3100" s="88" t="s">
        <v>1952</v>
      </c>
      <c r="G3100" s="88" t="s">
        <v>1924</v>
      </c>
      <c r="H3100" s="88" t="s">
        <v>596</v>
      </c>
    </row>
    <row r="3101" spans="1:8" ht="28.8" x14ac:dyDescent="0.3">
      <c r="A3101" s="88" t="s">
        <v>716</v>
      </c>
      <c r="B3101" s="88">
        <v>13</v>
      </c>
      <c r="C3101" s="88">
        <v>16</v>
      </c>
      <c r="D3101" s="88" t="s">
        <v>97</v>
      </c>
      <c r="E3101" s="88" t="s">
        <v>1953</v>
      </c>
      <c r="F3101" s="88" t="s">
        <v>1954</v>
      </c>
      <c r="G3101" s="88" t="s">
        <v>1921</v>
      </c>
      <c r="H3101" s="88" t="s">
        <v>596</v>
      </c>
    </row>
    <row r="3102" spans="1:8" ht="28.8" x14ac:dyDescent="0.3">
      <c r="A3102" s="88" t="s">
        <v>716</v>
      </c>
      <c r="B3102" s="88">
        <v>13</v>
      </c>
      <c r="C3102" s="88">
        <v>17</v>
      </c>
      <c r="D3102" s="88" t="s">
        <v>97</v>
      </c>
      <c r="E3102" s="88" t="s">
        <v>1955</v>
      </c>
      <c r="F3102" s="88" t="s">
        <v>1956</v>
      </c>
      <c r="G3102" s="88" t="s">
        <v>1924</v>
      </c>
      <c r="H3102" s="88" t="s">
        <v>596</v>
      </c>
    </row>
    <row r="3103" spans="1:8" ht="28.8" x14ac:dyDescent="0.3">
      <c r="A3103" s="88" t="s">
        <v>716</v>
      </c>
      <c r="B3103" s="88">
        <v>14</v>
      </c>
      <c r="C3103" s="88">
        <v>16</v>
      </c>
      <c r="D3103" s="88" t="s">
        <v>98</v>
      </c>
      <c r="E3103" s="88" t="s">
        <v>1957</v>
      </c>
      <c r="F3103" s="88" t="s">
        <v>1958</v>
      </c>
      <c r="G3103" s="88" t="s">
        <v>1921</v>
      </c>
      <c r="H3103" s="88" t="s">
        <v>596</v>
      </c>
    </row>
    <row r="3104" spans="1:8" ht="28.8" x14ac:dyDescent="0.3">
      <c r="A3104" s="88" t="s">
        <v>716</v>
      </c>
      <c r="B3104" s="88">
        <v>14</v>
      </c>
      <c r="C3104" s="88">
        <v>17</v>
      </c>
      <c r="D3104" s="88" t="s">
        <v>98</v>
      </c>
      <c r="E3104" s="88" t="s">
        <v>1959</v>
      </c>
      <c r="F3104" s="88" t="s">
        <v>1960</v>
      </c>
      <c r="G3104" s="88" t="s">
        <v>1924</v>
      </c>
      <c r="H3104" s="88" t="s">
        <v>596</v>
      </c>
    </row>
    <row r="3105" spans="1:8" ht="28.8" x14ac:dyDescent="0.3">
      <c r="A3105" s="88" t="s">
        <v>716</v>
      </c>
      <c r="B3105" s="88">
        <v>15</v>
      </c>
      <c r="C3105" s="88">
        <v>16</v>
      </c>
      <c r="D3105" s="88" t="s">
        <v>99</v>
      </c>
      <c r="E3105" s="88" t="s">
        <v>1961</v>
      </c>
      <c r="F3105" s="88" t="s">
        <v>1962</v>
      </c>
      <c r="G3105" s="88" t="s">
        <v>1921</v>
      </c>
      <c r="H3105" s="88" t="s">
        <v>596</v>
      </c>
    </row>
    <row r="3106" spans="1:8" ht="28.8" x14ac:dyDescent="0.3">
      <c r="A3106" s="88" t="s">
        <v>716</v>
      </c>
      <c r="B3106" s="88">
        <v>15</v>
      </c>
      <c r="C3106" s="88">
        <v>17</v>
      </c>
      <c r="D3106" s="88" t="s">
        <v>99</v>
      </c>
      <c r="E3106" s="88" t="s">
        <v>1963</v>
      </c>
      <c r="F3106" s="88" t="s">
        <v>1964</v>
      </c>
      <c r="G3106" s="88" t="s">
        <v>1924</v>
      </c>
      <c r="H3106" s="88" t="s">
        <v>596</v>
      </c>
    </row>
    <row r="3107" spans="1:8" ht="28.8" x14ac:dyDescent="0.3">
      <c r="A3107" s="88" t="s">
        <v>716</v>
      </c>
      <c r="B3107" s="88">
        <v>16</v>
      </c>
      <c r="C3107" s="88">
        <v>16</v>
      </c>
      <c r="D3107" s="88" t="s">
        <v>100</v>
      </c>
      <c r="E3107" s="88" t="s">
        <v>1965</v>
      </c>
      <c r="F3107" s="88" t="s">
        <v>1966</v>
      </c>
      <c r="G3107" s="88" t="s">
        <v>1921</v>
      </c>
      <c r="H3107" s="88" t="s">
        <v>596</v>
      </c>
    </row>
    <row r="3108" spans="1:8" ht="28.8" x14ac:dyDescent="0.3">
      <c r="A3108" s="88" t="s">
        <v>716</v>
      </c>
      <c r="B3108" s="88">
        <v>16</v>
      </c>
      <c r="C3108" s="88">
        <v>17</v>
      </c>
      <c r="D3108" s="88" t="s">
        <v>100</v>
      </c>
      <c r="E3108" s="88" t="s">
        <v>1967</v>
      </c>
      <c r="F3108" s="88" t="s">
        <v>1968</v>
      </c>
      <c r="G3108" s="88" t="s">
        <v>1924</v>
      </c>
      <c r="H3108" s="88" t="s">
        <v>596</v>
      </c>
    </row>
    <row r="3109" spans="1:8" ht="28.8" x14ac:dyDescent="0.3">
      <c r="A3109" s="88" t="s">
        <v>716</v>
      </c>
      <c r="B3109" s="88">
        <v>17</v>
      </c>
      <c r="C3109" s="88">
        <v>16</v>
      </c>
      <c r="D3109" s="88" t="s">
        <v>101</v>
      </c>
      <c r="E3109" s="88" t="s">
        <v>1969</v>
      </c>
      <c r="F3109" s="88" t="s">
        <v>1970</v>
      </c>
      <c r="G3109" s="88" t="s">
        <v>1921</v>
      </c>
      <c r="H3109" s="88" t="s">
        <v>596</v>
      </c>
    </row>
    <row r="3110" spans="1:8" ht="28.8" x14ac:dyDescent="0.3">
      <c r="A3110" s="88" t="s">
        <v>716</v>
      </c>
      <c r="B3110" s="88">
        <v>17</v>
      </c>
      <c r="C3110" s="88">
        <v>17</v>
      </c>
      <c r="D3110" s="88" t="s">
        <v>101</v>
      </c>
      <c r="E3110" s="88" t="s">
        <v>1971</v>
      </c>
      <c r="F3110" s="88" t="s">
        <v>1972</v>
      </c>
      <c r="G3110" s="88" t="s">
        <v>1924</v>
      </c>
      <c r="H3110" s="88" t="s">
        <v>596</v>
      </c>
    </row>
    <row r="3111" spans="1:8" ht="28.8" x14ac:dyDescent="0.3">
      <c r="A3111" s="88" t="s">
        <v>716</v>
      </c>
      <c r="B3111" s="88">
        <v>18</v>
      </c>
      <c r="C3111" s="88">
        <v>16</v>
      </c>
      <c r="D3111" s="88" t="s">
        <v>102</v>
      </c>
      <c r="E3111" s="88" t="s">
        <v>1973</v>
      </c>
      <c r="F3111" s="88" t="s">
        <v>1974</v>
      </c>
      <c r="G3111" s="88" t="s">
        <v>1921</v>
      </c>
      <c r="H3111" s="88" t="s">
        <v>596</v>
      </c>
    </row>
    <row r="3112" spans="1:8" ht="28.8" x14ac:dyDescent="0.3">
      <c r="A3112" s="88" t="s">
        <v>716</v>
      </c>
      <c r="B3112" s="88">
        <v>18</v>
      </c>
      <c r="C3112" s="88">
        <v>17</v>
      </c>
      <c r="D3112" s="88" t="s">
        <v>102</v>
      </c>
      <c r="E3112" s="88" t="s">
        <v>1975</v>
      </c>
      <c r="F3112" s="88" t="s">
        <v>1976</v>
      </c>
      <c r="G3112" s="88" t="s">
        <v>1924</v>
      </c>
      <c r="H3112" s="88" t="s">
        <v>596</v>
      </c>
    </row>
    <row r="3113" spans="1:8" ht="28.8" x14ac:dyDescent="0.3">
      <c r="A3113" s="88" t="s">
        <v>716</v>
      </c>
      <c r="B3113" s="88">
        <v>19</v>
      </c>
      <c r="C3113" s="88">
        <v>16</v>
      </c>
      <c r="D3113" s="88" t="s">
        <v>103</v>
      </c>
      <c r="E3113" s="88" t="s">
        <v>1977</v>
      </c>
      <c r="F3113" s="88" t="s">
        <v>1978</v>
      </c>
      <c r="G3113" s="88" t="s">
        <v>1921</v>
      </c>
      <c r="H3113" s="88" t="s">
        <v>596</v>
      </c>
    </row>
    <row r="3114" spans="1:8" ht="28.8" x14ac:dyDescent="0.3">
      <c r="A3114" s="88" t="s">
        <v>716</v>
      </c>
      <c r="B3114" s="88">
        <v>19</v>
      </c>
      <c r="C3114" s="88">
        <v>17</v>
      </c>
      <c r="D3114" s="88" t="s">
        <v>103</v>
      </c>
      <c r="E3114" s="88" t="s">
        <v>1979</v>
      </c>
      <c r="F3114" s="88" t="s">
        <v>1980</v>
      </c>
      <c r="G3114" s="88" t="s">
        <v>1924</v>
      </c>
      <c r="H3114" s="88" t="s">
        <v>596</v>
      </c>
    </row>
    <row r="3115" spans="1:8" ht="28.8" x14ac:dyDescent="0.3">
      <c r="A3115" s="88" t="s">
        <v>716</v>
      </c>
      <c r="B3115" s="88">
        <v>20</v>
      </c>
      <c r="C3115" s="88">
        <v>16</v>
      </c>
      <c r="D3115" s="88" t="s">
        <v>104</v>
      </c>
      <c r="E3115" s="88" t="s">
        <v>1981</v>
      </c>
      <c r="F3115" s="88" t="s">
        <v>1982</v>
      </c>
      <c r="G3115" s="88" t="s">
        <v>1921</v>
      </c>
      <c r="H3115" s="88" t="s">
        <v>596</v>
      </c>
    </row>
    <row r="3116" spans="1:8" ht="28.8" x14ac:dyDescent="0.3">
      <c r="A3116" s="88" t="s">
        <v>716</v>
      </c>
      <c r="B3116" s="88">
        <v>20</v>
      </c>
      <c r="C3116" s="88">
        <v>17</v>
      </c>
      <c r="D3116" s="88" t="s">
        <v>104</v>
      </c>
      <c r="E3116" s="88" t="s">
        <v>1983</v>
      </c>
      <c r="F3116" s="88" t="s">
        <v>1984</v>
      </c>
      <c r="G3116" s="88" t="s">
        <v>1924</v>
      </c>
      <c r="H3116" s="88" t="s">
        <v>596</v>
      </c>
    </row>
    <row r="3117" spans="1:8" ht="28.8" x14ac:dyDescent="0.3">
      <c r="A3117" s="88" t="s">
        <v>716</v>
      </c>
      <c r="B3117" s="88">
        <v>21</v>
      </c>
      <c r="C3117" s="88">
        <v>16</v>
      </c>
      <c r="D3117" s="88" t="s">
        <v>105</v>
      </c>
      <c r="E3117" s="88" t="s">
        <v>1985</v>
      </c>
      <c r="F3117" s="88" t="s">
        <v>1986</v>
      </c>
      <c r="G3117" s="88" t="s">
        <v>1921</v>
      </c>
      <c r="H3117" s="88" t="s">
        <v>596</v>
      </c>
    </row>
    <row r="3118" spans="1:8" ht="28.8" x14ac:dyDescent="0.3">
      <c r="A3118" s="88" t="s">
        <v>716</v>
      </c>
      <c r="B3118" s="88">
        <v>21</v>
      </c>
      <c r="C3118" s="88">
        <v>17</v>
      </c>
      <c r="D3118" s="88" t="s">
        <v>105</v>
      </c>
      <c r="E3118" s="88" t="s">
        <v>1987</v>
      </c>
      <c r="F3118" s="88" t="s">
        <v>1988</v>
      </c>
      <c r="G3118" s="88" t="s">
        <v>1924</v>
      </c>
      <c r="H3118" s="88" t="s">
        <v>596</v>
      </c>
    </row>
    <row r="3119" spans="1:8" ht="28.8" x14ac:dyDescent="0.3">
      <c r="A3119" s="88" t="s">
        <v>716</v>
      </c>
      <c r="B3119" s="88">
        <v>22</v>
      </c>
      <c r="C3119" s="88">
        <v>16</v>
      </c>
      <c r="D3119" s="88" t="s">
        <v>106</v>
      </c>
      <c r="E3119" s="88" t="s">
        <v>1989</v>
      </c>
      <c r="F3119" s="88" t="s">
        <v>1990</v>
      </c>
      <c r="G3119" s="88" t="s">
        <v>1921</v>
      </c>
      <c r="H3119" s="88" t="s">
        <v>596</v>
      </c>
    </row>
    <row r="3120" spans="1:8" ht="28.8" x14ac:dyDescent="0.3">
      <c r="A3120" s="88" t="s">
        <v>716</v>
      </c>
      <c r="B3120" s="88">
        <v>22</v>
      </c>
      <c r="C3120" s="88">
        <v>17</v>
      </c>
      <c r="D3120" s="88" t="s">
        <v>106</v>
      </c>
      <c r="E3120" s="88" t="s">
        <v>1991</v>
      </c>
      <c r="F3120" s="88" t="s">
        <v>1992</v>
      </c>
      <c r="G3120" s="88" t="s">
        <v>1924</v>
      </c>
      <c r="H3120" s="88" t="s">
        <v>596</v>
      </c>
    </row>
    <row r="3121" spans="1:8" ht="28.8" x14ac:dyDescent="0.3">
      <c r="A3121" s="88" t="s">
        <v>716</v>
      </c>
      <c r="B3121" s="88">
        <v>23</v>
      </c>
      <c r="C3121" s="88">
        <v>16</v>
      </c>
      <c r="D3121" s="88" t="s">
        <v>107</v>
      </c>
      <c r="E3121" s="88" t="s">
        <v>1993</v>
      </c>
      <c r="F3121" s="88" t="s">
        <v>1994</v>
      </c>
      <c r="G3121" s="88" t="s">
        <v>1921</v>
      </c>
      <c r="H3121" s="88" t="s">
        <v>596</v>
      </c>
    </row>
    <row r="3122" spans="1:8" ht="28.8" x14ac:dyDescent="0.3">
      <c r="A3122" s="88" t="s">
        <v>716</v>
      </c>
      <c r="B3122" s="88">
        <v>23</v>
      </c>
      <c r="C3122" s="88">
        <v>17</v>
      </c>
      <c r="D3122" s="88" t="s">
        <v>107</v>
      </c>
      <c r="E3122" s="88" t="s">
        <v>1995</v>
      </c>
      <c r="F3122" s="88" t="s">
        <v>1996</v>
      </c>
      <c r="G3122" s="88" t="s">
        <v>1924</v>
      </c>
      <c r="H3122" s="88" t="s">
        <v>596</v>
      </c>
    </row>
    <row r="3123" spans="1:8" ht="28.8" x14ac:dyDescent="0.3">
      <c r="A3123" s="88" t="s">
        <v>716</v>
      </c>
      <c r="B3123" s="88">
        <v>24</v>
      </c>
      <c r="C3123" s="88">
        <v>16</v>
      </c>
      <c r="D3123" s="88" t="s">
        <v>108</v>
      </c>
      <c r="E3123" s="88" t="s">
        <v>1997</v>
      </c>
      <c r="F3123" s="88" t="s">
        <v>1998</v>
      </c>
      <c r="G3123" s="88" t="s">
        <v>1921</v>
      </c>
      <c r="H3123" s="88" t="s">
        <v>596</v>
      </c>
    </row>
    <row r="3124" spans="1:8" ht="28.8" x14ac:dyDescent="0.3">
      <c r="A3124" s="88" t="s">
        <v>716</v>
      </c>
      <c r="B3124" s="88">
        <v>24</v>
      </c>
      <c r="C3124" s="88">
        <v>17</v>
      </c>
      <c r="D3124" s="88" t="s">
        <v>108</v>
      </c>
      <c r="E3124" s="88" t="s">
        <v>1999</v>
      </c>
      <c r="F3124" s="88" t="s">
        <v>2000</v>
      </c>
      <c r="G3124" s="88" t="s">
        <v>1924</v>
      </c>
      <c r="H3124" s="88" t="s">
        <v>596</v>
      </c>
    </row>
    <row r="3125" spans="1:8" ht="28.8" x14ac:dyDescent="0.3">
      <c r="A3125" s="88" t="s">
        <v>716</v>
      </c>
      <c r="B3125" s="88">
        <v>25</v>
      </c>
      <c r="C3125" s="88">
        <v>16</v>
      </c>
      <c r="D3125" s="88" t="s">
        <v>109</v>
      </c>
      <c r="E3125" s="88" t="s">
        <v>2001</v>
      </c>
      <c r="F3125" s="88" t="s">
        <v>2002</v>
      </c>
      <c r="G3125" s="88" t="s">
        <v>1921</v>
      </c>
      <c r="H3125" s="88" t="s">
        <v>596</v>
      </c>
    </row>
    <row r="3126" spans="1:8" ht="28.8" x14ac:dyDescent="0.3">
      <c r="A3126" s="88" t="s">
        <v>716</v>
      </c>
      <c r="B3126" s="88">
        <v>25</v>
      </c>
      <c r="C3126" s="88">
        <v>17</v>
      </c>
      <c r="D3126" s="88" t="s">
        <v>109</v>
      </c>
      <c r="E3126" s="88" t="s">
        <v>2003</v>
      </c>
      <c r="F3126" s="88" t="s">
        <v>2004</v>
      </c>
      <c r="G3126" s="88" t="s">
        <v>1924</v>
      </c>
      <c r="H3126" s="88" t="s">
        <v>596</v>
      </c>
    </row>
    <row r="3127" spans="1:8" ht="28.8" x14ac:dyDescent="0.3">
      <c r="A3127" s="88" t="s">
        <v>716</v>
      </c>
      <c r="B3127" s="88">
        <v>26</v>
      </c>
      <c r="C3127" s="88">
        <v>16</v>
      </c>
      <c r="D3127" s="88" t="s">
        <v>110</v>
      </c>
      <c r="E3127" s="88" t="s">
        <v>2005</v>
      </c>
      <c r="F3127" s="88" t="s">
        <v>2006</v>
      </c>
      <c r="G3127" s="88" t="s">
        <v>1921</v>
      </c>
      <c r="H3127" s="88" t="s">
        <v>596</v>
      </c>
    </row>
    <row r="3128" spans="1:8" ht="28.8" x14ac:dyDescent="0.3">
      <c r="A3128" s="88" t="s">
        <v>716</v>
      </c>
      <c r="B3128" s="88">
        <v>26</v>
      </c>
      <c r="C3128" s="88">
        <v>17</v>
      </c>
      <c r="D3128" s="88" t="s">
        <v>110</v>
      </c>
      <c r="E3128" s="88" t="s">
        <v>2007</v>
      </c>
      <c r="F3128" s="88" t="s">
        <v>2008</v>
      </c>
      <c r="G3128" s="88" t="s">
        <v>1924</v>
      </c>
      <c r="H3128" s="88" t="s">
        <v>596</v>
      </c>
    </row>
    <row r="3129" spans="1:8" ht="28.8" x14ac:dyDescent="0.3">
      <c r="A3129" s="88" t="s">
        <v>716</v>
      </c>
      <c r="B3129" s="88">
        <v>27</v>
      </c>
      <c r="C3129" s="88">
        <v>16</v>
      </c>
      <c r="D3129" s="88" t="s">
        <v>111</v>
      </c>
      <c r="E3129" s="88" t="s">
        <v>2009</v>
      </c>
      <c r="F3129" s="88" t="s">
        <v>2010</v>
      </c>
      <c r="G3129" s="88" t="s">
        <v>1921</v>
      </c>
      <c r="H3129" s="88" t="s">
        <v>596</v>
      </c>
    </row>
    <row r="3130" spans="1:8" ht="28.8" x14ac:dyDescent="0.3">
      <c r="A3130" s="88" t="s">
        <v>716</v>
      </c>
      <c r="B3130" s="88">
        <v>27</v>
      </c>
      <c r="C3130" s="88">
        <v>17</v>
      </c>
      <c r="D3130" s="88" t="s">
        <v>111</v>
      </c>
      <c r="E3130" s="88" t="s">
        <v>2011</v>
      </c>
      <c r="F3130" s="88" t="s">
        <v>2012</v>
      </c>
      <c r="G3130" s="88" t="s">
        <v>1924</v>
      </c>
      <c r="H3130" s="88" t="s">
        <v>596</v>
      </c>
    </row>
    <row r="3131" spans="1:8" ht="28.8" x14ac:dyDescent="0.3">
      <c r="A3131" s="88" t="s">
        <v>716</v>
      </c>
      <c r="B3131" s="88">
        <v>28</v>
      </c>
      <c r="C3131" s="88">
        <v>16</v>
      </c>
      <c r="D3131" s="88" t="s">
        <v>112</v>
      </c>
      <c r="E3131" s="88" t="s">
        <v>2013</v>
      </c>
      <c r="F3131" s="88" t="s">
        <v>2014</v>
      </c>
      <c r="G3131" s="88" t="s">
        <v>1921</v>
      </c>
      <c r="H3131" s="88" t="s">
        <v>596</v>
      </c>
    </row>
    <row r="3132" spans="1:8" ht="28.8" x14ac:dyDescent="0.3">
      <c r="A3132" s="88" t="s">
        <v>716</v>
      </c>
      <c r="B3132" s="88">
        <v>28</v>
      </c>
      <c r="C3132" s="88">
        <v>17</v>
      </c>
      <c r="D3132" s="88" t="s">
        <v>112</v>
      </c>
      <c r="E3132" s="88" t="s">
        <v>2015</v>
      </c>
      <c r="F3132" s="88" t="s">
        <v>2016</v>
      </c>
      <c r="G3132" s="88" t="s">
        <v>1924</v>
      </c>
      <c r="H3132" s="88" t="s">
        <v>596</v>
      </c>
    </row>
    <row r="3133" spans="1:8" ht="28.8" x14ac:dyDescent="0.3">
      <c r="A3133" s="88" t="s">
        <v>716</v>
      </c>
      <c r="B3133" s="88">
        <v>29</v>
      </c>
      <c r="C3133" s="88">
        <v>16</v>
      </c>
      <c r="D3133" s="88" t="s">
        <v>113</v>
      </c>
      <c r="E3133" s="88" t="s">
        <v>2017</v>
      </c>
      <c r="F3133" s="88" t="s">
        <v>2018</v>
      </c>
      <c r="G3133" s="88" t="s">
        <v>1921</v>
      </c>
      <c r="H3133" s="88" t="s">
        <v>596</v>
      </c>
    </row>
    <row r="3134" spans="1:8" ht="28.8" x14ac:dyDescent="0.3">
      <c r="A3134" s="88" t="s">
        <v>716</v>
      </c>
      <c r="B3134" s="88">
        <v>29</v>
      </c>
      <c r="C3134" s="88">
        <v>17</v>
      </c>
      <c r="D3134" s="88" t="s">
        <v>113</v>
      </c>
      <c r="E3134" s="88" t="s">
        <v>2019</v>
      </c>
      <c r="F3134" s="88" t="s">
        <v>2020</v>
      </c>
      <c r="G3134" s="88" t="s">
        <v>1924</v>
      </c>
      <c r="H3134" s="88" t="s">
        <v>596</v>
      </c>
    </row>
    <row r="3135" spans="1:8" ht="28.8" x14ac:dyDescent="0.3">
      <c r="A3135" s="88" t="s">
        <v>716</v>
      </c>
      <c r="B3135" s="88">
        <v>30</v>
      </c>
      <c r="C3135" s="88">
        <v>16</v>
      </c>
      <c r="D3135" s="88" t="s">
        <v>114</v>
      </c>
      <c r="E3135" s="88" t="s">
        <v>2021</v>
      </c>
      <c r="F3135" s="88" t="s">
        <v>2022</v>
      </c>
      <c r="G3135" s="88" t="s">
        <v>1921</v>
      </c>
      <c r="H3135" s="88" t="s">
        <v>596</v>
      </c>
    </row>
    <row r="3136" spans="1:8" ht="28.8" x14ac:dyDescent="0.3">
      <c r="A3136" s="88" t="s">
        <v>716</v>
      </c>
      <c r="B3136" s="88">
        <v>30</v>
      </c>
      <c r="C3136" s="88">
        <v>17</v>
      </c>
      <c r="D3136" s="88" t="s">
        <v>114</v>
      </c>
      <c r="E3136" s="88" t="s">
        <v>2023</v>
      </c>
      <c r="F3136" s="88" t="s">
        <v>2024</v>
      </c>
      <c r="G3136" s="88" t="s">
        <v>1924</v>
      </c>
      <c r="H3136" s="88" t="s">
        <v>596</v>
      </c>
    </row>
    <row r="3137" spans="1:8" ht="28.8" x14ac:dyDescent="0.3">
      <c r="A3137" s="88" t="s">
        <v>716</v>
      </c>
      <c r="B3137" s="88">
        <v>31</v>
      </c>
      <c r="C3137" s="88">
        <v>16</v>
      </c>
      <c r="D3137" s="88" t="s">
        <v>115</v>
      </c>
      <c r="E3137" s="88" t="s">
        <v>2025</v>
      </c>
      <c r="F3137" s="88" t="s">
        <v>2026</v>
      </c>
      <c r="G3137" s="88" t="s">
        <v>1921</v>
      </c>
      <c r="H3137" s="88" t="s">
        <v>596</v>
      </c>
    </row>
    <row r="3138" spans="1:8" ht="28.8" x14ac:dyDescent="0.3">
      <c r="A3138" s="88" t="s">
        <v>716</v>
      </c>
      <c r="B3138" s="88">
        <v>31</v>
      </c>
      <c r="C3138" s="88">
        <v>17</v>
      </c>
      <c r="D3138" s="88" t="s">
        <v>115</v>
      </c>
      <c r="E3138" s="88" t="s">
        <v>2027</v>
      </c>
      <c r="F3138" s="88" t="s">
        <v>2028</v>
      </c>
      <c r="G3138" s="88" t="s">
        <v>1924</v>
      </c>
      <c r="H3138" s="88" t="s">
        <v>596</v>
      </c>
    </row>
    <row r="3139" spans="1:8" ht="28.8" x14ac:dyDescent="0.3">
      <c r="A3139" s="88" t="s">
        <v>716</v>
      </c>
      <c r="B3139" s="88">
        <v>32</v>
      </c>
      <c r="C3139" s="88">
        <v>16</v>
      </c>
      <c r="D3139" s="88" t="s">
        <v>116</v>
      </c>
      <c r="E3139" s="88" t="s">
        <v>2029</v>
      </c>
      <c r="F3139" s="88" t="s">
        <v>2030</v>
      </c>
      <c r="G3139" s="88" t="s">
        <v>1921</v>
      </c>
      <c r="H3139" s="88" t="s">
        <v>596</v>
      </c>
    </row>
    <row r="3140" spans="1:8" ht="28.8" x14ac:dyDescent="0.3">
      <c r="A3140" s="88" t="s">
        <v>716</v>
      </c>
      <c r="B3140" s="88">
        <v>32</v>
      </c>
      <c r="C3140" s="88">
        <v>17</v>
      </c>
      <c r="D3140" s="88" t="s">
        <v>116</v>
      </c>
      <c r="E3140" s="88" t="s">
        <v>2031</v>
      </c>
      <c r="F3140" s="88" t="s">
        <v>2032</v>
      </c>
      <c r="G3140" s="88" t="s">
        <v>1924</v>
      </c>
      <c r="H3140" s="88" t="s">
        <v>596</v>
      </c>
    </row>
    <row r="3141" spans="1:8" ht="28.8" x14ac:dyDescent="0.3">
      <c r="A3141" s="88" t="s">
        <v>716</v>
      </c>
      <c r="B3141" s="88">
        <v>33</v>
      </c>
      <c r="C3141" s="88">
        <v>16</v>
      </c>
      <c r="D3141" s="88" t="s">
        <v>117</v>
      </c>
      <c r="E3141" s="88" t="s">
        <v>2033</v>
      </c>
      <c r="F3141" s="88" t="s">
        <v>2034</v>
      </c>
      <c r="G3141" s="88" t="s">
        <v>1921</v>
      </c>
      <c r="H3141" s="88" t="s">
        <v>596</v>
      </c>
    </row>
    <row r="3142" spans="1:8" ht="28.8" x14ac:dyDescent="0.3">
      <c r="A3142" s="88" t="s">
        <v>716</v>
      </c>
      <c r="B3142" s="88">
        <v>33</v>
      </c>
      <c r="C3142" s="88">
        <v>17</v>
      </c>
      <c r="D3142" s="88" t="s">
        <v>117</v>
      </c>
      <c r="E3142" s="88" t="s">
        <v>2035</v>
      </c>
      <c r="F3142" s="88" t="s">
        <v>2036</v>
      </c>
      <c r="G3142" s="88" t="s">
        <v>1924</v>
      </c>
      <c r="H3142" s="88" t="s">
        <v>596</v>
      </c>
    </row>
    <row r="3143" spans="1:8" ht="28.8" x14ac:dyDescent="0.3">
      <c r="A3143" s="88" t="s">
        <v>716</v>
      </c>
      <c r="B3143" s="88">
        <v>34</v>
      </c>
      <c r="C3143" s="88">
        <v>16</v>
      </c>
      <c r="D3143" s="88" t="s">
        <v>118</v>
      </c>
      <c r="E3143" s="88" t="s">
        <v>2037</v>
      </c>
      <c r="F3143" s="88" t="s">
        <v>2038</v>
      </c>
      <c r="G3143" s="88" t="s">
        <v>1921</v>
      </c>
      <c r="H3143" s="88" t="s">
        <v>596</v>
      </c>
    </row>
    <row r="3144" spans="1:8" ht="28.8" x14ac:dyDescent="0.3">
      <c r="A3144" s="88" t="s">
        <v>716</v>
      </c>
      <c r="B3144" s="88">
        <v>34</v>
      </c>
      <c r="C3144" s="88">
        <v>17</v>
      </c>
      <c r="D3144" s="88" t="s">
        <v>118</v>
      </c>
      <c r="E3144" s="88" t="s">
        <v>2039</v>
      </c>
      <c r="F3144" s="88" t="s">
        <v>2040</v>
      </c>
      <c r="G3144" s="88" t="s">
        <v>1924</v>
      </c>
      <c r="H3144" s="88" t="s">
        <v>596</v>
      </c>
    </row>
    <row r="3145" spans="1:8" ht="28.8" x14ac:dyDescent="0.3">
      <c r="A3145" s="88" t="s">
        <v>716</v>
      </c>
      <c r="B3145" s="88">
        <v>35</v>
      </c>
      <c r="C3145" s="88">
        <v>16</v>
      </c>
      <c r="D3145" s="88" t="s">
        <v>119</v>
      </c>
      <c r="E3145" s="88" t="s">
        <v>2041</v>
      </c>
      <c r="F3145" s="88" t="s">
        <v>2042</v>
      </c>
      <c r="G3145" s="88" t="s">
        <v>1921</v>
      </c>
      <c r="H3145" s="88" t="s">
        <v>596</v>
      </c>
    </row>
    <row r="3146" spans="1:8" ht="28.8" x14ac:dyDescent="0.3">
      <c r="A3146" s="88" t="s">
        <v>716</v>
      </c>
      <c r="B3146" s="88">
        <v>35</v>
      </c>
      <c r="C3146" s="88">
        <v>17</v>
      </c>
      <c r="D3146" s="88" t="s">
        <v>119</v>
      </c>
      <c r="E3146" s="88" t="s">
        <v>2043</v>
      </c>
      <c r="F3146" s="88" t="s">
        <v>2044</v>
      </c>
      <c r="G3146" s="88" t="s">
        <v>1924</v>
      </c>
      <c r="H3146" s="88" t="s">
        <v>596</v>
      </c>
    </row>
    <row r="3147" spans="1:8" ht="28.8" x14ac:dyDescent="0.3">
      <c r="A3147" s="88" t="s">
        <v>716</v>
      </c>
      <c r="B3147" s="88">
        <v>36</v>
      </c>
      <c r="C3147" s="88">
        <v>16</v>
      </c>
      <c r="D3147" s="88" t="s">
        <v>120</v>
      </c>
      <c r="E3147" s="88" t="s">
        <v>2045</v>
      </c>
      <c r="F3147" s="88" t="s">
        <v>2046</v>
      </c>
      <c r="G3147" s="88" t="s">
        <v>1921</v>
      </c>
      <c r="H3147" s="88" t="s">
        <v>596</v>
      </c>
    </row>
    <row r="3148" spans="1:8" ht="28.8" x14ac:dyDescent="0.3">
      <c r="A3148" s="88" t="s">
        <v>716</v>
      </c>
      <c r="B3148" s="88">
        <v>36</v>
      </c>
      <c r="C3148" s="88">
        <v>17</v>
      </c>
      <c r="D3148" s="88" t="s">
        <v>120</v>
      </c>
      <c r="E3148" s="88" t="s">
        <v>2047</v>
      </c>
      <c r="F3148" s="88" t="s">
        <v>2048</v>
      </c>
      <c r="G3148" s="88" t="s">
        <v>1924</v>
      </c>
      <c r="H3148" s="88" t="s">
        <v>596</v>
      </c>
    </row>
    <row r="3149" spans="1:8" ht="28.8" x14ac:dyDescent="0.3">
      <c r="A3149" s="88" t="s">
        <v>716</v>
      </c>
      <c r="B3149" s="88">
        <v>37</v>
      </c>
      <c r="C3149" s="88">
        <v>16</v>
      </c>
      <c r="D3149" s="88" t="s">
        <v>121</v>
      </c>
      <c r="E3149" s="88" t="s">
        <v>2049</v>
      </c>
      <c r="F3149" s="88" t="s">
        <v>2050</v>
      </c>
      <c r="G3149" s="88" t="s">
        <v>1921</v>
      </c>
      <c r="H3149" s="88" t="s">
        <v>596</v>
      </c>
    </row>
    <row r="3150" spans="1:8" ht="28.8" x14ac:dyDescent="0.3">
      <c r="A3150" s="88" t="s">
        <v>716</v>
      </c>
      <c r="B3150" s="88">
        <v>37</v>
      </c>
      <c r="C3150" s="88">
        <v>17</v>
      </c>
      <c r="D3150" s="88" t="s">
        <v>121</v>
      </c>
      <c r="E3150" s="88" t="s">
        <v>2051</v>
      </c>
      <c r="F3150" s="88" t="s">
        <v>2052</v>
      </c>
      <c r="G3150" s="88" t="s">
        <v>1924</v>
      </c>
      <c r="H3150" s="88" t="s">
        <v>596</v>
      </c>
    </row>
    <row r="3151" spans="1:8" ht="28.8" x14ac:dyDescent="0.3">
      <c r="A3151" s="88" t="s">
        <v>716</v>
      </c>
      <c r="B3151" s="88">
        <v>38</v>
      </c>
      <c r="C3151" s="88">
        <v>16</v>
      </c>
      <c r="D3151" s="88" t="s">
        <v>122</v>
      </c>
      <c r="E3151" s="88" t="s">
        <v>2053</v>
      </c>
      <c r="F3151" s="88" t="s">
        <v>2054</v>
      </c>
      <c r="G3151" s="88" t="s">
        <v>1921</v>
      </c>
      <c r="H3151" s="88" t="s">
        <v>596</v>
      </c>
    </row>
    <row r="3152" spans="1:8" ht="28.8" x14ac:dyDescent="0.3">
      <c r="A3152" s="88" t="s">
        <v>716</v>
      </c>
      <c r="B3152" s="88">
        <v>38</v>
      </c>
      <c r="C3152" s="88">
        <v>17</v>
      </c>
      <c r="D3152" s="88" t="s">
        <v>122</v>
      </c>
      <c r="E3152" s="88" t="s">
        <v>2055</v>
      </c>
      <c r="F3152" s="88" t="s">
        <v>2056</v>
      </c>
      <c r="G3152" s="88" t="s">
        <v>1924</v>
      </c>
      <c r="H3152" s="88" t="s">
        <v>596</v>
      </c>
    </row>
    <row r="3153" spans="1:8" ht="28.8" x14ac:dyDescent="0.3">
      <c r="A3153" s="88" t="s">
        <v>716</v>
      </c>
      <c r="B3153" s="88">
        <v>39</v>
      </c>
      <c r="C3153" s="88">
        <v>16</v>
      </c>
      <c r="D3153" s="88" t="s">
        <v>123</v>
      </c>
      <c r="E3153" s="88" t="s">
        <v>2057</v>
      </c>
      <c r="F3153" s="88" t="s">
        <v>2058</v>
      </c>
      <c r="G3153" s="88" t="s">
        <v>1921</v>
      </c>
      <c r="H3153" s="88" t="s">
        <v>596</v>
      </c>
    </row>
    <row r="3154" spans="1:8" ht="28.8" x14ac:dyDescent="0.3">
      <c r="A3154" s="88" t="s">
        <v>716</v>
      </c>
      <c r="B3154" s="88">
        <v>39</v>
      </c>
      <c r="C3154" s="88">
        <v>17</v>
      </c>
      <c r="D3154" s="88" t="s">
        <v>123</v>
      </c>
      <c r="E3154" s="88" t="s">
        <v>2059</v>
      </c>
      <c r="F3154" s="88" t="s">
        <v>2060</v>
      </c>
      <c r="G3154" s="88" t="s">
        <v>1924</v>
      </c>
      <c r="H3154" s="88" t="s">
        <v>596</v>
      </c>
    </row>
    <row r="3155" spans="1:8" ht="28.8" x14ac:dyDescent="0.3">
      <c r="A3155" s="88" t="s">
        <v>716</v>
      </c>
      <c r="B3155" s="88">
        <v>40</v>
      </c>
      <c r="C3155" s="88">
        <v>16</v>
      </c>
      <c r="D3155" s="88" t="s">
        <v>124</v>
      </c>
      <c r="E3155" s="88" t="s">
        <v>2061</v>
      </c>
      <c r="F3155" s="88" t="s">
        <v>2062</v>
      </c>
      <c r="G3155" s="88" t="s">
        <v>1921</v>
      </c>
      <c r="H3155" s="88" t="s">
        <v>596</v>
      </c>
    </row>
    <row r="3156" spans="1:8" ht="28.8" x14ac:dyDescent="0.3">
      <c r="A3156" s="88" t="s">
        <v>716</v>
      </c>
      <c r="B3156" s="88">
        <v>40</v>
      </c>
      <c r="C3156" s="88">
        <v>17</v>
      </c>
      <c r="D3156" s="88" t="s">
        <v>124</v>
      </c>
      <c r="E3156" s="88" t="s">
        <v>2063</v>
      </c>
      <c r="F3156" s="88" t="s">
        <v>2064</v>
      </c>
      <c r="G3156" s="88" t="s">
        <v>1924</v>
      </c>
      <c r="H3156" s="88" t="s">
        <v>596</v>
      </c>
    </row>
    <row r="3157" spans="1:8" ht="28.8" x14ac:dyDescent="0.3">
      <c r="A3157" s="88" t="s">
        <v>716</v>
      </c>
      <c r="B3157" s="88">
        <v>41</v>
      </c>
      <c r="C3157" s="88">
        <v>16</v>
      </c>
      <c r="D3157" s="88" t="s">
        <v>125</v>
      </c>
      <c r="E3157" s="88" t="s">
        <v>2065</v>
      </c>
      <c r="F3157" s="88" t="s">
        <v>2066</v>
      </c>
      <c r="G3157" s="88" t="s">
        <v>1921</v>
      </c>
      <c r="H3157" s="88" t="s">
        <v>596</v>
      </c>
    </row>
    <row r="3158" spans="1:8" ht="28.8" x14ac:dyDescent="0.3">
      <c r="A3158" s="88" t="s">
        <v>716</v>
      </c>
      <c r="B3158" s="88">
        <v>41</v>
      </c>
      <c r="C3158" s="88">
        <v>17</v>
      </c>
      <c r="D3158" s="88" t="s">
        <v>125</v>
      </c>
      <c r="E3158" s="88" t="s">
        <v>2067</v>
      </c>
      <c r="F3158" s="88" t="s">
        <v>2068</v>
      </c>
      <c r="G3158" s="88" t="s">
        <v>1924</v>
      </c>
      <c r="H3158" s="88" t="s">
        <v>596</v>
      </c>
    </row>
    <row r="3159" spans="1:8" ht="28.8" x14ac:dyDescent="0.3">
      <c r="A3159" s="88" t="s">
        <v>716</v>
      </c>
      <c r="B3159" s="88">
        <v>42</v>
      </c>
      <c r="C3159" s="88">
        <v>16</v>
      </c>
      <c r="D3159" s="88" t="s">
        <v>126</v>
      </c>
      <c r="E3159" s="88" t="s">
        <v>2069</v>
      </c>
      <c r="F3159" s="88" t="s">
        <v>2070</v>
      </c>
      <c r="G3159" s="88" t="s">
        <v>1921</v>
      </c>
      <c r="H3159" s="88" t="s">
        <v>596</v>
      </c>
    </row>
    <row r="3160" spans="1:8" ht="28.8" x14ac:dyDescent="0.3">
      <c r="A3160" s="88" t="s">
        <v>716</v>
      </c>
      <c r="B3160" s="88">
        <v>42</v>
      </c>
      <c r="C3160" s="88">
        <v>17</v>
      </c>
      <c r="D3160" s="88" t="s">
        <v>126</v>
      </c>
      <c r="E3160" s="88" t="s">
        <v>2071</v>
      </c>
      <c r="F3160" s="88" t="s">
        <v>2072</v>
      </c>
      <c r="G3160" s="88" t="s">
        <v>1924</v>
      </c>
      <c r="H3160" s="88" t="s">
        <v>596</v>
      </c>
    </row>
    <row r="3161" spans="1:8" ht="28.8" x14ac:dyDescent="0.3">
      <c r="A3161" s="88" t="s">
        <v>716</v>
      </c>
      <c r="B3161" s="88">
        <v>43</v>
      </c>
      <c r="C3161" s="88">
        <v>16</v>
      </c>
      <c r="D3161" s="88" t="s">
        <v>127</v>
      </c>
      <c r="E3161" s="88" t="s">
        <v>2073</v>
      </c>
      <c r="F3161" s="88" t="s">
        <v>2074</v>
      </c>
      <c r="G3161" s="88" t="s">
        <v>1921</v>
      </c>
      <c r="H3161" s="88" t="s">
        <v>596</v>
      </c>
    </row>
    <row r="3162" spans="1:8" ht="28.8" x14ac:dyDescent="0.3">
      <c r="A3162" s="88" t="s">
        <v>716</v>
      </c>
      <c r="B3162" s="88">
        <v>43</v>
      </c>
      <c r="C3162" s="88">
        <v>17</v>
      </c>
      <c r="D3162" s="88" t="s">
        <v>127</v>
      </c>
      <c r="E3162" s="88" t="s">
        <v>2075</v>
      </c>
      <c r="F3162" s="88" t="s">
        <v>2076</v>
      </c>
      <c r="G3162" s="88" t="s">
        <v>1924</v>
      </c>
      <c r="H3162" s="88" t="s">
        <v>596</v>
      </c>
    </row>
    <row r="3163" spans="1:8" ht="28.8" x14ac:dyDescent="0.3">
      <c r="A3163" s="88" t="s">
        <v>716</v>
      </c>
      <c r="B3163" s="88">
        <v>44</v>
      </c>
      <c r="C3163" s="88">
        <v>16</v>
      </c>
      <c r="D3163" s="88" t="s">
        <v>128</v>
      </c>
      <c r="E3163" s="88" t="s">
        <v>2077</v>
      </c>
      <c r="F3163" s="88" t="s">
        <v>2078</v>
      </c>
      <c r="G3163" s="88" t="s">
        <v>1921</v>
      </c>
      <c r="H3163" s="88" t="s">
        <v>596</v>
      </c>
    </row>
    <row r="3164" spans="1:8" ht="28.8" x14ac:dyDescent="0.3">
      <c r="A3164" s="88" t="s">
        <v>716</v>
      </c>
      <c r="B3164" s="88">
        <v>44</v>
      </c>
      <c r="C3164" s="88">
        <v>17</v>
      </c>
      <c r="D3164" s="88" t="s">
        <v>128</v>
      </c>
      <c r="E3164" s="88" t="s">
        <v>2079</v>
      </c>
      <c r="F3164" s="88" t="s">
        <v>2080</v>
      </c>
      <c r="G3164" s="88" t="s">
        <v>1924</v>
      </c>
      <c r="H3164" s="88" t="s">
        <v>596</v>
      </c>
    </row>
    <row r="3165" spans="1:8" ht="28.8" x14ac:dyDescent="0.3">
      <c r="A3165" s="88" t="s">
        <v>716</v>
      </c>
      <c r="B3165" s="88">
        <v>45</v>
      </c>
      <c r="C3165" s="88">
        <v>16</v>
      </c>
      <c r="D3165" s="88" t="s">
        <v>129</v>
      </c>
      <c r="E3165" s="88" t="s">
        <v>2081</v>
      </c>
      <c r="F3165" s="88" t="s">
        <v>2082</v>
      </c>
      <c r="G3165" s="88" t="s">
        <v>1921</v>
      </c>
      <c r="H3165" s="88" t="s">
        <v>596</v>
      </c>
    </row>
    <row r="3166" spans="1:8" ht="28.8" x14ac:dyDescent="0.3">
      <c r="A3166" s="88" t="s">
        <v>716</v>
      </c>
      <c r="B3166" s="88">
        <v>45</v>
      </c>
      <c r="C3166" s="88">
        <v>17</v>
      </c>
      <c r="D3166" s="88" t="s">
        <v>129</v>
      </c>
      <c r="E3166" s="88" t="s">
        <v>2083</v>
      </c>
      <c r="F3166" s="88" t="s">
        <v>2084</v>
      </c>
      <c r="G3166" s="88" t="s">
        <v>1924</v>
      </c>
      <c r="H3166" s="88" t="s">
        <v>596</v>
      </c>
    </row>
    <row r="3167" spans="1:8" ht="28.8" x14ac:dyDescent="0.3">
      <c r="A3167" s="88" t="s">
        <v>716</v>
      </c>
      <c r="B3167" s="88">
        <v>46</v>
      </c>
      <c r="C3167" s="88">
        <v>16</v>
      </c>
      <c r="D3167" s="88" t="s">
        <v>130</v>
      </c>
      <c r="E3167" s="88" t="s">
        <v>2085</v>
      </c>
      <c r="F3167" s="88" t="s">
        <v>2086</v>
      </c>
      <c r="G3167" s="88" t="s">
        <v>1921</v>
      </c>
      <c r="H3167" s="88" t="s">
        <v>596</v>
      </c>
    </row>
    <row r="3168" spans="1:8" ht="28.8" x14ac:dyDescent="0.3">
      <c r="A3168" s="88" t="s">
        <v>716</v>
      </c>
      <c r="B3168" s="88">
        <v>46</v>
      </c>
      <c r="C3168" s="88">
        <v>17</v>
      </c>
      <c r="D3168" s="88" t="s">
        <v>130</v>
      </c>
      <c r="E3168" s="88" t="s">
        <v>2087</v>
      </c>
      <c r="F3168" s="88" t="s">
        <v>2088</v>
      </c>
      <c r="G3168" s="88" t="s">
        <v>1924</v>
      </c>
      <c r="H3168" s="88" t="s">
        <v>596</v>
      </c>
    </row>
    <row r="3169" spans="1:8" ht="28.8" x14ac:dyDescent="0.3">
      <c r="A3169" s="88" t="s">
        <v>716</v>
      </c>
      <c r="B3169" s="88">
        <v>47</v>
      </c>
      <c r="C3169" s="88">
        <v>16</v>
      </c>
      <c r="D3169" s="88" t="s">
        <v>131</v>
      </c>
      <c r="E3169" s="88" t="s">
        <v>2089</v>
      </c>
      <c r="F3169" s="88" t="s">
        <v>2090</v>
      </c>
      <c r="G3169" s="88" t="s">
        <v>1921</v>
      </c>
      <c r="H3169" s="88" t="s">
        <v>596</v>
      </c>
    </row>
    <row r="3170" spans="1:8" ht="28.8" x14ac:dyDescent="0.3">
      <c r="A3170" s="88" t="s">
        <v>716</v>
      </c>
      <c r="B3170" s="88">
        <v>47</v>
      </c>
      <c r="C3170" s="88">
        <v>17</v>
      </c>
      <c r="D3170" s="88" t="s">
        <v>131</v>
      </c>
      <c r="E3170" s="88" t="s">
        <v>2091</v>
      </c>
      <c r="F3170" s="88" t="s">
        <v>2092</v>
      </c>
      <c r="G3170" s="88" t="s">
        <v>1924</v>
      </c>
      <c r="H3170" s="88" t="s">
        <v>596</v>
      </c>
    </row>
    <row r="3171" spans="1:8" ht="28.8" x14ac:dyDescent="0.3">
      <c r="A3171" s="88" t="s">
        <v>716</v>
      </c>
      <c r="B3171" s="88">
        <v>48</v>
      </c>
      <c r="C3171" s="88">
        <v>16</v>
      </c>
      <c r="D3171" s="88" t="s">
        <v>132</v>
      </c>
      <c r="E3171" s="88" t="s">
        <v>2093</v>
      </c>
      <c r="F3171" s="88" t="s">
        <v>2094</v>
      </c>
      <c r="G3171" s="88" t="s">
        <v>1921</v>
      </c>
      <c r="H3171" s="88" t="s">
        <v>596</v>
      </c>
    </row>
    <row r="3172" spans="1:8" ht="28.8" x14ac:dyDescent="0.3">
      <c r="A3172" s="88" t="s">
        <v>716</v>
      </c>
      <c r="B3172" s="88">
        <v>48</v>
      </c>
      <c r="C3172" s="88">
        <v>17</v>
      </c>
      <c r="D3172" s="88" t="s">
        <v>132</v>
      </c>
      <c r="E3172" s="88" t="s">
        <v>2095</v>
      </c>
      <c r="F3172" s="88" t="s">
        <v>2096</v>
      </c>
      <c r="G3172" s="88" t="s">
        <v>1924</v>
      </c>
      <c r="H3172" s="88" t="s">
        <v>596</v>
      </c>
    </row>
    <row r="3173" spans="1:8" ht="28.8" x14ac:dyDescent="0.3">
      <c r="A3173" s="88" t="s">
        <v>716</v>
      </c>
      <c r="B3173" s="88">
        <v>49</v>
      </c>
      <c r="C3173" s="88">
        <v>16</v>
      </c>
      <c r="D3173" s="88" t="s">
        <v>133</v>
      </c>
      <c r="E3173" s="88" t="s">
        <v>2097</v>
      </c>
      <c r="F3173" s="88" t="s">
        <v>2098</v>
      </c>
      <c r="G3173" s="88" t="s">
        <v>1921</v>
      </c>
      <c r="H3173" s="88" t="s">
        <v>596</v>
      </c>
    </row>
    <row r="3174" spans="1:8" ht="28.8" x14ac:dyDescent="0.3">
      <c r="A3174" s="88" t="s">
        <v>716</v>
      </c>
      <c r="B3174" s="88">
        <v>49</v>
      </c>
      <c r="C3174" s="88">
        <v>17</v>
      </c>
      <c r="D3174" s="88" t="s">
        <v>133</v>
      </c>
      <c r="E3174" s="88" t="s">
        <v>2099</v>
      </c>
      <c r="F3174" s="88" t="s">
        <v>2100</v>
      </c>
      <c r="G3174" s="88" t="s">
        <v>1924</v>
      </c>
      <c r="H3174" s="88" t="s">
        <v>596</v>
      </c>
    </row>
    <row r="3175" spans="1:8" ht="28.8" x14ac:dyDescent="0.3">
      <c r="A3175" s="88" t="s">
        <v>716</v>
      </c>
      <c r="B3175" s="88">
        <v>50</v>
      </c>
      <c r="C3175" s="88">
        <v>16</v>
      </c>
      <c r="D3175" s="88" t="s">
        <v>134</v>
      </c>
      <c r="E3175" s="88" t="s">
        <v>2101</v>
      </c>
      <c r="F3175" s="88" t="s">
        <v>2102</v>
      </c>
      <c r="G3175" s="88" t="s">
        <v>1921</v>
      </c>
      <c r="H3175" s="88" t="s">
        <v>596</v>
      </c>
    </row>
    <row r="3176" spans="1:8" ht="28.8" x14ac:dyDescent="0.3">
      <c r="A3176" s="88" t="s">
        <v>716</v>
      </c>
      <c r="B3176" s="88">
        <v>50</v>
      </c>
      <c r="C3176" s="88">
        <v>17</v>
      </c>
      <c r="D3176" s="88" t="s">
        <v>134</v>
      </c>
      <c r="E3176" s="88" t="s">
        <v>2103</v>
      </c>
      <c r="F3176" s="88" t="s">
        <v>2104</v>
      </c>
      <c r="G3176" s="88" t="s">
        <v>1924</v>
      </c>
      <c r="H3176" s="88" t="s">
        <v>596</v>
      </c>
    </row>
    <row r="3177" spans="1:8" ht="28.8" x14ac:dyDescent="0.3">
      <c r="A3177" s="88" t="s">
        <v>716</v>
      </c>
      <c r="B3177" s="88">
        <v>51</v>
      </c>
      <c r="C3177" s="88">
        <v>16</v>
      </c>
      <c r="D3177" s="88" t="s">
        <v>135</v>
      </c>
      <c r="E3177" s="88" t="s">
        <v>2105</v>
      </c>
      <c r="F3177" s="88" t="s">
        <v>2106</v>
      </c>
      <c r="G3177" s="88" t="s">
        <v>1921</v>
      </c>
      <c r="H3177" s="88" t="s">
        <v>596</v>
      </c>
    </row>
    <row r="3178" spans="1:8" ht="28.8" x14ac:dyDescent="0.3">
      <c r="A3178" s="88" t="s">
        <v>716</v>
      </c>
      <c r="B3178" s="88">
        <v>51</v>
      </c>
      <c r="C3178" s="88">
        <v>17</v>
      </c>
      <c r="D3178" s="88" t="s">
        <v>135</v>
      </c>
      <c r="E3178" s="88" t="s">
        <v>2107</v>
      </c>
      <c r="F3178" s="88" t="s">
        <v>2108</v>
      </c>
      <c r="G3178" s="88" t="s">
        <v>1924</v>
      </c>
      <c r="H3178" s="88" t="s">
        <v>596</v>
      </c>
    </row>
    <row r="3179" spans="1:8" ht="28.8" x14ac:dyDescent="0.3">
      <c r="A3179" s="88" t="s">
        <v>716</v>
      </c>
      <c r="B3179" s="88">
        <v>52</v>
      </c>
      <c r="C3179" s="88">
        <v>16</v>
      </c>
      <c r="D3179" s="88" t="s">
        <v>136</v>
      </c>
      <c r="E3179" s="88" t="s">
        <v>2109</v>
      </c>
      <c r="F3179" s="88" t="s">
        <v>2110</v>
      </c>
      <c r="G3179" s="88" t="s">
        <v>1921</v>
      </c>
      <c r="H3179" s="88" t="s">
        <v>596</v>
      </c>
    </row>
    <row r="3180" spans="1:8" ht="28.8" x14ac:dyDescent="0.3">
      <c r="A3180" s="88" t="s">
        <v>716</v>
      </c>
      <c r="B3180" s="88">
        <v>52</v>
      </c>
      <c r="C3180" s="88">
        <v>17</v>
      </c>
      <c r="D3180" s="88" t="s">
        <v>136</v>
      </c>
      <c r="E3180" s="88" t="s">
        <v>2111</v>
      </c>
      <c r="F3180" s="88" t="s">
        <v>2112</v>
      </c>
      <c r="G3180" s="88" t="s">
        <v>1924</v>
      </c>
      <c r="H3180" s="88" t="s">
        <v>596</v>
      </c>
    </row>
    <row r="3181" spans="1:8" ht="28.8" x14ac:dyDescent="0.3">
      <c r="A3181" s="88" t="s">
        <v>716</v>
      </c>
      <c r="B3181" s="88">
        <v>53</v>
      </c>
      <c r="C3181" s="88">
        <v>16</v>
      </c>
      <c r="D3181" s="88" t="s">
        <v>137</v>
      </c>
      <c r="E3181" s="88" t="s">
        <v>2113</v>
      </c>
      <c r="F3181" s="88" t="s">
        <v>2114</v>
      </c>
      <c r="G3181" s="88" t="s">
        <v>1921</v>
      </c>
      <c r="H3181" s="88" t="s">
        <v>596</v>
      </c>
    </row>
    <row r="3182" spans="1:8" ht="28.8" x14ac:dyDescent="0.3">
      <c r="A3182" s="88" t="s">
        <v>716</v>
      </c>
      <c r="B3182" s="88">
        <v>53</v>
      </c>
      <c r="C3182" s="88">
        <v>17</v>
      </c>
      <c r="D3182" s="88" t="s">
        <v>137</v>
      </c>
      <c r="E3182" s="88" t="s">
        <v>2115</v>
      </c>
      <c r="F3182" s="88" t="s">
        <v>2116</v>
      </c>
      <c r="G3182" s="88" t="s">
        <v>1924</v>
      </c>
      <c r="H3182" s="88" t="s">
        <v>596</v>
      </c>
    </row>
    <row r="3183" spans="1:8" ht="28.8" x14ac:dyDescent="0.3">
      <c r="A3183" s="88" t="s">
        <v>716</v>
      </c>
      <c r="B3183" s="88">
        <v>54</v>
      </c>
      <c r="C3183" s="88">
        <v>16</v>
      </c>
      <c r="D3183" s="88" t="s">
        <v>138</v>
      </c>
      <c r="E3183" s="88" t="s">
        <v>2117</v>
      </c>
      <c r="F3183" s="88" t="s">
        <v>2118</v>
      </c>
      <c r="G3183" s="88" t="s">
        <v>1921</v>
      </c>
      <c r="H3183" s="88" t="s">
        <v>596</v>
      </c>
    </row>
    <row r="3184" spans="1:8" ht="28.8" x14ac:dyDescent="0.3">
      <c r="A3184" s="88" t="s">
        <v>716</v>
      </c>
      <c r="B3184" s="88">
        <v>54</v>
      </c>
      <c r="C3184" s="88">
        <v>17</v>
      </c>
      <c r="D3184" s="88" t="s">
        <v>138</v>
      </c>
      <c r="E3184" s="88" t="s">
        <v>2119</v>
      </c>
      <c r="F3184" s="88" t="s">
        <v>2120</v>
      </c>
      <c r="G3184" s="88" t="s">
        <v>1924</v>
      </c>
      <c r="H3184" s="88" t="s">
        <v>596</v>
      </c>
    </row>
    <row r="3185" spans="1:8" ht="28.8" x14ac:dyDescent="0.3">
      <c r="A3185" s="88" t="s">
        <v>716</v>
      </c>
      <c r="B3185" s="88">
        <v>55</v>
      </c>
      <c r="C3185" s="88">
        <v>16</v>
      </c>
      <c r="D3185" s="88" t="s">
        <v>139</v>
      </c>
      <c r="E3185" s="88" t="s">
        <v>2121</v>
      </c>
      <c r="F3185" s="88" t="s">
        <v>2122</v>
      </c>
      <c r="G3185" s="88" t="s">
        <v>1921</v>
      </c>
      <c r="H3185" s="88" t="s">
        <v>596</v>
      </c>
    </row>
    <row r="3186" spans="1:8" ht="28.8" x14ac:dyDescent="0.3">
      <c r="A3186" s="88" t="s">
        <v>716</v>
      </c>
      <c r="B3186" s="88">
        <v>55</v>
      </c>
      <c r="C3186" s="88">
        <v>17</v>
      </c>
      <c r="D3186" s="88" t="s">
        <v>139</v>
      </c>
      <c r="E3186" s="88" t="s">
        <v>2123</v>
      </c>
      <c r="F3186" s="88" t="s">
        <v>2124</v>
      </c>
      <c r="G3186" s="88" t="s">
        <v>1924</v>
      </c>
      <c r="H3186" s="88" t="s">
        <v>596</v>
      </c>
    </row>
    <row r="3187" spans="1:8" ht="28.8" x14ac:dyDescent="0.3">
      <c r="A3187" s="88" t="s">
        <v>716</v>
      </c>
      <c r="B3187" s="88">
        <v>56</v>
      </c>
      <c r="C3187" s="88">
        <v>16</v>
      </c>
      <c r="D3187" s="88" t="s">
        <v>140</v>
      </c>
      <c r="E3187" s="88" t="s">
        <v>2125</v>
      </c>
      <c r="F3187" s="88" t="s">
        <v>2126</v>
      </c>
      <c r="G3187" s="88" t="s">
        <v>1921</v>
      </c>
      <c r="H3187" s="88" t="s">
        <v>596</v>
      </c>
    </row>
    <row r="3188" spans="1:8" ht="28.8" x14ac:dyDescent="0.3">
      <c r="A3188" s="88" t="s">
        <v>716</v>
      </c>
      <c r="B3188" s="88">
        <v>56</v>
      </c>
      <c r="C3188" s="88">
        <v>17</v>
      </c>
      <c r="D3188" s="88" t="s">
        <v>140</v>
      </c>
      <c r="E3188" s="88" t="s">
        <v>2127</v>
      </c>
      <c r="F3188" s="88" t="s">
        <v>2128</v>
      </c>
      <c r="G3188" s="88" t="s">
        <v>1924</v>
      </c>
      <c r="H3188" s="88" t="s">
        <v>596</v>
      </c>
    </row>
    <row r="3189" spans="1:8" ht="28.8" x14ac:dyDescent="0.3">
      <c r="A3189" s="88" t="s">
        <v>716</v>
      </c>
      <c r="B3189" s="88">
        <v>57</v>
      </c>
      <c r="C3189" s="88">
        <v>16</v>
      </c>
      <c r="D3189" s="88" t="s">
        <v>141</v>
      </c>
      <c r="E3189" s="88" t="s">
        <v>2129</v>
      </c>
      <c r="F3189" s="88" t="s">
        <v>2130</v>
      </c>
      <c r="G3189" s="88" t="s">
        <v>1921</v>
      </c>
      <c r="H3189" s="88" t="s">
        <v>596</v>
      </c>
    </row>
    <row r="3190" spans="1:8" ht="28.8" x14ac:dyDescent="0.3">
      <c r="A3190" s="88" t="s">
        <v>716</v>
      </c>
      <c r="B3190" s="88">
        <v>57</v>
      </c>
      <c r="C3190" s="88">
        <v>17</v>
      </c>
      <c r="D3190" s="88" t="s">
        <v>141</v>
      </c>
      <c r="E3190" s="88" t="s">
        <v>2131</v>
      </c>
      <c r="F3190" s="88" t="s">
        <v>2132</v>
      </c>
      <c r="G3190" s="88" t="s">
        <v>1924</v>
      </c>
      <c r="H3190" s="88" t="s">
        <v>596</v>
      </c>
    </row>
    <row r="3191" spans="1:8" ht="28.8" x14ac:dyDescent="0.3">
      <c r="A3191" s="88" t="s">
        <v>716</v>
      </c>
      <c r="B3191" s="88">
        <v>58</v>
      </c>
      <c r="C3191" s="88">
        <v>16</v>
      </c>
      <c r="D3191" s="88" t="s">
        <v>142</v>
      </c>
      <c r="E3191" s="88" t="s">
        <v>2133</v>
      </c>
      <c r="F3191" s="88" t="s">
        <v>2134</v>
      </c>
      <c r="G3191" s="88" t="s">
        <v>1921</v>
      </c>
      <c r="H3191" s="88" t="s">
        <v>596</v>
      </c>
    </row>
    <row r="3192" spans="1:8" ht="28.8" x14ac:dyDescent="0.3">
      <c r="A3192" s="88" t="s">
        <v>716</v>
      </c>
      <c r="B3192" s="88">
        <v>58</v>
      </c>
      <c r="C3192" s="88">
        <v>17</v>
      </c>
      <c r="D3192" s="88" t="s">
        <v>142</v>
      </c>
      <c r="E3192" s="88" t="s">
        <v>2135</v>
      </c>
      <c r="F3192" s="88" t="s">
        <v>2136</v>
      </c>
      <c r="G3192" s="88" t="s">
        <v>1924</v>
      </c>
      <c r="H3192" s="88" t="s">
        <v>596</v>
      </c>
    </row>
    <row r="3193" spans="1:8" ht="28.8" x14ac:dyDescent="0.3">
      <c r="A3193" s="88" t="s">
        <v>716</v>
      </c>
      <c r="B3193" s="88">
        <v>59</v>
      </c>
      <c r="C3193" s="88">
        <v>16</v>
      </c>
      <c r="D3193" s="88" t="s">
        <v>143</v>
      </c>
      <c r="E3193" s="88" t="s">
        <v>2137</v>
      </c>
      <c r="F3193" s="88" t="s">
        <v>2138</v>
      </c>
      <c r="G3193" s="88" t="s">
        <v>1921</v>
      </c>
      <c r="H3193" s="88" t="s">
        <v>596</v>
      </c>
    </row>
    <row r="3194" spans="1:8" ht="28.8" x14ac:dyDescent="0.3">
      <c r="A3194" s="88" t="s">
        <v>716</v>
      </c>
      <c r="B3194" s="88">
        <v>59</v>
      </c>
      <c r="C3194" s="88">
        <v>17</v>
      </c>
      <c r="D3194" s="88" t="s">
        <v>143</v>
      </c>
      <c r="E3194" s="88" t="s">
        <v>2139</v>
      </c>
      <c r="F3194" s="88" t="s">
        <v>2140</v>
      </c>
      <c r="G3194" s="88" t="s">
        <v>1924</v>
      </c>
      <c r="H3194" s="88" t="s">
        <v>596</v>
      </c>
    </row>
    <row r="3195" spans="1:8" ht="28.8" x14ac:dyDescent="0.3">
      <c r="A3195" s="88" t="s">
        <v>716</v>
      </c>
      <c r="B3195" s="88">
        <v>60</v>
      </c>
      <c r="C3195" s="88">
        <v>16</v>
      </c>
      <c r="D3195" s="88" t="s">
        <v>144</v>
      </c>
      <c r="E3195" s="88" t="s">
        <v>2141</v>
      </c>
      <c r="F3195" s="88" t="s">
        <v>2142</v>
      </c>
      <c r="G3195" s="88" t="s">
        <v>1921</v>
      </c>
      <c r="H3195" s="88" t="s">
        <v>596</v>
      </c>
    </row>
    <row r="3196" spans="1:8" ht="28.8" x14ac:dyDescent="0.3">
      <c r="A3196" s="88" t="s">
        <v>716</v>
      </c>
      <c r="B3196" s="88">
        <v>60</v>
      </c>
      <c r="C3196" s="88">
        <v>17</v>
      </c>
      <c r="D3196" s="88" t="s">
        <v>144</v>
      </c>
      <c r="E3196" s="88" t="s">
        <v>2143</v>
      </c>
      <c r="F3196" s="88" t="s">
        <v>2144</v>
      </c>
      <c r="G3196" s="88" t="s">
        <v>1924</v>
      </c>
      <c r="H3196" s="88" t="s">
        <v>596</v>
      </c>
    </row>
    <row r="3197" spans="1:8" ht="28.8" x14ac:dyDescent="0.3">
      <c r="A3197" s="88" t="s">
        <v>716</v>
      </c>
      <c r="B3197" s="88">
        <v>61</v>
      </c>
      <c r="C3197" s="88">
        <v>16</v>
      </c>
      <c r="D3197" s="88" t="s">
        <v>145</v>
      </c>
      <c r="E3197" s="88" t="s">
        <v>2145</v>
      </c>
      <c r="F3197" s="88" t="s">
        <v>2146</v>
      </c>
      <c r="G3197" s="88" t="s">
        <v>1921</v>
      </c>
      <c r="H3197" s="88" t="s">
        <v>596</v>
      </c>
    </row>
    <row r="3198" spans="1:8" ht="28.8" x14ac:dyDescent="0.3">
      <c r="A3198" s="88" t="s">
        <v>716</v>
      </c>
      <c r="B3198" s="88">
        <v>61</v>
      </c>
      <c r="C3198" s="88">
        <v>17</v>
      </c>
      <c r="D3198" s="88" t="s">
        <v>145</v>
      </c>
      <c r="E3198" s="88" t="s">
        <v>2147</v>
      </c>
      <c r="F3198" s="88" t="s">
        <v>2148</v>
      </c>
      <c r="G3198" s="88" t="s">
        <v>1924</v>
      </c>
      <c r="H3198" s="88" t="s">
        <v>596</v>
      </c>
    </row>
    <row r="3199" spans="1:8" ht="28.8" x14ac:dyDescent="0.3">
      <c r="A3199" s="88" t="s">
        <v>716</v>
      </c>
      <c r="B3199" s="88">
        <v>62</v>
      </c>
      <c r="C3199" s="88">
        <v>16</v>
      </c>
      <c r="D3199" s="88" t="s">
        <v>146</v>
      </c>
      <c r="E3199" s="88" t="s">
        <v>2149</v>
      </c>
      <c r="F3199" s="88" t="s">
        <v>2150</v>
      </c>
      <c r="G3199" s="88" t="s">
        <v>1921</v>
      </c>
      <c r="H3199" s="88" t="s">
        <v>596</v>
      </c>
    </row>
    <row r="3200" spans="1:8" ht="28.8" x14ac:dyDescent="0.3">
      <c r="A3200" s="88" t="s">
        <v>716</v>
      </c>
      <c r="B3200" s="88">
        <v>62</v>
      </c>
      <c r="C3200" s="88">
        <v>17</v>
      </c>
      <c r="D3200" s="88" t="s">
        <v>146</v>
      </c>
      <c r="E3200" s="88" t="s">
        <v>2151</v>
      </c>
      <c r="F3200" s="88" t="s">
        <v>2152</v>
      </c>
      <c r="G3200" s="88" t="s">
        <v>1924</v>
      </c>
      <c r="H3200" s="88" t="s">
        <v>596</v>
      </c>
    </row>
    <row r="3201" spans="1:8" ht="28.8" x14ac:dyDescent="0.3">
      <c r="A3201" s="88" t="s">
        <v>716</v>
      </c>
      <c r="B3201" s="88">
        <v>63</v>
      </c>
      <c r="C3201" s="88">
        <v>16</v>
      </c>
      <c r="D3201" s="88" t="s">
        <v>147</v>
      </c>
      <c r="E3201" s="88" t="s">
        <v>2153</v>
      </c>
      <c r="F3201" s="88" t="s">
        <v>2154</v>
      </c>
      <c r="G3201" s="88" t="s">
        <v>1921</v>
      </c>
      <c r="H3201" s="88" t="s">
        <v>596</v>
      </c>
    </row>
    <row r="3202" spans="1:8" ht="28.8" x14ac:dyDescent="0.3">
      <c r="A3202" s="88" t="s">
        <v>716</v>
      </c>
      <c r="B3202" s="88">
        <v>63</v>
      </c>
      <c r="C3202" s="88">
        <v>17</v>
      </c>
      <c r="D3202" s="88" t="s">
        <v>147</v>
      </c>
      <c r="E3202" s="88" t="s">
        <v>2155</v>
      </c>
      <c r="F3202" s="88" t="s">
        <v>2156</v>
      </c>
      <c r="G3202" s="88" t="s">
        <v>1924</v>
      </c>
      <c r="H3202" s="88" t="s">
        <v>596</v>
      </c>
    </row>
    <row r="3203" spans="1:8" ht="28.8" x14ac:dyDescent="0.3">
      <c r="A3203" s="88" t="s">
        <v>716</v>
      </c>
      <c r="B3203" s="88">
        <v>64</v>
      </c>
      <c r="C3203" s="88">
        <v>16</v>
      </c>
      <c r="D3203" s="88" t="s">
        <v>148</v>
      </c>
      <c r="E3203" s="88" t="s">
        <v>2157</v>
      </c>
      <c r="F3203" s="88" t="s">
        <v>2158</v>
      </c>
      <c r="G3203" s="88" t="s">
        <v>1921</v>
      </c>
      <c r="H3203" s="88" t="s">
        <v>596</v>
      </c>
    </row>
    <row r="3204" spans="1:8" ht="28.8" x14ac:dyDescent="0.3">
      <c r="A3204" s="88" t="s">
        <v>716</v>
      </c>
      <c r="B3204" s="88">
        <v>64</v>
      </c>
      <c r="C3204" s="88">
        <v>17</v>
      </c>
      <c r="D3204" s="88" t="s">
        <v>148</v>
      </c>
      <c r="E3204" s="88" t="s">
        <v>2159</v>
      </c>
      <c r="F3204" s="88" t="s">
        <v>2160</v>
      </c>
      <c r="G3204" s="88" t="s">
        <v>1924</v>
      </c>
      <c r="H3204" s="88" t="s">
        <v>596</v>
      </c>
    </row>
    <row r="3205" spans="1:8" ht="28.8" x14ac:dyDescent="0.3">
      <c r="A3205" s="88" t="s">
        <v>716</v>
      </c>
      <c r="B3205" s="88">
        <v>65</v>
      </c>
      <c r="C3205" s="88">
        <v>16</v>
      </c>
      <c r="D3205" s="88" t="s">
        <v>149</v>
      </c>
      <c r="E3205" s="88" t="s">
        <v>2161</v>
      </c>
      <c r="F3205" s="88" t="s">
        <v>2162</v>
      </c>
      <c r="G3205" s="88" t="s">
        <v>1921</v>
      </c>
      <c r="H3205" s="88" t="s">
        <v>596</v>
      </c>
    </row>
    <row r="3206" spans="1:8" ht="28.8" x14ac:dyDescent="0.3">
      <c r="A3206" s="88" t="s">
        <v>716</v>
      </c>
      <c r="B3206" s="88">
        <v>65</v>
      </c>
      <c r="C3206" s="88">
        <v>17</v>
      </c>
      <c r="D3206" s="88" t="s">
        <v>149</v>
      </c>
      <c r="E3206" s="88" t="s">
        <v>2163</v>
      </c>
      <c r="F3206" s="88" t="s">
        <v>2164</v>
      </c>
      <c r="G3206" s="88" t="s">
        <v>1924</v>
      </c>
      <c r="H3206" s="88" t="s">
        <v>596</v>
      </c>
    </row>
    <row r="3207" spans="1:8" ht="28.8" x14ac:dyDescent="0.3">
      <c r="A3207" s="88" t="s">
        <v>716</v>
      </c>
      <c r="B3207" s="88">
        <v>66</v>
      </c>
      <c r="C3207" s="88">
        <v>16</v>
      </c>
      <c r="D3207" s="88" t="s">
        <v>150</v>
      </c>
      <c r="E3207" s="88" t="s">
        <v>2165</v>
      </c>
      <c r="F3207" s="88" t="s">
        <v>2166</v>
      </c>
      <c r="G3207" s="88" t="s">
        <v>1921</v>
      </c>
      <c r="H3207" s="88" t="s">
        <v>596</v>
      </c>
    </row>
    <row r="3208" spans="1:8" ht="28.8" x14ac:dyDescent="0.3">
      <c r="A3208" s="88" t="s">
        <v>716</v>
      </c>
      <c r="B3208" s="88">
        <v>66</v>
      </c>
      <c r="C3208" s="88">
        <v>17</v>
      </c>
      <c r="D3208" s="88" t="s">
        <v>150</v>
      </c>
      <c r="E3208" s="88" t="s">
        <v>2167</v>
      </c>
      <c r="F3208" s="88" t="s">
        <v>2168</v>
      </c>
      <c r="G3208" s="88" t="s">
        <v>1924</v>
      </c>
      <c r="H3208" s="88" t="s">
        <v>596</v>
      </c>
    </row>
    <row r="3209" spans="1:8" ht="28.8" x14ac:dyDescent="0.3">
      <c r="A3209" s="88" t="s">
        <v>716</v>
      </c>
      <c r="B3209" s="88">
        <v>67</v>
      </c>
      <c r="C3209" s="88">
        <v>16</v>
      </c>
      <c r="D3209" s="88" t="s">
        <v>151</v>
      </c>
      <c r="E3209" s="88" t="s">
        <v>2169</v>
      </c>
      <c r="F3209" s="88" t="s">
        <v>2170</v>
      </c>
      <c r="G3209" s="88" t="s">
        <v>1921</v>
      </c>
      <c r="H3209" s="88" t="s">
        <v>596</v>
      </c>
    </row>
    <row r="3210" spans="1:8" ht="28.8" x14ac:dyDescent="0.3">
      <c r="A3210" s="88" t="s">
        <v>716</v>
      </c>
      <c r="B3210" s="88">
        <v>67</v>
      </c>
      <c r="C3210" s="88">
        <v>17</v>
      </c>
      <c r="D3210" s="88" t="s">
        <v>151</v>
      </c>
      <c r="E3210" s="88" t="s">
        <v>2171</v>
      </c>
      <c r="F3210" s="88" t="s">
        <v>2172</v>
      </c>
      <c r="G3210" s="88" t="s">
        <v>1924</v>
      </c>
      <c r="H3210" s="88" t="s">
        <v>596</v>
      </c>
    </row>
    <row r="3211" spans="1:8" ht="28.8" x14ac:dyDescent="0.3">
      <c r="A3211" s="88" t="s">
        <v>716</v>
      </c>
      <c r="B3211" s="88">
        <v>68</v>
      </c>
      <c r="C3211" s="88">
        <v>16</v>
      </c>
      <c r="D3211" s="88" t="s">
        <v>152</v>
      </c>
      <c r="E3211" s="88" t="s">
        <v>2173</v>
      </c>
      <c r="F3211" s="88" t="s">
        <v>2174</v>
      </c>
      <c r="G3211" s="88" t="s">
        <v>1921</v>
      </c>
      <c r="H3211" s="88" t="s">
        <v>596</v>
      </c>
    </row>
    <row r="3212" spans="1:8" ht="28.8" x14ac:dyDescent="0.3">
      <c r="A3212" s="88" t="s">
        <v>716</v>
      </c>
      <c r="B3212" s="88">
        <v>68</v>
      </c>
      <c r="C3212" s="88">
        <v>17</v>
      </c>
      <c r="D3212" s="88" t="s">
        <v>152</v>
      </c>
      <c r="E3212" s="88" t="s">
        <v>2175</v>
      </c>
      <c r="F3212" s="88" t="s">
        <v>2176</v>
      </c>
      <c r="G3212" s="88" t="s">
        <v>1924</v>
      </c>
      <c r="H3212" s="88" t="s">
        <v>596</v>
      </c>
    </row>
    <row r="3213" spans="1:8" ht="28.8" x14ac:dyDescent="0.3">
      <c r="A3213" s="88" t="s">
        <v>716</v>
      </c>
      <c r="B3213" s="88">
        <v>69</v>
      </c>
      <c r="C3213" s="88">
        <v>16</v>
      </c>
      <c r="D3213" s="88" t="s">
        <v>153</v>
      </c>
      <c r="E3213" s="88" t="s">
        <v>2177</v>
      </c>
      <c r="F3213" s="88" t="s">
        <v>2178</v>
      </c>
      <c r="G3213" s="88" t="s">
        <v>1921</v>
      </c>
      <c r="H3213" s="88" t="s">
        <v>596</v>
      </c>
    </row>
    <row r="3214" spans="1:8" ht="28.8" x14ac:dyDescent="0.3">
      <c r="A3214" s="88" t="s">
        <v>716</v>
      </c>
      <c r="B3214" s="88">
        <v>69</v>
      </c>
      <c r="C3214" s="88">
        <v>17</v>
      </c>
      <c r="D3214" s="88" t="s">
        <v>153</v>
      </c>
      <c r="E3214" s="88" t="s">
        <v>2179</v>
      </c>
      <c r="F3214" s="88" t="s">
        <v>2180</v>
      </c>
      <c r="G3214" s="88" t="s">
        <v>1924</v>
      </c>
      <c r="H3214" s="88" t="s">
        <v>596</v>
      </c>
    </row>
    <row r="3215" spans="1:8" ht="28.8" x14ac:dyDescent="0.3">
      <c r="A3215" s="88" t="s">
        <v>716</v>
      </c>
      <c r="B3215" s="88">
        <v>70</v>
      </c>
      <c r="C3215" s="88">
        <v>16</v>
      </c>
      <c r="D3215" s="88" t="s">
        <v>154</v>
      </c>
      <c r="E3215" s="88" t="s">
        <v>2181</v>
      </c>
      <c r="F3215" s="88" t="s">
        <v>2182</v>
      </c>
      <c r="G3215" s="88" t="s">
        <v>1921</v>
      </c>
      <c r="H3215" s="88" t="s">
        <v>596</v>
      </c>
    </row>
    <row r="3216" spans="1:8" ht="28.8" x14ac:dyDescent="0.3">
      <c r="A3216" s="88" t="s">
        <v>716</v>
      </c>
      <c r="B3216" s="88">
        <v>70</v>
      </c>
      <c r="C3216" s="88">
        <v>17</v>
      </c>
      <c r="D3216" s="88" t="s">
        <v>154</v>
      </c>
      <c r="E3216" s="88" t="s">
        <v>2183</v>
      </c>
      <c r="F3216" s="88" t="s">
        <v>2184</v>
      </c>
      <c r="G3216" s="88" t="s">
        <v>1924</v>
      </c>
      <c r="H3216" s="88" t="s">
        <v>596</v>
      </c>
    </row>
    <row r="3217" spans="1:8" ht="28.8" x14ac:dyDescent="0.3">
      <c r="A3217" s="88" t="s">
        <v>716</v>
      </c>
      <c r="B3217" s="88">
        <v>71</v>
      </c>
      <c r="C3217" s="88">
        <v>16</v>
      </c>
      <c r="D3217" s="88" t="s">
        <v>155</v>
      </c>
      <c r="E3217" s="88" t="s">
        <v>2185</v>
      </c>
      <c r="F3217" s="88" t="s">
        <v>2186</v>
      </c>
      <c r="G3217" s="88" t="s">
        <v>1921</v>
      </c>
      <c r="H3217" s="88" t="s">
        <v>596</v>
      </c>
    </row>
    <row r="3218" spans="1:8" ht="28.8" x14ac:dyDescent="0.3">
      <c r="A3218" s="88" t="s">
        <v>716</v>
      </c>
      <c r="B3218" s="88">
        <v>71</v>
      </c>
      <c r="C3218" s="88">
        <v>17</v>
      </c>
      <c r="D3218" s="88" t="s">
        <v>155</v>
      </c>
      <c r="E3218" s="88" t="s">
        <v>2187</v>
      </c>
      <c r="F3218" s="88" t="s">
        <v>2188</v>
      </c>
      <c r="G3218" s="88" t="s">
        <v>1924</v>
      </c>
      <c r="H3218" s="88" t="s">
        <v>596</v>
      </c>
    </row>
    <row r="3219" spans="1:8" ht="28.8" x14ac:dyDescent="0.3">
      <c r="A3219" s="88" t="s">
        <v>716</v>
      </c>
      <c r="B3219" s="88">
        <v>72</v>
      </c>
      <c r="C3219" s="88">
        <v>16</v>
      </c>
      <c r="D3219" s="88" t="s">
        <v>156</v>
      </c>
      <c r="E3219" s="88" t="s">
        <v>2189</v>
      </c>
      <c r="F3219" s="88" t="s">
        <v>2190</v>
      </c>
      <c r="G3219" s="88" t="s">
        <v>1921</v>
      </c>
      <c r="H3219" s="88" t="s">
        <v>596</v>
      </c>
    </row>
    <row r="3220" spans="1:8" ht="28.8" x14ac:dyDescent="0.3">
      <c r="A3220" s="88" t="s">
        <v>716</v>
      </c>
      <c r="B3220" s="88">
        <v>72</v>
      </c>
      <c r="C3220" s="88">
        <v>17</v>
      </c>
      <c r="D3220" s="88" t="s">
        <v>156</v>
      </c>
      <c r="E3220" s="88" t="s">
        <v>2191</v>
      </c>
      <c r="F3220" s="88" t="s">
        <v>2192</v>
      </c>
      <c r="G3220" s="88" t="s">
        <v>1924</v>
      </c>
      <c r="H3220" s="88" t="s">
        <v>596</v>
      </c>
    </row>
    <row r="3221" spans="1:8" ht="28.8" x14ac:dyDescent="0.3">
      <c r="A3221" s="88" t="s">
        <v>716</v>
      </c>
      <c r="B3221" s="88">
        <v>73</v>
      </c>
      <c r="C3221" s="88">
        <v>16</v>
      </c>
      <c r="D3221" s="88" t="s">
        <v>157</v>
      </c>
      <c r="E3221" s="88" t="s">
        <v>2193</v>
      </c>
      <c r="F3221" s="88" t="s">
        <v>2194</v>
      </c>
      <c r="G3221" s="88" t="s">
        <v>1921</v>
      </c>
      <c r="H3221" s="88" t="s">
        <v>596</v>
      </c>
    </row>
    <row r="3222" spans="1:8" ht="28.8" x14ac:dyDescent="0.3">
      <c r="A3222" s="88" t="s">
        <v>716</v>
      </c>
      <c r="B3222" s="88">
        <v>73</v>
      </c>
      <c r="C3222" s="88">
        <v>17</v>
      </c>
      <c r="D3222" s="88" t="s">
        <v>157</v>
      </c>
      <c r="E3222" s="88" t="s">
        <v>2195</v>
      </c>
      <c r="F3222" s="88" t="s">
        <v>2196</v>
      </c>
      <c r="G3222" s="88" t="s">
        <v>1924</v>
      </c>
      <c r="H3222" s="88" t="s">
        <v>596</v>
      </c>
    </row>
    <row r="3223" spans="1:8" ht="28.8" x14ac:dyDescent="0.3">
      <c r="A3223" s="88" t="s">
        <v>716</v>
      </c>
      <c r="B3223" s="88">
        <v>74</v>
      </c>
      <c r="C3223" s="88">
        <v>16</v>
      </c>
      <c r="D3223" s="88" t="s">
        <v>158</v>
      </c>
      <c r="E3223" s="88" t="s">
        <v>2197</v>
      </c>
      <c r="F3223" s="88" t="s">
        <v>2198</v>
      </c>
      <c r="G3223" s="88" t="s">
        <v>1921</v>
      </c>
      <c r="H3223" s="88" t="s">
        <v>596</v>
      </c>
    </row>
    <row r="3224" spans="1:8" ht="28.8" x14ac:dyDescent="0.3">
      <c r="A3224" s="88" t="s">
        <v>716</v>
      </c>
      <c r="B3224" s="88">
        <v>74</v>
      </c>
      <c r="C3224" s="88">
        <v>17</v>
      </c>
      <c r="D3224" s="88" t="s">
        <v>158</v>
      </c>
      <c r="E3224" s="88" t="s">
        <v>2199</v>
      </c>
      <c r="F3224" s="88" t="s">
        <v>2200</v>
      </c>
      <c r="G3224" s="88" t="s">
        <v>1924</v>
      </c>
      <c r="H3224" s="88" t="s">
        <v>596</v>
      </c>
    </row>
    <row r="3225" spans="1:8" ht="28.8" x14ac:dyDescent="0.3">
      <c r="A3225" s="88" t="s">
        <v>716</v>
      </c>
      <c r="B3225" s="88">
        <v>75</v>
      </c>
      <c r="C3225" s="88">
        <v>16</v>
      </c>
      <c r="D3225" s="88" t="s">
        <v>159</v>
      </c>
      <c r="E3225" s="88" t="s">
        <v>2201</v>
      </c>
      <c r="F3225" s="88" t="s">
        <v>2202</v>
      </c>
      <c r="G3225" s="88" t="s">
        <v>1921</v>
      </c>
      <c r="H3225" s="88" t="s">
        <v>596</v>
      </c>
    </row>
    <row r="3226" spans="1:8" ht="28.8" x14ac:dyDescent="0.3">
      <c r="A3226" s="88" t="s">
        <v>716</v>
      </c>
      <c r="B3226" s="88">
        <v>75</v>
      </c>
      <c r="C3226" s="88">
        <v>17</v>
      </c>
      <c r="D3226" s="88" t="s">
        <v>159</v>
      </c>
      <c r="E3226" s="88" t="s">
        <v>2203</v>
      </c>
      <c r="F3226" s="88" t="s">
        <v>2204</v>
      </c>
      <c r="G3226" s="88" t="s">
        <v>1924</v>
      </c>
      <c r="H3226" s="88" t="s">
        <v>596</v>
      </c>
    </row>
    <row r="3227" spans="1:8" ht="28.8" x14ac:dyDescent="0.3">
      <c r="A3227" s="88" t="s">
        <v>716</v>
      </c>
      <c r="B3227" s="88">
        <v>76</v>
      </c>
      <c r="C3227" s="88">
        <v>16</v>
      </c>
      <c r="D3227" s="88" t="s">
        <v>160</v>
      </c>
      <c r="E3227" s="88" t="s">
        <v>2205</v>
      </c>
      <c r="F3227" s="88" t="s">
        <v>2206</v>
      </c>
      <c r="G3227" s="88" t="s">
        <v>1921</v>
      </c>
      <c r="H3227" s="88" t="s">
        <v>596</v>
      </c>
    </row>
    <row r="3228" spans="1:8" ht="28.8" x14ac:dyDescent="0.3">
      <c r="A3228" s="88" t="s">
        <v>716</v>
      </c>
      <c r="B3228" s="88">
        <v>76</v>
      </c>
      <c r="C3228" s="88">
        <v>17</v>
      </c>
      <c r="D3228" s="88" t="s">
        <v>160</v>
      </c>
      <c r="E3228" s="88" t="s">
        <v>2207</v>
      </c>
      <c r="F3228" s="88" t="s">
        <v>2208</v>
      </c>
      <c r="G3228" s="88" t="s">
        <v>1924</v>
      </c>
      <c r="H3228" s="88" t="s">
        <v>596</v>
      </c>
    </row>
    <row r="3229" spans="1:8" ht="28.8" x14ac:dyDescent="0.3">
      <c r="A3229" s="88" t="s">
        <v>716</v>
      </c>
      <c r="B3229" s="88">
        <v>77</v>
      </c>
      <c r="C3229" s="88">
        <v>16</v>
      </c>
      <c r="D3229" s="88" t="s">
        <v>161</v>
      </c>
      <c r="E3229" s="88" t="s">
        <v>2209</v>
      </c>
      <c r="F3229" s="88" t="s">
        <v>2210</v>
      </c>
      <c r="G3229" s="88" t="s">
        <v>1921</v>
      </c>
      <c r="H3229" s="88" t="s">
        <v>596</v>
      </c>
    </row>
    <row r="3230" spans="1:8" ht="28.8" x14ac:dyDescent="0.3">
      <c r="A3230" s="88" t="s">
        <v>716</v>
      </c>
      <c r="B3230" s="88">
        <v>77</v>
      </c>
      <c r="C3230" s="88">
        <v>17</v>
      </c>
      <c r="D3230" s="88" t="s">
        <v>161</v>
      </c>
      <c r="E3230" s="88" t="s">
        <v>2211</v>
      </c>
      <c r="F3230" s="88" t="s">
        <v>2212</v>
      </c>
      <c r="G3230" s="88" t="s">
        <v>1924</v>
      </c>
      <c r="H3230" s="88" t="s">
        <v>596</v>
      </c>
    </row>
    <row r="3231" spans="1:8" ht="28.8" x14ac:dyDescent="0.3">
      <c r="A3231" s="88" t="s">
        <v>716</v>
      </c>
      <c r="B3231" s="88">
        <v>78</v>
      </c>
      <c r="C3231" s="88">
        <v>16</v>
      </c>
      <c r="D3231" s="88" t="s">
        <v>162</v>
      </c>
      <c r="E3231" s="88" t="s">
        <v>2213</v>
      </c>
      <c r="F3231" s="88" t="s">
        <v>2214</v>
      </c>
      <c r="G3231" s="88" t="s">
        <v>1921</v>
      </c>
      <c r="H3231" s="88" t="s">
        <v>596</v>
      </c>
    </row>
    <row r="3232" spans="1:8" ht="28.8" x14ac:dyDescent="0.3">
      <c r="A3232" s="88" t="s">
        <v>716</v>
      </c>
      <c r="B3232" s="88">
        <v>78</v>
      </c>
      <c r="C3232" s="88">
        <v>17</v>
      </c>
      <c r="D3232" s="88" t="s">
        <v>162</v>
      </c>
      <c r="E3232" s="88" t="s">
        <v>2215</v>
      </c>
      <c r="F3232" s="88" t="s">
        <v>2216</v>
      </c>
      <c r="G3232" s="88" t="s">
        <v>1924</v>
      </c>
      <c r="H3232" s="88" t="s">
        <v>596</v>
      </c>
    </row>
    <row r="3233" spans="1:8" ht="28.8" x14ac:dyDescent="0.3">
      <c r="A3233" s="88" t="s">
        <v>716</v>
      </c>
      <c r="B3233" s="88">
        <v>79</v>
      </c>
      <c r="C3233" s="88">
        <v>16</v>
      </c>
      <c r="D3233" s="88" t="s">
        <v>163</v>
      </c>
      <c r="E3233" s="88" t="s">
        <v>2217</v>
      </c>
      <c r="F3233" s="88" t="s">
        <v>2218</v>
      </c>
      <c r="G3233" s="88" t="s">
        <v>1921</v>
      </c>
      <c r="H3233" s="88" t="s">
        <v>596</v>
      </c>
    </row>
    <row r="3234" spans="1:8" ht="28.8" x14ac:dyDescent="0.3">
      <c r="A3234" s="88" t="s">
        <v>716</v>
      </c>
      <c r="B3234" s="88">
        <v>79</v>
      </c>
      <c r="C3234" s="88">
        <v>17</v>
      </c>
      <c r="D3234" s="88" t="s">
        <v>163</v>
      </c>
      <c r="E3234" s="88" t="s">
        <v>2219</v>
      </c>
      <c r="F3234" s="88" t="s">
        <v>2220</v>
      </c>
      <c r="G3234" s="88" t="s">
        <v>1924</v>
      </c>
      <c r="H3234" s="88" t="s">
        <v>596</v>
      </c>
    </row>
    <row r="3235" spans="1:8" ht="28.8" x14ac:dyDescent="0.3">
      <c r="A3235" s="88" t="s">
        <v>716</v>
      </c>
      <c r="B3235" s="88">
        <v>80</v>
      </c>
      <c r="C3235" s="88">
        <v>16</v>
      </c>
      <c r="D3235" s="88" t="s">
        <v>164</v>
      </c>
      <c r="E3235" s="88" t="s">
        <v>2221</v>
      </c>
      <c r="F3235" s="88" t="s">
        <v>2222</v>
      </c>
      <c r="G3235" s="88" t="s">
        <v>1921</v>
      </c>
      <c r="H3235" s="88" t="s">
        <v>596</v>
      </c>
    </row>
    <row r="3236" spans="1:8" ht="28.8" x14ac:dyDescent="0.3">
      <c r="A3236" s="88" t="s">
        <v>716</v>
      </c>
      <c r="B3236" s="88">
        <v>80</v>
      </c>
      <c r="C3236" s="88">
        <v>17</v>
      </c>
      <c r="D3236" s="88" t="s">
        <v>164</v>
      </c>
      <c r="E3236" s="88" t="s">
        <v>2223</v>
      </c>
      <c r="F3236" s="88" t="s">
        <v>2224</v>
      </c>
      <c r="G3236" s="88" t="s">
        <v>1924</v>
      </c>
      <c r="H3236" s="88" t="s">
        <v>596</v>
      </c>
    </row>
    <row r="3237" spans="1:8" ht="28.8" x14ac:dyDescent="0.3">
      <c r="A3237" s="88" t="s">
        <v>716</v>
      </c>
      <c r="B3237" s="88">
        <v>81</v>
      </c>
      <c r="C3237" s="88">
        <v>16</v>
      </c>
      <c r="D3237" s="88" t="s">
        <v>165</v>
      </c>
      <c r="E3237" s="88" t="s">
        <v>2225</v>
      </c>
      <c r="F3237" s="88" t="s">
        <v>2226</v>
      </c>
      <c r="G3237" s="88" t="s">
        <v>1921</v>
      </c>
      <c r="H3237" s="88" t="s">
        <v>596</v>
      </c>
    </row>
    <row r="3238" spans="1:8" ht="28.8" x14ac:dyDescent="0.3">
      <c r="A3238" s="88" t="s">
        <v>716</v>
      </c>
      <c r="B3238" s="88">
        <v>81</v>
      </c>
      <c r="C3238" s="88">
        <v>17</v>
      </c>
      <c r="D3238" s="88" t="s">
        <v>165</v>
      </c>
      <c r="E3238" s="88" t="s">
        <v>2227</v>
      </c>
      <c r="F3238" s="88" t="s">
        <v>2228</v>
      </c>
      <c r="G3238" s="88" t="s">
        <v>1924</v>
      </c>
      <c r="H3238" s="88" t="s">
        <v>596</v>
      </c>
    </row>
    <row r="3239" spans="1:8" ht="28.8" x14ac:dyDescent="0.3">
      <c r="A3239" s="88" t="s">
        <v>716</v>
      </c>
      <c r="B3239" s="88">
        <v>82</v>
      </c>
      <c r="C3239" s="88">
        <v>16</v>
      </c>
      <c r="D3239" s="88" t="s">
        <v>166</v>
      </c>
      <c r="E3239" s="88" t="s">
        <v>2229</v>
      </c>
      <c r="F3239" s="88" t="s">
        <v>2230</v>
      </c>
      <c r="G3239" s="88" t="s">
        <v>1921</v>
      </c>
      <c r="H3239" s="88" t="s">
        <v>596</v>
      </c>
    </row>
    <row r="3240" spans="1:8" ht="28.8" x14ac:dyDescent="0.3">
      <c r="A3240" s="88" t="s">
        <v>716</v>
      </c>
      <c r="B3240" s="88">
        <v>82</v>
      </c>
      <c r="C3240" s="88">
        <v>17</v>
      </c>
      <c r="D3240" s="88" t="s">
        <v>166</v>
      </c>
      <c r="E3240" s="88" t="s">
        <v>2231</v>
      </c>
      <c r="F3240" s="88" t="s">
        <v>2232</v>
      </c>
      <c r="G3240" s="88" t="s">
        <v>1924</v>
      </c>
      <c r="H3240" s="88" t="s">
        <v>596</v>
      </c>
    </row>
    <row r="3241" spans="1:8" ht="28.8" x14ac:dyDescent="0.3">
      <c r="A3241" s="88" t="s">
        <v>716</v>
      </c>
      <c r="B3241" s="88">
        <v>83</v>
      </c>
      <c r="C3241" s="88">
        <v>16</v>
      </c>
      <c r="D3241" s="88" t="s">
        <v>167</v>
      </c>
      <c r="E3241" s="88" t="s">
        <v>2233</v>
      </c>
      <c r="F3241" s="88" t="s">
        <v>2234</v>
      </c>
      <c r="G3241" s="88" t="s">
        <v>1921</v>
      </c>
      <c r="H3241" s="88" t="s">
        <v>596</v>
      </c>
    </row>
    <row r="3242" spans="1:8" ht="28.8" x14ac:dyDescent="0.3">
      <c r="A3242" s="88" t="s">
        <v>716</v>
      </c>
      <c r="B3242" s="88">
        <v>83</v>
      </c>
      <c r="C3242" s="88">
        <v>17</v>
      </c>
      <c r="D3242" s="88" t="s">
        <v>167</v>
      </c>
      <c r="E3242" s="88" t="s">
        <v>2235</v>
      </c>
      <c r="F3242" s="88" t="s">
        <v>2236</v>
      </c>
      <c r="G3242" s="88" t="s">
        <v>1924</v>
      </c>
      <c r="H3242" s="88" t="s">
        <v>596</v>
      </c>
    </row>
    <row r="3243" spans="1:8" ht="28.8" x14ac:dyDescent="0.3">
      <c r="A3243" s="88" t="s">
        <v>716</v>
      </c>
      <c r="B3243" s="88">
        <v>84</v>
      </c>
      <c r="C3243" s="88">
        <v>16</v>
      </c>
      <c r="D3243" s="88" t="s">
        <v>168</v>
      </c>
      <c r="E3243" s="88" t="s">
        <v>2237</v>
      </c>
      <c r="F3243" s="88" t="s">
        <v>2238</v>
      </c>
      <c r="G3243" s="88" t="s">
        <v>1921</v>
      </c>
      <c r="H3243" s="88" t="s">
        <v>596</v>
      </c>
    </row>
    <row r="3244" spans="1:8" ht="28.8" x14ac:dyDescent="0.3">
      <c r="A3244" s="88" t="s">
        <v>716</v>
      </c>
      <c r="B3244" s="88">
        <v>84</v>
      </c>
      <c r="C3244" s="88">
        <v>17</v>
      </c>
      <c r="D3244" s="88" t="s">
        <v>168</v>
      </c>
      <c r="E3244" s="88" t="s">
        <v>2239</v>
      </c>
      <c r="F3244" s="88" t="s">
        <v>2240</v>
      </c>
      <c r="G3244" s="88" t="s">
        <v>1924</v>
      </c>
      <c r="H3244" s="88" t="s">
        <v>596</v>
      </c>
    </row>
    <row r="3245" spans="1:8" ht="28.8" x14ac:dyDescent="0.3">
      <c r="A3245" s="88" t="s">
        <v>716</v>
      </c>
      <c r="B3245" s="88">
        <v>85</v>
      </c>
      <c r="C3245" s="88">
        <v>16</v>
      </c>
      <c r="D3245" s="88" t="s">
        <v>169</v>
      </c>
      <c r="E3245" s="88" t="s">
        <v>2241</v>
      </c>
      <c r="F3245" s="88" t="s">
        <v>2242</v>
      </c>
      <c r="G3245" s="88" t="s">
        <v>1921</v>
      </c>
      <c r="H3245" s="88" t="s">
        <v>596</v>
      </c>
    </row>
    <row r="3246" spans="1:8" ht="28.8" x14ac:dyDescent="0.3">
      <c r="A3246" s="88" t="s">
        <v>716</v>
      </c>
      <c r="B3246" s="88">
        <v>85</v>
      </c>
      <c r="C3246" s="88">
        <v>17</v>
      </c>
      <c r="D3246" s="88" t="s">
        <v>169</v>
      </c>
      <c r="E3246" s="88" t="s">
        <v>2243</v>
      </c>
      <c r="F3246" s="88" t="s">
        <v>2244</v>
      </c>
      <c r="G3246" s="88" t="s">
        <v>1924</v>
      </c>
      <c r="H3246" s="88" t="s">
        <v>596</v>
      </c>
    </row>
    <row r="3247" spans="1:8" ht="28.8" x14ac:dyDescent="0.3">
      <c r="A3247" s="88" t="s">
        <v>716</v>
      </c>
      <c r="B3247" s="88">
        <v>86</v>
      </c>
      <c r="C3247" s="88">
        <v>16</v>
      </c>
      <c r="D3247" s="88" t="s">
        <v>170</v>
      </c>
      <c r="E3247" s="88" t="s">
        <v>2245</v>
      </c>
      <c r="F3247" s="88" t="s">
        <v>2246</v>
      </c>
      <c r="G3247" s="88" t="s">
        <v>1921</v>
      </c>
      <c r="H3247" s="88" t="s">
        <v>596</v>
      </c>
    </row>
    <row r="3248" spans="1:8" ht="28.8" x14ac:dyDescent="0.3">
      <c r="A3248" s="88" t="s">
        <v>716</v>
      </c>
      <c r="B3248" s="88">
        <v>86</v>
      </c>
      <c r="C3248" s="88">
        <v>17</v>
      </c>
      <c r="D3248" s="88" t="s">
        <v>170</v>
      </c>
      <c r="E3248" s="88" t="s">
        <v>2247</v>
      </c>
      <c r="F3248" s="88" t="s">
        <v>2248</v>
      </c>
      <c r="G3248" s="88" t="s">
        <v>1924</v>
      </c>
      <c r="H3248" s="88" t="s">
        <v>596</v>
      </c>
    </row>
    <row r="3249" spans="1:8" ht="28.8" x14ac:dyDescent="0.3">
      <c r="A3249" s="88" t="s">
        <v>716</v>
      </c>
      <c r="B3249" s="88">
        <v>87</v>
      </c>
      <c r="C3249" s="88">
        <v>16</v>
      </c>
      <c r="D3249" s="88" t="s">
        <v>171</v>
      </c>
      <c r="E3249" s="88" t="s">
        <v>2249</v>
      </c>
      <c r="F3249" s="88" t="s">
        <v>2250</v>
      </c>
      <c r="G3249" s="88" t="s">
        <v>1921</v>
      </c>
      <c r="H3249" s="88" t="s">
        <v>596</v>
      </c>
    </row>
    <row r="3250" spans="1:8" ht="28.8" x14ac:dyDescent="0.3">
      <c r="A3250" s="88" t="s">
        <v>716</v>
      </c>
      <c r="B3250" s="88">
        <v>87</v>
      </c>
      <c r="C3250" s="88">
        <v>17</v>
      </c>
      <c r="D3250" s="88" t="s">
        <v>171</v>
      </c>
      <c r="E3250" s="88" t="s">
        <v>2251</v>
      </c>
      <c r="F3250" s="88" t="s">
        <v>2252</v>
      </c>
      <c r="G3250" s="88" t="s">
        <v>1924</v>
      </c>
      <c r="H3250" s="88" t="s">
        <v>596</v>
      </c>
    </row>
    <row r="3251" spans="1:8" ht="28.8" x14ac:dyDescent="0.3">
      <c r="A3251" s="88" t="s">
        <v>716</v>
      </c>
      <c r="B3251" s="88">
        <v>88</v>
      </c>
      <c r="C3251" s="88">
        <v>16</v>
      </c>
      <c r="D3251" s="88" t="s">
        <v>172</v>
      </c>
      <c r="E3251" s="88" t="s">
        <v>2253</v>
      </c>
      <c r="F3251" s="88" t="s">
        <v>2254</v>
      </c>
      <c r="G3251" s="88" t="s">
        <v>1921</v>
      </c>
      <c r="H3251" s="88" t="s">
        <v>596</v>
      </c>
    </row>
    <row r="3252" spans="1:8" ht="28.8" x14ac:dyDescent="0.3">
      <c r="A3252" s="88" t="s">
        <v>716</v>
      </c>
      <c r="B3252" s="88">
        <v>88</v>
      </c>
      <c r="C3252" s="88">
        <v>17</v>
      </c>
      <c r="D3252" s="88" t="s">
        <v>172</v>
      </c>
      <c r="E3252" s="88" t="s">
        <v>2255</v>
      </c>
      <c r="F3252" s="88" t="s">
        <v>2256</v>
      </c>
      <c r="G3252" s="88" t="s">
        <v>1924</v>
      </c>
      <c r="H3252" s="88" t="s">
        <v>596</v>
      </c>
    </row>
    <row r="3253" spans="1:8" ht="28.8" x14ac:dyDescent="0.3">
      <c r="A3253" s="88" t="s">
        <v>716</v>
      </c>
      <c r="B3253" s="88">
        <v>89</v>
      </c>
      <c r="C3253" s="88">
        <v>16</v>
      </c>
      <c r="D3253" s="88" t="s">
        <v>173</v>
      </c>
      <c r="E3253" s="88" t="s">
        <v>2257</v>
      </c>
      <c r="F3253" s="88" t="s">
        <v>2258</v>
      </c>
      <c r="G3253" s="88" t="s">
        <v>1921</v>
      </c>
      <c r="H3253" s="88" t="s">
        <v>596</v>
      </c>
    </row>
    <row r="3254" spans="1:8" ht="28.8" x14ac:dyDescent="0.3">
      <c r="A3254" s="88" t="s">
        <v>716</v>
      </c>
      <c r="B3254" s="88">
        <v>89</v>
      </c>
      <c r="C3254" s="88">
        <v>17</v>
      </c>
      <c r="D3254" s="88" t="s">
        <v>173</v>
      </c>
      <c r="E3254" s="88" t="s">
        <v>2259</v>
      </c>
      <c r="F3254" s="88" t="s">
        <v>2260</v>
      </c>
      <c r="G3254" s="88" t="s">
        <v>1924</v>
      </c>
      <c r="H3254" s="88" t="s">
        <v>596</v>
      </c>
    </row>
    <row r="3255" spans="1:8" ht="28.8" x14ac:dyDescent="0.3">
      <c r="A3255" s="88" t="s">
        <v>716</v>
      </c>
      <c r="B3255" s="88">
        <v>90</v>
      </c>
      <c r="C3255" s="88">
        <v>16</v>
      </c>
      <c r="D3255" s="88" t="s">
        <v>174</v>
      </c>
      <c r="E3255" s="88" t="s">
        <v>2261</v>
      </c>
      <c r="F3255" s="88" t="s">
        <v>2262</v>
      </c>
      <c r="G3255" s="88" t="s">
        <v>1921</v>
      </c>
      <c r="H3255" s="88" t="s">
        <v>596</v>
      </c>
    </row>
    <row r="3256" spans="1:8" ht="28.8" x14ac:dyDescent="0.3">
      <c r="A3256" s="88" t="s">
        <v>716</v>
      </c>
      <c r="B3256" s="88">
        <v>90</v>
      </c>
      <c r="C3256" s="88">
        <v>17</v>
      </c>
      <c r="D3256" s="88" t="s">
        <v>174</v>
      </c>
      <c r="E3256" s="88" t="s">
        <v>2263</v>
      </c>
      <c r="F3256" s="88" t="s">
        <v>2264</v>
      </c>
      <c r="G3256" s="88" t="s">
        <v>1924</v>
      </c>
      <c r="H3256" s="88" t="s">
        <v>596</v>
      </c>
    </row>
    <row r="3257" spans="1:8" ht="28.8" x14ac:dyDescent="0.3">
      <c r="A3257" s="88" t="s">
        <v>716</v>
      </c>
      <c r="B3257" s="88">
        <v>91</v>
      </c>
      <c r="C3257" s="88">
        <v>16</v>
      </c>
      <c r="D3257" s="88" t="s">
        <v>175</v>
      </c>
      <c r="E3257" s="88" t="s">
        <v>2265</v>
      </c>
      <c r="F3257" s="88" t="s">
        <v>2266</v>
      </c>
      <c r="G3257" s="88" t="s">
        <v>1921</v>
      </c>
      <c r="H3257" s="88" t="s">
        <v>596</v>
      </c>
    </row>
    <row r="3258" spans="1:8" ht="28.8" x14ac:dyDescent="0.3">
      <c r="A3258" s="88" t="s">
        <v>716</v>
      </c>
      <c r="B3258" s="88">
        <v>91</v>
      </c>
      <c r="C3258" s="88">
        <v>17</v>
      </c>
      <c r="D3258" s="88" t="s">
        <v>175</v>
      </c>
      <c r="E3258" s="88" t="s">
        <v>2267</v>
      </c>
      <c r="F3258" s="88" t="s">
        <v>2268</v>
      </c>
      <c r="G3258" s="88" t="s">
        <v>1924</v>
      </c>
      <c r="H3258" s="88" t="s">
        <v>596</v>
      </c>
    </row>
    <row r="3259" spans="1:8" ht="28.8" x14ac:dyDescent="0.3">
      <c r="A3259" s="88" t="s">
        <v>716</v>
      </c>
      <c r="B3259" s="88">
        <v>92</v>
      </c>
      <c r="C3259" s="88">
        <v>16</v>
      </c>
      <c r="D3259" s="88" t="s">
        <v>176</v>
      </c>
      <c r="E3259" s="88" t="s">
        <v>2269</v>
      </c>
      <c r="F3259" s="88" t="s">
        <v>2270</v>
      </c>
      <c r="G3259" s="88" t="s">
        <v>1921</v>
      </c>
      <c r="H3259" s="88" t="s">
        <v>596</v>
      </c>
    </row>
    <row r="3260" spans="1:8" ht="28.8" x14ac:dyDescent="0.3">
      <c r="A3260" s="88" t="s">
        <v>716</v>
      </c>
      <c r="B3260" s="88">
        <v>92</v>
      </c>
      <c r="C3260" s="88">
        <v>17</v>
      </c>
      <c r="D3260" s="88" t="s">
        <v>176</v>
      </c>
      <c r="E3260" s="88" t="s">
        <v>2271</v>
      </c>
      <c r="F3260" s="88" t="s">
        <v>2272</v>
      </c>
      <c r="G3260" s="88" t="s">
        <v>1924</v>
      </c>
      <c r="H3260" s="88" t="s">
        <v>596</v>
      </c>
    </row>
    <row r="3261" spans="1:8" ht="28.8" x14ac:dyDescent="0.3">
      <c r="A3261" s="88" t="s">
        <v>716</v>
      </c>
      <c r="B3261" s="88">
        <v>93</v>
      </c>
      <c r="C3261" s="88">
        <v>16</v>
      </c>
      <c r="D3261" s="88" t="s">
        <v>177</v>
      </c>
      <c r="E3261" s="88" t="s">
        <v>2273</v>
      </c>
      <c r="F3261" s="88" t="s">
        <v>2274</v>
      </c>
      <c r="G3261" s="88" t="s">
        <v>1921</v>
      </c>
      <c r="H3261" s="88" t="s">
        <v>596</v>
      </c>
    </row>
    <row r="3262" spans="1:8" ht="28.8" x14ac:dyDescent="0.3">
      <c r="A3262" s="88" t="s">
        <v>716</v>
      </c>
      <c r="B3262" s="88">
        <v>93</v>
      </c>
      <c r="C3262" s="88">
        <v>17</v>
      </c>
      <c r="D3262" s="88" t="s">
        <v>177</v>
      </c>
      <c r="E3262" s="88" t="s">
        <v>2275</v>
      </c>
      <c r="F3262" s="88" t="s">
        <v>2276</v>
      </c>
      <c r="G3262" s="88" t="s">
        <v>1924</v>
      </c>
      <c r="H3262" s="88" t="s">
        <v>596</v>
      </c>
    </row>
    <row r="3263" spans="1:8" ht="28.8" x14ac:dyDescent="0.3">
      <c r="A3263" s="88" t="s">
        <v>716</v>
      </c>
      <c r="B3263" s="88">
        <v>94</v>
      </c>
      <c r="C3263" s="88">
        <v>16</v>
      </c>
      <c r="D3263" s="88" t="s">
        <v>178</v>
      </c>
      <c r="E3263" s="88" t="s">
        <v>2277</v>
      </c>
      <c r="F3263" s="88" t="s">
        <v>2278</v>
      </c>
      <c r="G3263" s="88" t="s">
        <v>1921</v>
      </c>
      <c r="H3263" s="88" t="s">
        <v>596</v>
      </c>
    </row>
    <row r="3264" spans="1:8" ht="28.8" x14ac:dyDescent="0.3">
      <c r="A3264" s="88" t="s">
        <v>716</v>
      </c>
      <c r="B3264" s="88">
        <v>94</v>
      </c>
      <c r="C3264" s="88">
        <v>17</v>
      </c>
      <c r="D3264" s="88" t="s">
        <v>178</v>
      </c>
      <c r="E3264" s="88" t="s">
        <v>2279</v>
      </c>
      <c r="F3264" s="88" t="s">
        <v>2280</v>
      </c>
      <c r="G3264" s="88" t="s">
        <v>1924</v>
      </c>
      <c r="H3264" s="88" t="s">
        <v>596</v>
      </c>
    </row>
    <row r="3265" spans="1:8" ht="28.8" x14ac:dyDescent="0.3">
      <c r="A3265" s="88" t="s">
        <v>716</v>
      </c>
      <c r="B3265" s="88">
        <v>95</v>
      </c>
      <c r="C3265" s="88">
        <v>16</v>
      </c>
      <c r="D3265" s="88" t="s">
        <v>179</v>
      </c>
      <c r="E3265" s="88" t="s">
        <v>2281</v>
      </c>
      <c r="F3265" s="88" t="s">
        <v>2282</v>
      </c>
      <c r="G3265" s="88" t="s">
        <v>1921</v>
      </c>
      <c r="H3265" s="88" t="s">
        <v>596</v>
      </c>
    </row>
    <row r="3266" spans="1:8" ht="28.8" x14ac:dyDescent="0.3">
      <c r="A3266" s="88" t="s">
        <v>716</v>
      </c>
      <c r="B3266" s="88">
        <v>95</v>
      </c>
      <c r="C3266" s="88">
        <v>17</v>
      </c>
      <c r="D3266" s="88" t="s">
        <v>179</v>
      </c>
      <c r="E3266" s="88" t="s">
        <v>2283</v>
      </c>
      <c r="F3266" s="88" t="s">
        <v>2284</v>
      </c>
      <c r="G3266" s="88" t="s">
        <v>1924</v>
      </c>
      <c r="H3266" s="88" t="s">
        <v>596</v>
      </c>
    </row>
    <row r="3267" spans="1:8" ht="28.8" x14ac:dyDescent="0.3">
      <c r="A3267" s="88" t="s">
        <v>716</v>
      </c>
      <c r="B3267" s="88">
        <v>96</v>
      </c>
      <c r="C3267" s="88">
        <v>16</v>
      </c>
      <c r="D3267" s="88" t="s">
        <v>180</v>
      </c>
      <c r="E3267" s="88" t="s">
        <v>2285</v>
      </c>
      <c r="F3267" s="88" t="s">
        <v>2286</v>
      </c>
      <c r="G3267" s="88" t="s">
        <v>1921</v>
      </c>
      <c r="H3267" s="88" t="s">
        <v>596</v>
      </c>
    </row>
    <row r="3268" spans="1:8" ht="28.8" x14ac:dyDescent="0.3">
      <c r="A3268" s="88" t="s">
        <v>716</v>
      </c>
      <c r="B3268" s="88">
        <v>96</v>
      </c>
      <c r="C3268" s="88">
        <v>17</v>
      </c>
      <c r="D3268" s="88" t="s">
        <v>180</v>
      </c>
      <c r="E3268" s="88" t="s">
        <v>2287</v>
      </c>
      <c r="F3268" s="88" t="s">
        <v>2288</v>
      </c>
      <c r="G3268" s="88" t="s">
        <v>1924</v>
      </c>
      <c r="H3268" s="88" t="s">
        <v>596</v>
      </c>
    </row>
    <row r="3269" spans="1:8" ht="28.8" x14ac:dyDescent="0.3">
      <c r="A3269" s="88" t="s">
        <v>716</v>
      </c>
      <c r="B3269" s="88">
        <v>97</v>
      </c>
      <c r="C3269" s="88">
        <v>16</v>
      </c>
      <c r="D3269" s="88" t="s">
        <v>181</v>
      </c>
      <c r="E3269" s="88" t="s">
        <v>2289</v>
      </c>
      <c r="F3269" s="88" t="s">
        <v>2290</v>
      </c>
      <c r="G3269" s="88" t="s">
        <v>1921</v>
      </c>
      <c r="H3269" s="88" t="s">
        <v>596</v>
      </c>
    </row>
    <row r="3270" spans="1:8" ht="28.8" x14ac:dyDescent="0.3">
      <c r="A3270" s="88" t="s">
        <v>716</v>
      </c>
      <c r="B3270" s="88">
        <v>97</v>
      </c>
      <c r="C3270" s="88">
        <v>17</v>
      </c>
      <c r="D3270" s="88" t="s">
        <v>181</v>
      </c>
      <c r="E3270" s="88" t="s">
        <v>2291</v>
      </c>
      <c r="F3270" s="88" t="s">
        <v>2292</v>
      </c>
      <c r="G3270" s="88" t="s">
        <v>1924</v>
      </c>
      <c r="H3270" s="88" t="s">
        <v>596</v>
      </c>
    </row>
    <row r="3271" spans="1:8" ht="28.8" x14ac:dyDescent="0.3">
      <c r="A3271" s="88" t="s">
        <v>716</v>
      </c>
      <c r="B3271" s="88">
        <v>98</v>
      </c>
      <c r="C3271" s="88">
        <v>16</v>
      </c>
      <c r="D3271" s="88" t="s">
        <v>182</v>
      </c>
      <c r="E3271" s="88" t="s">
        <v>2293</v>
      </c>
      <c r="F3271" s="88" t="s">
        <v>2294</v>
      </c>
      <c r="G3271" s="88" t="s">
        <v>1921</v>
      </c>
      <c r="H3271" s="88" t="s">
        <v>596</v>
      </c>
    </row>
    <row r="3272" spans="1:8" ht="28.8" x14ac:dyDescent="0.3">
      <c r="A3272" s="88" t="s">
        <v>716</v>
      </c>
      <c r="B3272" s="88">
        <v>98</v>
      </c>
      <c r="C3272" s="88">
        <v>17</v>
      </c>
      <c r="D3272" s="88" t="s">
        <v>182</v>
      </c>
      <c r="E3272" s="88" t="s">
        <v>2295</v>
      </c>
      <c r="F3272" s="88" t="s">
        <v>2296</v>
      </c>
      <c r="G3272" s="88" t="s">
        <v>1924</v>
      </c>
      <c r="H3272" s="88" t="s">
        <v>596</v>
      </c>
    </row>
    <row r="3273" spans="1:8" ht="28.8" x14ac:dyDescent="0.3">
      <c r="A3273" s="88" t="s">
        <v>716</v>
      </c>
      <c r="B3273" s="88">
        <v>99</v>
      </c>
      <c r="C3273" s="88">
        <v>16</v>
      </c>
      <c r="D3273" s="88" t="s">
        <v>183</v>
      </c>
      <c r="E3273" s="88" t="s">
        <v>2297</v>
      </c>
      <c r="F3273" s="88" t="s">
        <v>2298</v>
      </c>
      <c r="G3273" s="88" t="s">
        <v>1921</v>
      </c>
      <c r="H3273" s="88" t="s">
        <v>596</v>
      </c>
    </row>
    <row r="3274" spans="1:8" ht="28.8" x14ac:dyDescent="0.3">
      <c r="A3274" s="88" t="s">
        <v>716</v>
      </c>
      <c r="B3274" s="88">
        <v>99</v>
      </c>
      <c r="C3274" s="88">
        <v>17</v>
      </c>
      <c r="D3274" s="88" t="s">
        <v>183</v>
      </c>
      <c r="E3274" s="88" t="s">
        <v>2299</v>
      </c>
      <c r="F3274" s="88" t="s">
        <v>2300</v>
      </c>
      <c r="G3274" s="88" t="s">
        <v>1924</v>
      </c>
      <c r="H3274" s="88" t="s">
        <v>596</v>
      </c>
    </row>
    <row r="3275" spans="1:8" ht="28.8" x14ac:dyDescent="0.3">
      <c r="A3275" s="88" t="s">
        <v>716</v>
      </c>
      <c r="B3275" s="88">
        <v>100</v>
      </c>
      <c r="C3275" s="88">
        <v>16</v>
      </c>
      <c r="D3275" s="88" t="s">
        <v>184</v>
      </c>
      <c r="E3275" s="88" t="s">
        <v>2301</v>
      </c>
      <c r="F3275" s="88" t="s">
        <v>2302</v>
      </c>
      <c r="G3275" s="88" t="s">
        <v>1921</v>
      </c>
      <c r="H3275" s="88" t="s">
        <v>596</v>
      </c>
    </row>
    <row r="3276" spans="1:8" ht="28.8" x14ac:dyDescent="0.3">
      <c r="A3276" s="88" t="s">
        <v>716</v>
      </c>
      <c r="B3276" s="88">
        <v>100</v>
      </c>
      <c r="C3276" s="88">
        <v>17</v>
      </c>
      <c r="D3276" s="88" t="s">
        <v>184</v>
      </c>
      <c r="E3276" s="88" t="s">
        <v>2303</v>
      </c>
      <c r="F3276" s="88" t="s">
        <v>2304</v>
      </c>
      <c r="G3276" s="88" t="s">
        <v>1924</v>
      </c>
      <c r="H3276" s="88" t="s">
        <v>596</v>
      </c>
    </row>
    <row r="3277" spans="1:8" ht="28.8" x14ac:dyDescent="0.3">
      <c r="A3277" s="88" t="s">
        <v>716</v>
      </c>
      <c r="B3277" s="88">
        <v>101</v>
      </c>
      <c r="C3277" s="88">
        <v>16</v>
      </c>
      <c r="D3277" s="88" t="s">
        <v>185</v>
      </c>
      <c r="E3277" s="88" t="s">
        <v>2305</v>
      </c>
      <c r="F3277" s="88" t="s">
        <v>2306</v>
      </c>
      <c r="G3277" s="88" t="s">
        <v>1921</v>
      </c>
      <c r="H3277" s="88" t="s">
        <v>596</v>
      </c>
    </row>
    <row r="3278" spans="1:8" ht="28.8" x14ac:dyDescent="0.3">
      <c r="A3278" s="88" t="s">
        <v>716</v>
      </c>
      <c r="B3278" s="88">
        <v>101</v>
      </c>
      <c r="C3278" s="88">
        <v>17</v>
      </c>
      <c r="D3278" s="88" t="s">
        <v>185</v>
      </c>
      <c r="E3278" s="88" t="s">
        <v>2307</v>
      </c>
      <c r="F3278" s="88" t="s">
        <v>2308</v>
      </c>
      <c r="G3278" s="88" t="s">
        <v>1924</v>
      </c>
      <c r="H3278" s="88" t="s">
        <v>596</v>
      </c>
    </row>
    <row r="3279" spans="1:8" ht="28.8" x14ac:dyDescent="0.3">
      <c r="A3279" s="88" t="s">
        <v>716</v>
      </c>
      <c r="B3279" s="88">
        <v>102</v>
      </c>
      <c r="C3279" s="88">
        <v>16</v>
      </c>
      <c r="D3279" s="88" t="s">
        <v>186</v>
      </c>
      <c r="E3279" s="88" t="s">
        <v>2309</v>
      </c>
      <c r="F3279" s="88" t="s">
        <v>2310</v>
      </c>
      <c r="G3279" s="88" t="s">
        <v>1921</v>
      </c>
      <c r="H3279" s="88" t="s">
        <v>596</v>
      </c>
    </row>
    <row r="3280" spans="1:8" ht="28.8" x14ac:dyDescent="0.3">
      <c r="A3280" s="88" t="s">
        <v>716</v>
      </c>
      <c r="B3280" s="88">
        <v>102</v>
      </c>
      <c r="C3280" s="88">
        <v>17</v>
      </c>
      <c r="D3280" s="88" t="s">
        <v>186</v>
      </c>
      <c r="E3280" s="88" t="s">
        <v>2311</v>
      </c>
      <c r="F3280" s="88" t="s">
        <v>2312</v>
      </c>
      <c r="G3280" s="88" t="s">
        <v>1924</v>
      </c>
      <c r="H3280" s="88" t="s">
        <v>596</v>
      </c>
    </row>
    <row r="3281" spans="1:8" ht="28.8" x14ac:dyDescent="0.3">
      <c r="A3281" s="88" t="s">
        <v>716</v>
      </c>
      <c r="B3281" s="88">
        <v>103</v>
      </c>
      <c r="C3281" s="88">
        <v>16</v>
      </c>
      <c r="D3281" s="88" t="s">
        <v>187</v>
      </c>
      <c r="E3281" s="88" t="s">
        <v>2313</v>
      </c>
      <c r="F3281" s="88" t="s">
        <v>2314</v>
      </c>
      <c r="G3281" s="88" t="s">
        <v>1921</v>
      </c>
      <c r="H3281" s="88" t="s">
        <v>596</v>
      </c>
    </row>
    <row r="3282" spans="1:8" ht="28.8" x14ac:dyDescent="0.3">
      <c r="A3282" s="88" t="s">
        <v>716</v>
      </c>
      <c r="B3282" s="88">
        <v>103</v>
      </c>
      <c r="C3282" s="88">
        <v>17</v>
      </c>
      <c r="D3282" s="88" t="s">
        <v>187</v>
      </c>
      <c r="E3282" s="88" t="s">
        <v>2315</v>
      </c>
      <c r="F3282" s="88" t="s">
        <v>2316</v>
      </c>
      <c r="G3282" s="88" t="s">
        <v>1924</v>
      </c>
      <c r="H3282" s="88" t="s">
        <v>596</v>
      </c>
    </row>
    <row r="3283" spans="1:8" ht="28.8" x14ac:dyDescent="0.3">
      <c r="A3283" s="88" t="s">
        <v>716</v>
      </c>
      <c r="B3283" s="88">
        <v>104</v>
      </c>
      <c r="C3283" s="88">
        <v>16</v>
      </c>
      <c r="D3283" s="88" t="s">
        <v>188</v>
      </c>
      <c r="E3283" s="88" t="s">
        <v>2317</v>
      </c>
      <c r="F3283" s="88" t="s">
        <v>2318</v>
      </c>
      <c r="G3283" s="88" t="s">
        <v>1921</v>
      </c>
      <c r="H3283" s="88" t="s">
        <v>596</v>
      </c>
    </row>
    <row r="3284" spans="1:8" ht="28.8" x14ac:dyDescent="0.3">
      <c r="A3284" s="88" t="s">
        <v>716</v>
      </c>
      <c r="B3284" s="88">
        <v>104</v>
      </c>
      <c r="C3284" s="88">
        <v>17</v>
      </c>
      <c r="D3284" s="88" t="s">
        <v>188</v>
      </c>
      <c r="E3284" s="88" t="s">
        <v>2319</v>
      </c>
      <c r="F3284" s="88" t="s">
        <v>2320</v>
      </c>
      <c r="G3284" s="88" t="s">
        <v>1924</v>
      </c>
      <c r="H3284" s="88" t="s">
        <v>596</v>
      </c>
    </row>
    <row r="3285" spans="1:8" ht="28.8" x14ac:dyDescent="0.3">
      <c r="A3285" s="88" t="s">
        <v>716</v>
      </c>
      <c r="B3285" s="88">
        <v>105</v>
      </c>
      <c r="C3285" s="88">
        <v>16</v>
      </c>
      <c r="D3285" s="88" t="s">
        <v>189</v>
      </c>
      <c r="E3285" s="88" t="s">
        <v>2321</v>
      </c>
      <c r="F3285" s="88" t="s">
        <v>2322</v>
      </c>
      <c r="G3285" s="88" t="s">
        <v>1921</v>
      </c>
      <c r="H3285" s="88" t="s">
        <v>596</v>
      </c>
    </row>
    <row r="3286" spans="1:8" ht="28.8" x14ac:dyDescent="0.3">
      <c r="A3286" s="88" t="s">
        <v>716</v>
      </c>
      <c r="B3286" s="88">
        <v>105</v>
      </c>
      <c r="C3286" s="88">
        <v>17</v>
      </c>
      <c r="D3286" s="88" t="s">
        <v>189</v>
      </c>
      <c r="E3286" s="88" t="s">
        <v>2323</v>
      </c>
      <c r="F3286" s="88" t="s">
        <v>2324</v>
      </c>
      <c r="G3286" s="88" t="s">
        <v>1924</v>
      </c>
      <c r="H3286" s="88" t="s">
        <v>596</v>
      </c>
    </row>
    <row r="3287" spans="1:8" ht="28.8" x14ac:dyDescent="0.3">
      <c r="A3287" s="88" t="s">
        <v>716</v>
      </c>
      <c r="B3287" s="88">
        <v>106</v>
      </c>
      <c r="C3287" s="88">
        <v>16</v>
      </c>
      <c r="D3287" s="88" t="s">
        <v>190</v>
      </c>
      <c r="E3287" s="88" t="s">
        <v>2325</v>
      </c>
      <c r="F3287" s="88" t="s">
        <v>2326</v>
      </c>
      <c r="G3287" s="88" t="s">
        <v>1921</v>
      </c>
      <c r="H3287" s="88" t="s">
        <v>596</v>
      </c>
    </row>
    <row r="3288" spans="1:8" ht="28.8" x14ac:dyDescent="0.3">
      <c r="A3288" s="88" t="s">
        <v>716</v>
      </c>
      <c r="B3288" s="88">
        <v>106</v>
      </c>
      <c r="C3288" s="88">
        <v>17</v>
      </c>
      <c r="D3288" s="88" t="s">
        <v>190</v>
      </c>
      <c r="E3288" s="88" t="s">
        <v>2327</v>
      </c>
      <c r="F3288" s="88" t="s">
        <v>2328</v>
      </c>
      <c r="G3288" s="88" t="s">
        <v>1924</v>
      </c>
      <c r="H3288" s="88" t="s">
        <v>596</v>
      </c>
    </row>
    <row r="3289" spans="1:8" ht="28.8" x14ac:dyDescent="0.3">
      <c r="A3289" s="88" t="s">
        <v>716</v>
      </c>
      <c r="B3289" s="88">
        <v>107</v>
      </c>
      <c r="C3289" s="88">
        <v>16</v>
      </c>
      <c r="D3289" s="88" t="s">
        <v>191</v>
      </c>
      <c r="E3289" s="88" t="s">
        <v>2329</v>
      </c>
      <c r="F3289" s="88" t="s">
        <v>2330</v>
      </c>
      <c r="G3289" s="88" t="s">
        <v>1921</v>
      </c>
      <c r="H3289" s="88" t="s">
        <v>596</v>
      </c>
    </row>
    <row r="3290" spans="1:8" ht="28.8" x14ac:dyDescent="0.3">
      <c r="A3290" s="88" t="s">
        <v>716</v>
      </c>
      <c r="B3290" s="88">
        <v>107</v>
      </c>
      <c r="C3290" s="88">
        <v>17</v>
      </c>
      <c r="D3290" s="88" t="s">
        <v>191</v>
      </c>
      <c r="E3290" s="88" t="s">
        <v>2331</v>
      </c>
      <c r="F3290" s="88" t="s">
        <v>2332</v>
      </c>
      <c r="G3290" s="88" t="s">
        <v>1924</v>
      </c>
      <c r="H3290" s="88" t="s">
        <v>596</v>
      </c>
    </row>
    <row r="3291" spans="1:8" ht="28.8" x14ac:dyDescent="0.3">
      <c r="A3291" s="88" t="s">
        <v>716</v>
      </c>
      <c r="B3291" s="88">
        <v>108</v>
      </c>
      <c r="C3291" s="88">
        <v>16</v>
      </c>
      <c r="D3291" s="88" t="s">
        <v>192</v>
      </c>
      <c r="E3291" s="88" t="s">
        <v>2333</v>
      </c>
      <c r="F3291" s="88" t="s">
        <v>2334</v>
      </c>
      <c r="G3291" s="88" t="s">
        <v>1921</v>
      </c>
      <c r="H3291" s="88" t="s">
        <v>596</v>
      </c>
    </row>
    <row r="3292" spans="1:8" ht="28.8" x14ac:dyDescent="0.3">
      <c r="A3292" s="88" t="s">
        <v>716</v>
      </c>
      <c r="B3292" s="88">
        <v>108</v>
      </c>
      <c r="C3292" s="88">
        <v>17</v>
      </c>
      <c r="D3292" s="88" t="s">
        <v>192</v>
      </c>
      <c r="E3292" s="88" t="s">
        <v>2335</v>
      </c>
      <c r="F3292" s="88" t="s">
        <v>2336</v>
      </c>
      <c r="G3292" s="88" t="s">
        <v>1924</v>
      </c>
      <c r="H3292" s="88" t="s">
        <v>596</v>
      </c>
    </row>
    <row r="3293" spans="1:8" ht="28.8" x14ac:dyDescent="0.3">
      <c r="A3293" s="88" t="s">
        <v>716</v>
      </c>
      <c r="B3293" s="88">
        <v>109</v>
      </c>
      <c r="C3293" s="88">
        <v>16</v>
      </c>
      <c r="D3293" s="88" t="s">
        <v>193</v>
      </c>
      <c r="E3293" s="88" t="s">
        <v>2337</v>
      </c>
      <c r="F3293" s="88" t="s">
        <v>2338</v>
      </c>
      <c r="G3293" s="88" t="s">
        <v>1921</v>
      </c>
      <c r="H3293" s="88" t="s">
        <v>596</v>
      </c>
    </row>
    <row r="3294" spans="1:8" ht="28.8" x14ac:dyDescent="0.3">
      <c r="A3294" s="88" t="s">
        <v>716</v>
      </c>
      <c r="B3294" s="88">
        <v>109</v>
      </c>
      <c r="C3294" s="88">
        <v>17</v>
      </c>
      <c r="D3294" s="88" t="s">
        <v>193</v>
      </c>
      <c r="E3294" s="88" t="s">
        <v>2339</v>
      </c>
      <c r="F3294" s="88" t="s">
        <v>2340</v>
      </c>
      <c r="G3294" s="88" t="s">
        <v>1924</v>
      </c>
      <c r="H3294" s="88" t="s">
        <v>596</v>
      </c>
    </row>
    <row r="3295" spans="1:8" ht="28.8" x14ac:dyDescent="0.3">
      <c r="A3295" s="88" t="s">
        <v>716</v>
      </c>
      <c r="B3295" s="88">
        <v>110</v>
      </c>
      <c r="C3295" s="88">
        <v>16</v>
      </c>
      <c r="D3295" s="88" t="s">
        <v>194</v>
      </c>
      <c r="E3295" s="88" t="s">
        <v>2341</v>
      </c>
      <c r="F3295" s="88" t="s">
        <v>2342</v>
      </c>
      <c r="G3295" s="88" t="s">
        <v>1921</v>
      </c>
      <c r="H3295" s="88" t="s">
        <v>596</v>
      </c>
    </row>
    <row r="3296" spans="1:8" ht="28.8" x14ac:dyDescent="0.3">
      <c r="A3296" s="88" t="s">
        <v>716</v>
      </c>
      <c r="B3296" s="88">
        <v>110</v>
      </c>
      <c r="C3296" s="88">
        <v>17</v>
      </c>
      <c r="D3296" s="88" t="s">
        <v>194</v>
      </c>
      <c r="E3296" s="88" t="s">
        <v>2343</v>
      </c>
      <c r="F3296" s="88" t="s">
        <v>2344</v>
      </c>
      <c r="G3296" s="88" t="s">
        <v>1924</v>
      </c>
      <c r="H3296" s="88" t="s">
        <v>596</v>
      </c>
    </row>
    <row r="3297" spans="1:8" ht="28.8" x14ac:dyDescent="0.3">
      <c r="A3297" s="88" t="s">
        <v>716</v>
      </c>
      <c r="B3297" s="88">
        <v>111</v>
      </c>
      <c r="C3297" s="88">
        <v>16</v>
      </c>
      <c r="D3297" s="88" t="s">
        <v>195</v>
      </c>
      <c r="E3297" s="88" t="s">
        <v>2345</v>
      </c>
      <c r="F3297" s="88" t="s">
        <v>2346</v>
      </c>
      <c r="G3297" s="88" t="s">
        <v>1921</v>
      </c>
      <c r="H3297" s="88" t="s">
        <v>596</v>
      </c>
    </row>
    <row r="3298" spans="1:8" ht="28.8" x14ac:dyDescent="0.3">
      <c r="A3298" s="88" t="s">
        <v>716</v>
      </c>
      <c r="B3298" s="88">
        <v>111</v>
      </c>
      <c r="C3298" s="88">
        <v>17</v>
      </c>
      <c r="D3298" s="88" t="s">
        <v>195</v>
      </c>
      <c r="E3298" s="88" t="s">
        <v>2347</v>
      </c>
      <c r="F3298" s="88" t="s">
        <v>2348</v>
      </c>
      <c r="G3298" s="88" t="s">
        <v>1924</v>
      </c>
      <c r="H3298" s="88" t="s">
        <v>596</v>
      </c>
    </row>
    <row r="3299" spans="1:8" ht="28.8" x14ac:dyDescent="0.3">
      <c r="A3299" s="88" t="s">
        <v>716</v>
      </c>
      <c r="B3299" s="88">
        <v>112</v>
      </c>
      <c r="C3299" s="88">
        <v>16</v>
      </c>
      <c r="D3299" s="88" t="s">
        <v>196</v>
      </c>
      <c r="E3299" s="88" t="s">
        <v>2349</v>
      </c>
      <c r="F3299" s="88" t="s">
        <v>2350</v>
      </c>
      <c r="G3299" s="88" t="s">
        <v>1921</v>
      </c>
      <c r="H3299" s="88" t="s">
        <v>596</v>
      </c>
    </row>
    <row r="3300" spans="1:8" ht="28.8" x14ac:dyDescent="0.3">
      <c r="A3300" s="88" t="s">
        <v>716</v>
      </c>
      <c r="B3300" s="88">
        <v>112</v>
      </c>
      <c r="C3300" s="88">
        <v>17</v>
      </c>
      <c r="D3300" s="88" t="s">
        <v>196</v>
      </c>
      <c r="E3300" s="88" t="s">
        <v>2351</v>
      </c>
      <c r="F3300" s="88" t="s">
        <v>2352</v>
      </c>
      <c r="G3300" s="88" t="s">
        <v>1924</v>
      </c>
      <c r="H3300" s="88" t="s">
        <v>596</v>
      </c>
    </row>
    <row r="3301" spans="1:8" ht="28.8" x14ac:dyDescent="0.3">
      <c r="A3301" s="88" t="s">
        <v>716</v>
      </c>
      <c r="B3301" s="88">
        <v>113</v>
      </c>
      <c r="C3301" s="88">
        <v>16</v>
      </c>
      <c r="D3301" s="88" t="s">
        <v>197</v>
      </c>
      <c r="E3301" s="88" t="s">
        <v>2353</v>
      </c>
      <c r="F3301" s="88" t="s">
        <v>2354</v>
      </c>
      <c r="G3301" s="88" t="s">
        <v>1921</v>
      </c>
      <c r="H3301" s="88" t="s">
        <v>596</v>
      </c>
    </row>
    <row r="3302" spans="1:8" ht="28.8" x14ac:dyDescent="0.3">
      <c r="A3302" s="88" t="s">
        <v>716</v>
      </c>
      <c r="B3302" s="88">
        <v>113</v>
      </c>
      <c r="C3302" s="88">
        <v>17</v>
      </c>
      <c r="D3302" s="88" t="s">
        <v>197</v>
      </c>
      <c r="E3302" s="88" t="s">
        <v>2355</v>
      </c>
      <c r="F3302" s="88" t="s">
        <v>2356</v>
      </c>
      <c r="G3302" s="88" t="s">
        <v>1924</v>
      </c>
      <c r="H3302" s="88" t="s">
        <v>596</v>
      </c>
    </row>
    <row r="3303" spans="1:8" ht="28.8" x14ac:dyDescent="0.3">
      <c r="A3303" s="88" t="s">
        <v>716</v>
      </c>
      <c r="B3303" s="88">
        <v>114</v>
      </c>
      <c r="C3303" s="88">
        <v>16</v>
      </c>
      <c r="D3303" s="88" t="s">
        <v>198</v>
      </c>
      <c r="E3303" s="88" t="s">
        <v>2357</v>
      </c>
      <c r="F3303" s="88" t="s">
        <v>2358</v>
      </c>
      <c r="G3303" s="88" t="s">
        <v>1921</v>
      </c>
      <c r="H3303" s="88" t="s">
        <v>596</v>
      </c>
    </row>
    <row r="3304" spans="1:8" ht="28.8" x14ac:dyDescent="0.3">
      <c r="A3304" s="88" t="s">
        <v>716</v>
      </c>
      <c r="B3304" s="88">
        <v>114</v>
      </c>
      <c r="C3304" s="88">
        <v>17</v>
      </c>
      <c r="D3304" s="88" t="s">
        <v>198</v>
      </c>
      <c r="E3304" s="88" t="s">
        <v>2359</v>
      </c>
      <c r="F3304" s="88" t="s">
        <v>2360</v>
      </c>
      <c r="G3304" s="88" t="s">
        <v>1924</v>
      </c>
      <c r="H3304" s="88" t="s">
        <v>596</v>
      </c>
    </row>
    <row r="3305" spans="1:8" ht="28.8" x14ac:dyDescent="0.3">
      <c r="A3305" s="88" t="s">
        <v>716</v>
      </c>
      <c r="B3305" s="88">
        <v>115</v>
      </c>
      <c r="C3305" s="88">
        <v>16</v>
      </c>
      <c r="D3305" s="88" t="s">
        <v>199</v>
      </c>
      <c r="E3305" s="88" t="s">
        <v>2361</v>
      </c>
      <c r="F3305" s="88" t="s">
        <v>2362</v>
      </c>
      <c r="G3305" s="88" t="s">
        <v>1921</v>
      </c>
      <c r="H3305" s="88" t="s">
        <v>596</v>
      </c>
    </row>
    <row r="3306" spans="1:8" ht="28.8" x14ac:dyDescent="0.3">
      <c r="A3306" s="88" t="s">
        <v>716</v>
      </c>
      <c r="B3306" s="88">
        <v>115</v>
      </c>
      <c r="C3306" s="88">
        <v>17</v>
      </c>
      <c r="D3306" s="88" t="s">
        <v>199</v>
      </c>
      <c r="E3306" s="88" t="s">
        <v>2363</v>
      </c>
      <c r="F3306" s="88" t="s">
        <v>2364</v>
      </c>
      <c r="G3306" s="88" t="s">
        <v>1924</v>
      </c>
      <c r="H3306" s="88" t="s">
        <v>596</v>
      </c>
    </row>
    <row r="3307" spans="1:8" ht="28.8" x14ac:dyDescent="0.3">
      <c r="A3307" s="88" t="s">
        <v>716</v>
      </c>
      <c r="B3307" s="88">
        <v>116</v>
      </c>
      <c r="C3307" s="88">
        <v>16</v>
      </c>
      <c r="D3307" s="88" t="s">
        <v>200</v>
      </c>
      <c r="E3307" s="88" t="s">
        <v>2365</v>
      </c>
      <c r="F3307" s="88" t="s">
        <v>2366</v>
      </c>
      <c r="G3307" s="88" t="s">
        <v>1921</v>
      </c>
      <c r="H3307" s="88" t="s">
        <v>596</v>
      </c>
    </row>
    <row r="3308" spans="1:8" ht="28.8" x14ac:dyDescent="0.3">
      <c r="A3308" s="88" t="s">
        <v>716</v>
      </c>
      <c r="B3308" s="88">
        <v>116</v>
      </c>
      <c r="C3308" s="88">
        <v>17</v>
      </c>
      <c r="D3308" s="88" t="s">
        <v>200</v>
      </c>
      <c r="E3308" s="88" t="s">
        <v>2367</v>
      </c>
      <c r="F3308" s="88" t="s">
        <v>2368</v>
      </c>
      <c r="G3308" s="88" t="s">
        <v>1924</v>
      </c>
      <c r="H3308" s="88" t="s">
        <v>596</v>
      </c>
    </row>
    <row r="3309" spans="1:8" ht="28.8" x14ac:dyDescent="0.3">
      <c r="A3309" s="88" t="s">
        <v>716</v>
      </c>
      <c r="B3309" s="88">
        <v>117</v>
      </c>
      <c r="C3309" s="88">
        <v>16</v>
      </c>
      <c r="D3309" s="88" t="s">
        <v>201</v>
      </c>
      <c r="E3309" s="88" t="s">
        <v>2369</v>
      </c>
      <c r="F3309" s="88" t="s">
        <v>2370</v>
      </c>
      <c r="G3309" s="88" t="s">
        <v>1921</v>
      </c>
      <c r="H3309" s="88" t="s">
        <v>596</v>
      </c>
    </row>
    <row r="3310" spans="1:8" ht="28.8" x14ac:dyDescent="0.3">
      <c r="A3310" s="88" t="s">
        <v>716</v>
      </c>
      <c r="B3310" s="88">
        <v>117</v>
      </c>
      <c r="C3310" s="88">
        <v>17</v>
      </c>
      <c r="D3310" s="88" t="s">
        <v>201</v>
      </c>
      <c r="E3310" s="88" t="s">
        <v>2371</v>
      </c>
      <c r="F3310" s="88" t="s">
        <v>2372</v>
      </c>
      <c r="G3310" s="88" t="s">
        <v>1924</v>
      </c>
      <c r="H3310" s="88" t="s">
        <v>596</v>
      </c>
    </row>
    <row r="3311" spans="1:8" ht="28.8" x14ac:dyDescent="0.3">
      <c r="A3311" s="88" t="s">
        <v>716</v>
      </c>
      <c r="B3311" s="88">
        <v>118</v>
      </c>
      <c r="C3311" s="88">
        <v>16</v>
      </c>
      <c r="D3311" s="88" t="s">
        <v>202</v>
      </c>
      <c r="E3311" s="88" t="s">
        <v>2373</v>
      </c>
      <c r="F3311" s="88" t="s">
        <v>2374</v>
      </c>
      <c r="G3311" s="88" t="s">
        <v>1921</v>
      </c>
      <c r="H3311" s="88" t="s">
        <v>596</v>
      </c>
    </row>
    <row r="3312" spans="1:8" ht="28.8" x14ac:dyDescent="0.3">
      <c r="A3312" s="88" t="s">
        <v>716</v>
      </c>
      <c r="B3312" s="88">
        <v>118</v>
      </c>
      <c r="C3312" s="88">
        <v>17</v>
      </c>
      <c r="D3312" s="88" t="s">
        <v>202</v>
      </c>
      <c r="E3312" s="88" t="s">
        <v>2375</v>
      </c>
      <c r="F3312" s="88" t="s">
        <v>2376</v>
      </c>
      <c r="G3312" s="88" t="s">
        <v>1924</v>
      </c>
      <c r="H3312" s="88" t="s">
        <v>596</v>
      </c>
    </row>
    <row r="3313" spans="1:8" ht="28.8" x14ac:dyDescent="0.3">
      <c r="A3313" s="88" t="s">
        <v>716</v>
      </c>
      <c r="B3313" s="88">
        <v>119</v>
      </c>
      <c r="C3313" s="88">
        <v>16</v>
      </c>
      <c r="D3313" s="88" t="s">
        <v>203</v>
      </c>
      <c r="E3313" s="88" t="s">
        <v>2377</v>
      </c>
      <c r="F3313" s="88" t="s">
        <v>2378</v>
      </c>
      <c r="G3313" s="88" t="s">
        <v>1921</v>
      </c>
      <c r="H3313" s="88" t="s">
        <v>596</v>
      </c>
    </row>
    <row r="3314" spans="1:8" ht="28.8" x14ac:dyDescent="0.3">
      <c r="A3314" s="88" t="s">
        <v>716</v>
      </c>
      <c r="B3314" s="88">
        <v>119</v>
      </c>
      <c r="C3314" s="88">
        <v>17</v>
      </c>
      <c r="D3314" s="88" t="s">
        <v>203</v>
      </c>
      <c r="E3314" s="88" t="s">
        <v>2379</v>
      </c>
      <c r="F3314" s="88" t="s">
        <v>2380</v>
      </c>
      <c r="G3314" s="88" t="s">
        <v>1924</v>
      </c>
      <c r="H3314" s="88" t="s">
        <v>596</v>
      </c>
    </row>
    <row r="3315" spans="1:8" ht="28.8" x14ac:dyDescent="0.3">
      <c r="A3315" s="88" t="s">
        <v>716</v>
      </c>
      <c r="B3315" s="88">
        <v>120</v>
      </c>
      <c r="C3315" s="88">
        <v>16</v>
      </c>
      <c r="D3315" s="88" t="s">
        <v>204</v>
      </c>
      <c r="E3315" s="88" t="s">
        <v>2381</v>
      </c>
      <c r="F3315" s="88" t="s">
        <v>2382</v>
      </c>
      <c r="G3315" s="88" t="s">
        <v>1921</v>
      </c>
      <c r="H3315" s="88" t="s">
        <v>596</v>
      </c>
    </row>
    <row r="3316" spans="1:8" ht="28.8" x14ac:dyDescent="0.3">
      <c r="A3316" s="88" t="s">
        <v>716</v>
      </c>
      <c r="B3316" s="88">
        <v>120</v>
      </c>
      <c r="C3316" s="88">
        <v>17</v>
      </c>
      <c r="D3316" s="88" t="s">
        <v>204</v>
      </c>
      <c r="E3316" s="88" t="s">
        <v>2383</v>
      </c>
      <c r="F3316" s="88" t="s">
        <v>2384</v>
      </c>
      <c r="G3316" s="88" t="s">
        <v>1924</v>
      </c>
      <c r="H3316" s="88" t="s">
        <v>596</v>
      </c>
    </row>
    <row r="3317" spans="1:8" ht="28.8" x14ac:dyDescent="0.3">
      <c r="A3317" s="88" t="s">
        <v>716</v>
      </c>
      <c r="B3317" s="88">
        <v>121</v>
      </c>
      <c r="C3317" s="88">
        <v>16</v>
      </c>
      <c r="D3317" s="88" t="s">
        <v>205</v>
      </c>
      <c r="E3317" s="88" t="s">
        <v>2385</v>
      </c>
      <c r="F3317" s="88" t="s">
        <v>2386</v>
      </c>
      <c r="G3317" s="88" t="s">
        <v>1921</v>
      </c>
      <c r="H3317" s="88" t="s">
        <v>596</v>
      </c>
    </row>
    <row r="3318" spans="1:8" ht="28.8" x14ac:dyDescent="0.3">
      <c r="A3318" s="88" t="s">
        <v>716</v>
      </c>
      <c r="B3318" s="88">
        <v>121</v>
      </c>
      <c r="C3318" s="88">
        <v>17</v>
      </c>
      <c r="D3318" s="88" t="s">
        <v>205</v>
      </c>
      <c r="E3318" s="88" t="s">
        <v>2387</v>
      </c>
      <c r="F3318" s="88" t="s">
        <v>2388</v>
      </c>
      <c r="G3318" s="88" t="s">
        <v>1924</v>
      </c>
      <c r="H3318" s="88" t="s">
        <v>596</v>
      </c>
    </row>
    <row r="3319" spans="1:8" ht="28.8" x14ac:dyDescent="0.3">
      <c r="A3319" s="88" t="s">
        <v>716</v>
      </c>
      <c r="B3319" s="88">
        <v>122</v>
      </c>
      <c r="C3319" s="88">
        <v>16</v>
      </c>
      <c r="D3319" s="88" t="s">
        <v>206</v>
      </c>
      <c r="E3319" s="88" t="s">
        <v>2389</v>
      </c>
      <c r="F3319" s="88" t="s">
        <v>2390</v>
      </c>
      <c r="G3319" s="88" t="s">
        <v>1921</v>
      </c>
      <c r="H3319" s="88" t="s">
        <v>596</v>
      </c>
    </row>
    <row r="3320" spans="1:8" ht="28.8" x14ac:dyDescent="0.3">
      <c r="A3320" s="88" t="s">
        <v>716</v>
      </c>
      <c r="B3320" s="88">
        <v>122</v>
      </c>
      <c r="C3320" s="88">
        <v>17</v>
      </c>
      <c r="D3320" s="88" t="s">
        <v>206</v>
      </c>
      <c r="E3320" s="88" t="s">
        <v>2391</v>
      </c>
      <c r="F3320" s="88" t="s">
        <v>2392</v>
      </c>
      <c r="G3320" s="88" t="s">
        <v>1924</v>
      </c>
      <c r="H3320" s="88" t="s">
        <v>596</v>
      </c>
    </row>
    <row r="3321" spans="1:8" ht="28.8" x14ac:dyDescent="0.3">
      <c r="A3321" s="88" t="s">
        <v>716</v>
      </c>
      <c r="B3321" s="88">
        <v>123</v>
      </c>
      <c r="C3321" s="88">
        <v>16</v>
      </c>
      <c r="D3321" s="88" t="s">
        <v>207</v>
      </c>
      <c r="E3321" s="88" t="s">
        <v>2393</v>
      </c>
      <c r="F3321" s="88" t="s">
        <v>2394</v>
      </c>
      <c r="G3321" s="88" t="s">
        <v>1921</v>
      </c>
      <c r="H3321" s="88" t="s">
        <v>596</v>
      </c>
    </row>
    <row r="3322" spans="1:8" ht="28.8" x14ac:dyDescent="0.3">
      <c r="A3322" s="88" t="s">
        <v>716</v>
      </c>
      <c r="B3322" s="88">
        <v>123</v>
      </c>
      <c r="C3322" s="88">
        <v>17</v>
      </c>
      <c r="D3322" s="88" t="s">
        <v>207</v>
      </c>
      <c r="E3322" s="88" t="s">
        <v>2395</v>
      </c>
      <c r="F3322" s="88" t="s">
        <v>2396</v>
      </c>
      <c r="G3322" s="88" t="s">
        <v>1924</v>
      </c>
      <c r="H3322" s="88" t="s">
        <v>596</v>
      </c>
    </row>
    <row r="3323" spans="1:8" ht="28.8" x14ac:dyDescent="0.3">
      <c r="A3323" s="88" t="s">
        <v>716</v>
      </c>
      <c r="B3323" s="88">
        <v>124</v>
      </c>
      <c r="C3323" s="88">
        <v>16</v>
      </c>
      <c r="D3323" s="88" t="s">
        <v>208</v>
      </c>
      <c r="E3323" s="88" t="s">
        <v>2397</v>
      </c>
      <c r="F3323" s="88" t="s">
        <v>2398</v>
      </c>
      <c r="G3323" s="88" t="s">
        <v>1921</v>
      </c>
      <c r="H3323" s="88" t="s">
        <v>596</v>
      </c>
    </row>
    <row r="3324" spans="1:8" ht="28.8" x14ac:dyDescent="0.3">
      <c r="A3324" s="88" t="s">
        <v>716</v>
      </c>
      <c r="B3324" s="88">
        <v>124</v>
      </c>
      <c r="C3324" s="88">
        <v>17</v>
      </c>
      <c r="D3324" s="88" t="s">
        <v>208</v>
      </c>
      <c r="E3324" s="88" t="s">
        <v>2399</v>
      </c>
      <c r="F3324" s="88" t="s">
        <v>2400</v>
      </c>
      <c r="G3324" s="88" t="s">
        <v>1924</v>
      </c>
      <c r="H3324" s="88" t="s">
        <v>596</v>
      </c>
    </row>
    <row r="3325" spans="1:8" ht="28.8" x14ac:dyDescent="0.3">
      <c r="A3325" s="88" t="s">
        <v>716</v>
      </c>
      <c r="B3325" s="88">
        <v>125</v>
      </c>
      <c r="C3325" s="88">
        <v>16</v>
      </c>
      <c r="D3325" s="88" t="s">
        <v>209</v>
      </c>
      <c r="E3325" s="88" t="s">
        <v>2401</v>
      </c>
      <c r="F3325" s="88" t="s">
        <v>2402</v>
      </c>
      <c r="G3325" s="88" t="s">
        <v>1921</v>
      </c>
      <c r="H3325" s="88" t="s">
        <v>596</v>
      </c>
    </row>
    <row r="3326" spans="1:8" ht="28.8" x14ac:dyDescent="0.3">
      <c r="A3326" s="88" t="s">
        <v>716</v>
      </c>
      <c r="B3326" s="88">
        <v>125</v>
      </c>
      <c r="C3326" s="88">
        <v>17</v>
      </c>
      <c r="D3326" s="88" t="s">
        <v>209</v>
      </c>
      <c r="E3326" s="88" t="s">
        <v>2403</v>
      </c>
      <c r="F3326" s="88" t="s">
        <v>2404</v>
      </c>
      <c r="G3326" s="88" t="s">
        <v>1924</v>
      </c>
      <c r="H3326" s="88" t="s">
        <v>596</v>
      </c>
    </row>
    <row r="3327" spans="1:8" ht="28.8" x14ac:dyDescent="0.3">
      <c r="A3327" s="88" t="s">
        <v>716</v>
      </c>
      <c r="B3327" s="88">
        <v>126</v>
      </c>
      <c r="C3327" s="88">
        <v>16</v>
      </c>
      <c r="D3327" s="88" t="s">
        <v>210</v>
      </c>
      <c r="E3327" s="88" t="s">
        <v>2405</v>
      </c>
      <c r="F3327" s="88" t="s">
        <v>2406</v>
      </c>
      <c r="G3327" s="88" t="s">
        <v>1921</v>
      </c>
      <c r="H3327" s="88" t="s">
        <v>596</v>
      </c>
    </row>
    <row r="3328" spans="1:8" ht="28.8" x14ac:dyDescent="0.3">
      <c r="A3328" s="88" t="s">
        <v>716</v>
      </c>
      <c r="B3328" s="88">
        <v>126</v>
      </c>
      <c r="C3328" s="88">
        <v>17</v>
      </c>
      <c r="D3328" s="88" t="s">
        <v>210</v>
      </c>
      <c r="E3328" s="88" t="s">
        <v>2407</v>
      </c>
      <c r="F3328" s="88" t="s">
        <v>2408</v>
      </c>
      <c r="G3328" s="88" t="s">
        <v>1924</v>
      </c>
      <c r="H3328" s="88" t="s">
        <v>596</v>
      </c>
    </row>
    <row r="3329" spans="1:8" ht="28.8" x14ac:dyDescent="0.3">
      <c r="A3329" s="88" t="s">
        <v>716</v>
      </c>
      <c r="B3329" s="88">
        <v>127</v>
      </c>
      <c r="C3329" s="88">
        <v>16</v>
      </c>
      <c r="D3329" s="88" t="s">
        <v>211</v>
      </c>
      <c r="E3329" s="88" t="s">
        <v>2409</v>
      </c>
      <c r="F3329" s="88" t="s">
        <v>2410</v>
      </c>
      <c r="G3329" s="88" t="s">
        <v>1921</v>
      </c>
      <c r="H3329" s="88" t="s">
        <v>596</v>
      </c>
    </row>
    <row r="3330" spans="1:8" ht="28.8" x14ac:dyDescent="0.3">
      <c r="A3330" s="88" t="s">
        <v>716</v>
      </c>
      <c r="B3330" s="88">
        <v>127</v>
      </c>
      <c r="C3330" s="88">
        <v>17</v>
      </c>
      <c r="D3330" s="88" t="s">
        <v>211</v>
      </c>
      <c r="E3330" s="88" t="s">
        <v>2411</v>
      </c>
      <c r="F3330" s="88" t="s">
        <v>2412</v>
      </c>
      <c r="G3330" s="88" t="s">
        <v>1924</v>
      </c>
      <c r="H3330" s="88" t="s">
        <v>596</v>
      </c>
    </row>
    <row r="3331" spans="1:8" ht="28.8" x14ac:dyDescent="0.3">
      <c r="A3331" s="88" t="s">
        <v>716</v>
      </c>
      <c r="B3331" s="88">
        <v>128</v>
      </c>
      <c r="C3331" s="88">
        <v>16</v>
      </c>
      <c r="D3331" s="88" t="s">
        <v>212</v>
      </c>
      <c r="E3331" s="88" t="s">
        <v>2413</v>
      </c>
      <c r="F3331" s="88" t="s">
        <v>2414</v>
      </c>
      <c r="G3331" s="88" t="s">
        <v>1921</v>
      </c>
      <c r="H3331" s="88" t="s">
        <v>596</v>
      </c>
    </row>
    <row r="3332" spans="1:8" ht="28.8" x14ac:dyDescent="0.3">
      <c r="A3332" s="88" t="s">
        <v>716</v>
      </c>
      <c r="B3332" s="88">
        <v>128</v>
      </c>
      <c r="C3332" s="88">
        <v>17</v>
      </c>
      <c r="D3332" s="88" t="s">
        <v>212</v>
      </c>
      <c r="E3332" s="88" t="s">
        <v>2415</v>
      </c>
      <c r="F3332" s="88" t="s">
        <v>2416</v>
      </c>
      <c r="G3332" s="88" t="s">
        <v>1924</v>
      </c>
      <c r="H3332" s="88" t="s">
        <v>596</v>
      </c>
    </row>
    <row r="3333" spans="1:8" ht="28.8" x14ac:dyDescent="0.3">
      <c r="A3333" s="88" t="s">
        <v>716</v>
      </c>
      <c r="B3333" s="88">
        <v>129</v>
      </c>
      <c r="C3333" s="88">
        <v>16</v>
      </c>
      <c r="D3333" s="88" t="s">
        <v>213</v>
      </c>
      <c r="E3333" s="88" t="s">
        <v>2417</v>
      </c>
      <c r="F3333" s="88" t="s">
        <v>2418</v>
      </c>
      <c r="G3333" s="88" t="s">
        <v>1921</v>
      </c>
      <c r="H3333" s="88" t="s">
        <v>596</v>
      </c>
    </row>
    <row r="3334" spans="1:8" ht="28.8" x14ac:dyDescent="0.3">
      <c r="A3334" s="88" t="s">
        <v>716</v>
      </c>
      <c r="B3334" s="88">
        <v>129</v>
      </c>
      <c r="C3334" s="88">
        <v>17</v>
      </c>
      <c r="D3334" s="88" t="s">
        <v>213</v>
      </c>
      <c r="E3334" s="88" t="s">
        <v>2419</v>
      </c>
      <c r="F3334" s="88" t="s">
        <v>2420</v>
      </c>
      <c r="G3334" s="88" t="s">
        <v>1924</v>
      </c>
      <c r="H3334" s="88" t="s">
        <v>596</v>
      </c>
    </row>
    <row r="3335" spans="1:8" ht="28.8" x14ac:dyDescent="0.3">
      <c r="A3335" s="88" t="s">
        <v>716</v>
      </c>
      <c r="B3335" s="88">
        <v>130</v>
      </c>
      <c r="C3335" s="88">
        <v>16</v>
      </c>
      <c r="D3335" s="88" t="s">
        <v>214</v>
      </c>
      <c r="E3335" s="88" t="s">
        <v>2421</v>
      </c>
      <c r="F3335" s="88" t="s">
        <v>2422</v>
      </c>
      <c r="G3335" s="88" t="s">
        <v>1921</v>
      </c>
      <c r="H3335" s="88" t="s">
        <v>596</v>
      </c>
    </row>
    <row r="3336" spans="1:8" ht="28.8" x14ac:dyDescent="0.3">
      <c r="A3336" s="88" t="s">
        <v>716</v>
      </c>
      <c r="B3336" s="88">
        <v>130</v>
      </c>
      <c r="C3336" s="88">
        <v>17</v>
      </c>
      <c r="D3336" s="88" t="s">
        <v>214</v>
      </c>
      <c r="E3336" s="88" t="s">
        <v>2423</v>
      </c>
      <c r="F3336" s="88" t="s">
        <v>2424</v>
      </c>
      <c r="G3336" s="88" t="s">
        <v>1924</v>
      </c>
      <c r="H3336" s="88" t="s">
        <v>596</v>
      </c>
    </row>
    <row r="3337" spans="1:8" ht="28.8" x14ac:dyDescent="0.3">
      <c r="A3337" s="88" t="s">
        <v>716</v>
      </c>
      <c r="B3337" s="88">
        <v>131</v>
      </c>
      <c r="C3337" s="88">
        <v>16</v>
      </c>
      <c r="D3337" s="88" t="s">
        <v>215</v>
      </c>
      <c r="E3337" s="88" t="s">
        <v>2425</v>
      </c>
      <c r="F3337" s="88" t="s">
        <v>2426</v>
      </c>
      <c r="G3337" s="88" t="s">
        <v>1921</v>
      </c>
      <c r="H3337" s="88" t="s">
        <v>596</v>
      </c>
    </row>
    <row r="3338" spans="1:8" ht="28.8" x14ac:dyDescent="0.3">
      <c r="A3338" s="88" t="s">
        <v>716</v>
      </c>
      <c r="B3338" s="88">
        <v>131</v>
      </c>
      <c r="C3338" s="88">
        <v>17</v>
      </c>
      <c r="D3338" s="88" t="s">
        <v>215</v>
      </c>
      <c r="E3338" s="88" t="s">
        <v>2427</v>
      </c>
      <c r="F3338" s="88" t="s">
        <v>2428</v>
      </c>
      <c r="G3338" s="88" t="s">
        <v>1924</v>
      </c>
      <c r="H3338" s="88" t="s">
        <v>596</v>
      </c>
    </row>
    <row r="3339" spans="1:8" ht="28.8" x14ac:dyDescent="0.3">
      <c r="A3339" s="88" t="s">
        <v>716</v>
      </c>
      <c r="B3339" s="88">
        <v>132</v>
      </c>
      <c r="C3339" s="88">
        <v>16</v>
      </c>
      <c r="D3339" s="88" t="s">
        <v>216</v>
      </c>
      <c r="E3339" s="88" t="s">
        <v>2429</v>
      </c>
      <c r="F3339" s="88" t="s">
        <v>2430</v>
      </c>
      <c r="G3339" s="88" t="s">
        <v>1921</v>
      </c>
      <c r="H3339" s="88" t="s">
        <v>596</v>
      </c>
    </row>
    <row r="3340" spans="1:8" ht="28.8" x14ac:dyDescent="0.3">
      <c r="A3340" s="88" t="s">
        <v>716</v>
      </c>
      <c r="B3340" s="88">
        <v>132</v>
      </c>
      <c r="C3340" s="88">
        <v>17</v>
      </c>
      <c r="D3340" s="88" t="s">
        <v>216</v>
      </c>
      <c r="E3340" s="88" t="s">
        <v>2431</v>
      </c>
      <c r="F3340" s="88" t="s">
        <v>2432</v>
      </c>
      <c r="G3340" s="88" t="s">
        <v>1924</v>
      </c>
      <c r="H3340" s="88" t="s">
        <v>596</v>
      </c>
    </row>
    <row r="3341" spans="1:8" ht="28.8" x14ac:dyDescent="0.3">
      <c r="A3341" s="88" t="s">
        <v>716</v>
      </c>
      <c r="B3341" s="88">
        <v>133</v>
      </c>
      <c r="C3341" s="88">
        <v>16</v>
      </c>
      <c r="D3341" s="88" t="s">
        <v>217</v>
      </c>
      <c r="E3341" s="88" t="s">
        <v>2433</v>
      </c>
      <c r="F3341" s="88" t="s">
        <v>2434</v>
      </c>
      <c r="G3341" s="88" t="s">
        <v>1921</v>
      </c>
      <c r="H3341" s="88" t="s">
        <v>596</v>
      </c>
    </row>
    <row r="3342" spans="1:8" ht="28.8" x14ac:dyDescent="0.3">
      <c r="A3342" s="88" t="s">
        <v>716</v>
      </c>
      <c r="B3342" s="88">
        <v>133</v>
      </c>
      <c r="C3342" s="88">
        <v>17</v>
      </c>
      <c r="D3342" s="88" t="s">
        <v>217</v>
      </c>
      <c r="E3342" s="88" t="s">
        <v>2435</v>
      </c>
      <c r="F3342" s="88" t="s">
        <v>2436</v>
      </c>
      <c r="G3342" s="88" t="s">
        <v>1924</v>
      </c>
      <c r="H3342" s="88" t="s">
        <v>596</v>
      </c>
    </row>
    <row r="3343" spans="1:8" ht="28.8" x14ac:dyDescent="0.3">
      <c r="A3343" s="88" t="s">
        <v>716</v>
      </c>
      <c r="B3343" s="88">
        <v>134</v>
      </c>
      <c r="C3343" s="88">
        <v>16</v>
      </c>
      <c r="D3343" s="88" t="s">
        <v>218</v>
      </c>
      <c r="E3343" s="88" t="s">
        <v>2437</v>
      </c>
      <c r="F3343" s="88" t="s">
        <v>2438</v>
      </c>
      <c r="G3343" s="88" t="s">
        <v>1921</v>
      </c>
      <c r="H3343" s="88" t="s">
        <v>596</v>
      </c>
    </row>
    <row r="3344" spans="1:8" ht="28.8" x14ac:dyDescent="0.3">
      <c r="A3344" s="88" t="s">
        <v>716</v>
      </c>
      <c r="B3344" s="88">
        <v>134</v>
      </c>
      <c r="C3344" s="88">
        <v>17</v>
      </c>
      <c r="D3344" s="88" t="s">
        <v>218</v>
      </c>
      <c r="E3344" s="88" t="s">
        <v>2439</v>
      </c>
      <c r="F3344" s="88" t="s">
        <v>2440</v>
      </c>
      <c r="G3344" s="88" t="s">
        <v>1924</v>
      </c>
      <c r="H3344" s="88" t="s">
        <v>596</v>
      </c>
    </row>
    <row r="3345" spans="1:8" ht="28.8" x14ac:dyDescent="0.3">
      <c r="A3345" s="88" t="s">
        <v>716</v>
      </c>
      <c r="B3345" s="88">
        <v>135</v>
      </c>
      <c r="C3345" s="88">
        <v>16</v>
      </c>
      <c r="D3345" s="88" t="s">
        <v>219</v>
      </c>
      <c r="E3345" s="88" t="s">
        <v>2441</v>
      </c>
      <c r="F3345" s="88" t="s">
        <v>2442</v>
      </c>
      <c r="G3345" s="88" t="s">
        <v>1921</v>
      </c>
      <c r="H3345" s="88" t="s">
        <v>596</v>
      </c>
    </row>
    <row r="3346" spans="1:8" ht="28.8" x14ac:dyDescent="0.3">
      <c r="A3346" s="88" t="s">
        <v>716</v>
      </c>
      <c r="B3346" s="88">
        <v>135</v>
      </c>
      <c r="C3346" s="88">
        <v>17</v>
      </c>
      <c r="D3346" s="88" t="s">
        <v>219</v>
      </c>
      <c r="E3346" s="88" t="s">
        <v>2443</v>
      </c>
      <c r="F3346" s="88" t="s">
        <v>2444</v>
      </c>
      <c r="G3346" s="88" t="s">
        <v>1924</v>
      </c>
      <c r="H3346" s="88" t="s">
        <v>596</v>
      </c>
    </row>
    <row r="3347" spans="1:8" ht="28.8" x14ac:dyDescent="0.3">
      <c r="A3347" s="88" t="s">
        <v>716</v>
      </c>
      <c r="B3347" s="88">
        <v>136</v>
      </c>
      <c r="C3347" s="88">
        <v>16</v>
      </c>
      <c r="D3347" s="88" t="s">
        <v>220</v>
      </c>
      <c r="E3347" s="88" t="s">
        <v>2445</v>
      </c>
      <c r="F3347" s="88" t="s">
        <v>2446</v>
      </c>
      <c r="G3347" s="88" t="s">
        <v>1921</v>
      </c>
      <c r="H3347" s="88" t="s">
        <v>596</v>
      </c>
    </row>
    <row r="3348" spans="1:8" ht="28.8" x14ac:dyDescent="0.3">
      <c r="A3348" s="88" t="s">
        <v>716</v>
      </c>
      <c r="B3348" s="88">
        <v>136</v>
      </c>
      <c r="C3348" s="88">
        <v>17</v>
      </c>
      <c r="D3348" s="88" t="s">
        <v>220</v>
      </c>
      <c r="E3348" s="88" t="s">
        <v>2447</v>
      </c>
      <c r="F3348" s="88" t="s">
        <v>2448</v>
      </c>
      <c r="G3348" s="88" t="s">
        <v>1924</v>
      </c>
      <c r="H3348" s="88" t="s">
        <v>596</v>
      </c>
    </row>
    <row r="3349" spans="1:8" ht="28.8" x14ac:dyDescent="0.3">
      <c r="A3349" s="88" t="s">
        <v>716</v>
      </c>
      <c r="B3349" s="88">
        <v>137</v>
      </c>
      <c r="C3349" s="88">
        <v>16</v>
      </c>
      <c r="D3349" s="88" t="s">
        <v>221</v>
      </c>
      <c r="E3349" s="88" t="s">
        <v>2449</v>
      </c>
      <c r="F3349" s="88" t="s">
        <v>2450</v>
      </c>
      <c r="G3349" s="88" t="s">
        <v>1921</v>
      </c>
      <c r="H3349" s="88" t="s">
        <v>596</v>
      </c>
    </row>
    <row r="3350" spans="1:8" ht="28.8" x14ac:dyDescent="0.3">
      <c r="A3350" s="88" t="s">
        <v>716</v>
      </c>
      <c r="B3350" s="88">
        <v>137</v>
      </c>
      <c r="C3350" s="88">
        <v>17</v>
      </c>
      <c r="D3350" s="88" t="s">
        <v>221</v>
      </c>
      <c r="E3350" s="88" t="s">
        <v>2451</v>
      </c>
      <c r="F3350" s="88" t="s">
        <v>2452</v>
      </c>
      <c r="G3350" s="88" t="s">
        <v>1924</v>
      </c>
      <c r="H3350" s="88" t="s">
        <v>596</v>
      </c>
    </row>
    <row r="3351" spans="1:8" ht="28.8" x14ac:dyDescent="0.3">
      <c r="A3351" s="88" t="s">
        <v>716</v>
      </c>
      <c r="B3351" s="88">
        <v>138</v>
      </c>
      <c r="C3351" s="88">
        <v>16</v>
      </c>
      <c r="D3351" s="88" t="s">
        <v>222</v>
      </c>
      <c r="E3351" s="88" t="s">
        <v>2453</v>
      </c>
      <c r="F3351" s="88" t="s">
        <v>2454</v>
      </c>
      <c r="G3351" s="88" t="s">
        <v>1921</v>
      </c>
      <c r="H3351" s="88" t="s">
        <v>596</v>
      </c>
    </row>
    <row r="3352" spans="1:8" ht="28.8" x14ac:dyDescent="0.3">
      <c r="A3352" s="88" t="s">
        <v>716</v>
      </c>
      <c r="B3352" s="88">
        <v>138</v>
      </c>
      <c r="C3352" s="88">
        <v>17</v>
      </c>
      <c r="D3352" s="88" t="s">
        <v>222</v>
      </c>
      <c r="E3352" s="88" t="s">
        <v>2455</v>
      </c>
      <c r="F3352" s="88" t="s">
        <v>2456</v>
      </c>
      <c r="G3352" s="88" t="s">
        <v>1924</v>
      </c>
      <c r="H3352" s="88" t="s">
        <v>596</v>
      </c>
    </row>
    <row r="3353" spans="1:8" ht="28.8" x14ac:dyDescent="0.3">
      <c r="A3353" s="88" t="s">
        <v>716</v>
      </c>
      <c r="B3353" s="88">
        <v>139</v>
      </c>
      <c r="C3353" s="88">
        <v>16</v>
      </c>
      <c r="D3353" s="88" t="s">
        <v>223</v>
      </c>
      <c r="E3353" s="88" t="s">
        <v>2457</v>
      </c>
      <c r="F3353" s="88" t="s">
        <v>2458</v>
      </c>
      <c r="G3353" s="88" t="s">
        <v>1921</v>
      </c>
      <c r="H3353" s="88" t="s">
        <v>596</v>
      </c>
    </row>
    <row r="3354" spans="1:8" ht="28.8" x14ac:dyDescent="0.3">
      <c r="A3354" s="88" t="s">
        <v>716</v>
      </c>
      <c r="B3354" s="88">
        <v>139</v>
      </c>
      <c r="C3354" s="88">
        <v>17</v>
      </c>
      <c r="D3354" s="88" t="s">
        <v>223</v>
      </c>
      <c r="E3354" s="88" t="s">
        <v>2459</v>
      </c>
      <c r="F3354" s="88" t="s">
        <v>2460</v>
      </c>
      <c r="G3354" s="88" t="s">
        <v>1924</v>
      </c>
      <c r="H3354" s="88" t="s">
        <v>596</v>
      </c>
    </row>
    <row r="3355" spans="1:8" ht="28.8" x14ac:dyDescent="0.3">
      <c r="A3355" s="88" t="s">
        <v>716</v>
      </c>
      <c r="B3355" s="88">
        <v>140</v>
      </c>
      <c r="C3355" s="88">
        <v>16</v>
      </c>
      <c r="D3355" s="88" t="s">
        <v>224</v>
      </c>
      <c r="E3355" s="88" t="s">
        <v>2461</v>
      </c>
      <c r="F3355" s="88" t="s">
        <v>2462</v>
      </c>
      <c r="G3355" s="88" t="s">
        <v>1921</v>
      </c>
      <c r="H3355" s="88" t="s">
        <v>596</v>
      </c>
    </row>
    <row r="3356" spans="1:8" ht="28.8" x14ac:dyDescent="0.3">
      <c r="A3356" s="88" t="s">
        <v>716</v>
      </c>
      <c r="B3356" s="88">
        <v>140</v>
      </c>
      <c r="C3356" s="88">
        <v>17</v>
      </c>
      <c r="D3356" s="88" t="s">
        <v>224</v>
      </c>
      <c r="E3356" s="88" t="s">
        <v>2463</v>
      </c>
      <c r="F3356" s="88" t="s">
        <v>2464</v>
      </c>
      <c r="G3356" s="88" t="s">
        <v>1924</v>
      </c>
      <c r="H3356" s="88" t="s">
        <v>596</v>
      </c>
    </row>
    <row r="3357" spans="1:8" ht="28.8" x14ac:dyDescent="0.3">
      <c r="A3357" s="88" t="s">
        <v>716</v>
      </c>
      <c r="B3357" s="88">
        <v>141</v>
      </c>
      <c r="C3357" s="88">
        <v>16</v>
      </c>
      <c r="D3357" s="88" t="s">
        <v>225</v>
      </c>
      <c r="E3357" s="88" t="s">
        <v>2465</v>
      </c>
      <c r="F3357" s="88" t="s">
        <v>2466</v>
      </c>
      <c r="G3357" s="88" t="s">
        <v>1921</v>
      </c>
      <c r="H3357" s="88" t="s">
        <v>596</v>
      </c>
    </row>
    <row r="3358" spans="1:8" ht="28.8" x14ac:dyDescent="0.3">
      <c r="A3358" s="88" t="s">
        <v>716</v>
      </c>
      <c r="B3358" s="88">
        <v>141</v>
      </c>
      <c r="C3358" s="88">
        <v>17</v>
      </c>
      <c r="D3358" s="88" t="s">
        <v>225</v>
      </c>
      <c r="E3358" s="88" t="s">
        <v>2467</v>
      </c>
      <c r="F3358" s="88" t="s">
        <v>2468</v>
      </c>
      <c r="G3358" s="88" t="s">
        <v>1924</v>
      </c>
      <c r="H3358" s="88" t="s">
        <v>596</v>
      </c>
    </row>
    <row r="3359" spans="1:8" ht="28.8" x14ac:dyDescent="0.3">
      <c r="A3359" s="88" t="s">
        <v>716</v>
      </c>
      <c r="B3359" s="88">
        <v>142</v>
      </c>
      <c r="C3359" s="88">
        <v>16</v>
      </c>
      <c r="D3359" s="88" t="s">
        <v>226</v>
      </c>
      <c r="E3359" s="88" t="s">
        <v>2469</v>
      </c>
      <c r="F3359" s="88" t="s">
        <v>2470</v>
      </c>
      <c r="G3359" s="88" t="s">
        <v>1921</v>
      </c>
      <c r="H3359" s="88" t="s">
        <v>596</v>
      </c>
    </row>
    <row r="3360" spans="1:8" ht="28.8" x14ac:dyDescent="0.3">
      <c r="A3360" s="88" t="s">
        <v>716</v>
      </c>
      <c r="B3360" s="88">
        <v>142</v>
      </c>
      <c r="C3360" s="88">
        <v>17</v>
      </c>
      <c r="D3360" s="88" t="s">
        <v>226</v>
      </c>
      <c r="E3360" s="88" t="s">
        <v>2471</v>
      </c>
      <c r="F3360" s="88" t="s">
        <v>2472</v>
      </c>
      <c r="G3360" s="88" t="s">
        <v>1924</v>
      </c>
      <c r="H3360" s="88" t="s">
        <v>596</v>
      </c>
    </row>
    <row r="3361" spans="1:8" ht="28.8" x14ac:dyDescent="0.3">
      <c r="A3361" s="88" t="s">
        <v>716</v>
      </c>
      <c r="B3361" s="88">
        <v>143</v>
      </c>
      <c r="C3361" s="88">
        <v>16</v>
      </c>
      <c r="D3361" s="88" t="s">
        <v>227</v>
      </c>
      <c r="E3361" s="88" t="s">
        <v>2473</v>
      </c>
      <c r="F3361" s="88" t="s">
        <v>2474</v>
      </c>
      <c r="G3361" s="88" t="s">
        <v>1921</v>
      </c>
      <c r="H3361" s="88" t="s">
        <v>596</v>
      </c>
    </row>
    <row r="3362" spans="1:8" ht="28.8" x14ac:dyDescent="0.3">
      <c r="A3362" s="88" t="s">
        <v>716</v>
      </c>
      <c r="B3362" s="88">
        <v>143</v>
      </c>
      <c r="C3362" s="88">
        <v>17</v>
      </c>
      <c r="D3362" s="88" t="s">
        <v>227</v>
      </c>
      <c r="E3362" s="88" t="s">
        <v>2475</v>
      </c>
      <c r="F3362" s="88" t="s">
        <v>2476</v>
      </c>
      <c r="G3362" s="88" t="s">
        <v>1924</v>
      </c>
      <c r="H3362" s="88" t="s">
        <v>596</v>
      </c>
    </row>
    <row r="3363" spans="1:8" ht="28.8" x14ac:dyDescent="0.3">
      <c r="A3363" s="88" t="s">
        <v>716</v>
      </c>
      <c r="B3363" s="88">
        <v>144</v>
      </c>
      <c r="C3363" s="88">
        <v>16</v>
      </c>
      <c r="D3363" s="88" t="s">
        <v>228</v>
      </c>
      <c r="E3363" s="88" t="s">
        <v>2477</v>
      </c>
      <c r="F3363" s="88" t="s">
        <v>2478</v>
      </c>
      <c r="G3363" s="88" t="s">
        <v>1921</v>
      </c>
      <c r="H3363" s="88" t="s">
        <v>596</v>
      </c>
    </row>
    <row r="3364" spans="1:8" ht="28.8" x14ac:dyDescent="0.3">
      <c r="A3364" s="88" t="s">
        <v>716</v>
      </c>
      <c r="B3364" s="88">
        <v>144</v>
      </c>
      <c r="C3364" s="88">
        <v>17</v>
      </c>
      <c r="D3364" s="88" t="s">
        <v>228</v>
      </c>
      <c r="E3364" s="88" t="s">
        <v>2479</v>
      </c>
      <c r="F3364" s="88" t="s">
        <v>2480</v>
      </c>
      <c r="G3364" s="88" t="s">
        <v>1924</v>
      </c>
      <c r="H3364" s="88" t="s">
        <v>596</v>
      </c>
    </row>
    <row r="3365" spans="1:8" ht="28.8" x14ac:dyDescent="0.3">
      <c r="A3365" s="88" t="s">
        <v>716</v>
      </c>
      <c r="B3365" s="88">
        <v>145</v>
      </c>
      <c r="C3365" s="88">
        <v>16</v>
      </c>
      <c r="D3365" s="88" t="s">
        <v>229</v>
      </c>
      <c r="E3365" s="88" t="s">
        <v>2481</v>
      </c>
      <c r="F3365" s="88" t="s">
        <v>2482</v>
      </c>
      <c r="G3365" s="88" t="s">
        <v>1921</v>
      </c>
      <c r="H3365" s="88" t="s">
        <v>596</v>
      </c>
    </row>
    <row r="3366" spans="1:8" ht="28.8" x14ac:dyDescent="0.3">
      <c r="A3366" s="88" t="s">
        <v>716</v>
      </c>
      <c r="B3366" s="88">
        <v>145</v>
      </c>
      <c r="C3366" s="88">
        <v>17</v>
      </c>
      <c r="D3366" s="88" t="s">
        <v>229</v>
      </c>
      <c r="E3366" s="88" t="s">
        <v>2483</v>
      </c>
      <c r="F3366" s="88" t="s">
        <v>2484</v>
      </c>
      <c r="G3366" s="88" t="s">
        <v>1924</v>
      </c>
      <c r="H3366" s="88" t="s">
        <v>596</v>
      </c>
    </row>
    <row r="3367" spans="1:8" ht="28.8" x14ac:dyDescent="0.3">
      <c r="A3367" s="88" t="s">
        <v>716</v>
      </c>
      <c r="B3367" s="88">
        <v>146</v>
      </c>
      <c r="C3367" s="88">
        <v>16</v>
      </c>
      <c r="D3367" s="88" t="s">
        <v>230</v>
      </c>
      <c r="E3367" s="88" t="s">
        <v>2485</v>
      </c>
      <c r="F3367" s="88" t="s">
        <v>2486</v>
      </c>
      <c r="G3367" s="88" t="s">
        <v>1921</v>
      </c>
      <c r="H3367" s="88" t="s">
        <v>596</v>
      </c>
    </row>
    <row r="3368" spans="1:8" ht="28.8" x14ac:dyDescent="0.3">
      <c r="A3368" s="88" t="s">
        <v>716</v>
      </c>
      <c r="B3368" s="88">
        <v>146</v>
      </c>
      <c r="C3368" s="88">
        <v>17</v>
      </c>
      <c r="D3368" s="88" t="s">
        <v>230</v>
      </c>
      <c r="E3368" s="88" t="s">
        <v>2487</v>
      </c>
      <c r="F3368" s="88" t="s">
        <v>2488</v>
      </c>
      <c r="G3368" s="88" t="s">
        <v>1924</v>
      </c>
      <c r="H3368" s="88" t="s">
        <v>596</v>
      </c>
    </row>
    <row r="3369" spans="1:8" ht="28.8" x14ac:dyDescent="0.3">
      <c r="A3369" s="88" t="s">
        <v>716</v>
      </c>
      <c r="B3369" s="88">
        <v>147</v>
      </c>
      <c r="C3369" s="88">
        <v>16</v>
      </c>
      <c r="D3369" s="88" t="s">
        <v>231</v>
      </c>
      <c r="E3369" s="88" t="s">
        <v>2489</v>
      </c>
      <c r="F3369" s="88" t="s">
        <v>2490</v>
      </c>
      <c r="G3369" s="88" t="s">
        <v>1921</v>
      </c>
      <c r="H3369" s="88" t="s">
        <v>596</v>
      </c>
    </row>
    <row r="3370" spans="1:8" ht="28.8" x14ac:dyDescent="0.3">
      <c r="A3370" s="88" t="s">
        <v>716</v>
      </c>
      <c r="B3370" s="88">
        <v>147</v>
      </c>
      <c r="C3370" s="88">
        <v>17</v>
      </c>
      <c r="D3370" s="88" t="s">
        <v>231</v>
      </c>
      <c r="E3370" s="88" t="s">
        <v>2491</v>
      </c>
      <c r="F3370" s="88" t="s">
        <v>2492</v>
      </c>
      <c r="G3370" s="88" t="s">
        <v>1924</v>
      </c>
      <c r="H3370" s="88" t="s">
        <v>596</v>
      </c>
    </row>
    <row r="3371" spans="1:8" ht="28.8" x14ac:dyDescent="0.3">
      <c r="A3371" s="88" t="s">
        <v>716</v>
      </c>
      <c r="B3371" s="88">
        <v>148</v>
      </c>
      <c r="C3371" s="88">
        <v>16</v>
      </c>
      <c r="D3371" s="88" t="s">
        <v>232</v>
      </c>
      <c r="E3371" s="88" t="s">
        <v>2493</v>
      </c>
      <c r="F3371" s="88" t="s">
        <v>2494</v>
      </c>
      <c r="G3371" s="88" t="s">
        <v>1921</v>
      </c>
      <c r="H3371" s="88" t="s">
        <v>596</v>
      </c>
    </row>
    <row r="3372" spans="1:8" ht="28.8" x14ac:dyDescent="0.3">
      <c r="A3372" s="88" t="s">
        <v>716</v>
      </c>
      <c r="B3372" s="88">
        <v>148</v>
      </c>
      <c r="C3372" s="88">
        <v>17</v>
      </c>
      <c r="D3372" s="88" t="s">
        <v>232</v>
      </c>
      <c r="E3372" s="88" t="s">
        <v>2495</v>
      </c>
      <c r="F3372" s="88" t="s">
        <v>2496</v>
      </c>
      <c r="G3372" s="88" t="s">
        <v>1924</v>
      </c>
      <c r="H3372" s="88" t="s">
        <v>596</v>
      </c>
    </row>
    <row r="3373" spans="1:8" ht="28.8" x14ac:dyDescent="0.3">
      <c r="A3373" s="88" t="s">
        <v>716</v>
      </c>
      <c r="B3373" s="88">
        <v>149</v>
      </c>
      <c r="C3373" s="88">
        <v>16</v>
      </c>
      <c r="D3373" s="88" t="s">
        <v>233</v>
      </c>
      <c r="E3373" s="88" t="s">
        <v>2497</v>
      </c>
      <c r="F3373" s="88" t="s">
        <v>2498</v>
      </c>
      <c r="G3373" s="88" t="s">
        <v>1921</v>
      </c>
      <c r="H3373" s="88" t="s">
        <v>596</v>
      </c>
    </row>
    <row r="3374" spans="1:8" ht="28.8" x14ac:dyDescent="0.3">
      <c r="A3374" s="88" t="s">
        <v>716</v>
      </c>
      <c r="B3374" s="88">
        <v>149</v>
      </c>
      <c r="C3374" s="88">
        <v>17</v>
      </c>
      <c r="D3374" s="88" t="s">
        <v>233</v>
      </c>
      <c r="E3374" s="88" t="s">
        <v>2499</v>
      </c>
      <c r="F3374" s="88" t="s">
        <v>2500</v>
      </c>
      <c r="G3374" s="88" t="s">
        <v>1924</v>
      </c>
      <c r="H3374" s="88" t="s">
        <v>596</v>
      </c>
    </row>
    <row r="3375" spans="1:8" ht="28.8" x14ac:dyDescent="0.3">
      <c r="A3375" s="88" t="s">
        <v>716</v>
      </c>
      <c r="B3375" s="88">
        <v>150</v>
      </c>
      <c r="C3375" s="88">
        <v>16</v>
      </c>
      <c r="D3375" s="88" t="s">
        <v>234</v>
      </c>
      <c r="E3375" s="88" t="s">
        <v>2501</v>
      </c>
      <c r="F3375" s="88" t="s">
        <v>2502</v>
      </c>
      <c r="G3375" s="88" t="s">
        <v>1921</v>
      </c>
      <c r="H3375" s="88" t="s">
        <v>596</v>
      </c>
    </row>
    <row r="3376" spans="1:8" ht="28.8" x14ac:dyDescent="0.3">
      <c r="A3376" s="88" t="s">
        <v>716</v>
      </c>
      <c r="B3376" s="88">
        <v>150</v>
      </c>
      <c r="C3376" s="88">
        <v>17</v>
      </c>
      <c r="D3376" s="88" t="s">
        <v>234</v>
      </c>
      <c r="E3376" s="88" t="s">
        <v>2503</v>
      </c>
      <c r="F3376" s="88" t="s">
        <v>2504</v>
      </c>
      <c r="G3376" s="88" t="s">
        <v>1924</v>
      </c>
      <c r="H3376" s="88" t="s">
        <v>596</v>
      </c>
    </row>
    <row r="3377" spans="1:8" ht="28.8" x14ac:dyDescent="0.3">
      <c r="A3377" s="88" t="s">
        <v>716</v>
      </c>
      <c r="B3377" s="88">
        <v>151</v>
      </c>
      <c r="C3377" s="88">
        <v>16</v>
      </c>
      <c r="D3377" s="88" t="s">
        <v>235</v>
      </c>
      <c r="E3377" s="88" t="s">
        <v>2505</v>
      </c>
      <c r="F3377" s="88" t="s">
        <v>2506</v>
      </c>
      <c r="G3377" s="88" t="s">
        <v>1921</v>
      </c>
      <c r="H3377" s="88" t="s">
        <v>596</v>
      </c>
    </row>
    <row r="3378" spans="1:8" ht="28.8" x14ac:dyDescent="0.3">
      <c r="A3378" s="88" t="s">
        <v>716</v>
      </c>
      <c r="B3378" s="88">
        <v>151</v>
      </c>
      <c r="C3378" s="88">
        <v>17</v>
      </c>
      <c r="D3378" s="88" t="s">
        <v>235</v>
      </c>
      <c r="E3378" s="88" t="s">
        <v>2507</v>
      </c>
      <c r="F3378" s="88" t="s">
        <v>2508</v>
      </c>
      <c r="G3378" s="88" t="s">
        <v>1924</v>
      </c>
      <c r="H3378" s="88" t="s">
        <v>596</v>
      </c>
    </row>
    <row r="3379" spans="1:8" ht="28.8" x14ac:dyDescent="0.3">
      <c r="A3379" s="88" t="s">
        <v>716</v>
      </c>
      <c r="B3379" s="88">
        <v>152</v>
      </c>
      <c r="C3379" s="88">
        <v>16</v>
      </c>
      <c r="D3379" s="88" t="s">
        <v>236</v>
      </c>
      <c r="E3379" s="88" t="s">
        <v>2509</v>
      </c>
      <c r="F3379" s="88" t="s">
        <v>2510</v>
      </c>
      <c r="G3379" s="88" t="s">
        <v>1921</v>
      </c>
      <c r="H3379" s="88" t="s">
        <v>596</v>
      </c>
    </row>
    <row r="3380" spans="1:8" ht="28.8" x14ac:dyDescent="0.3">
      <c r="A3380" s="88" t="s">
        <v>716</v>
      </c>
      <c r="B3380" s="88">
        <v>152</v>
      </c>
      <c r="C3380" s="88">
        <v>17</v>
      </c>
      <c r="D3380" s="88" t="s">
        <v>236</v>
      </c>
      <c r="E3380" s="88" t="s">
        <v>2511</v>
      </c>
      <c r="F3380" s="88" t="s">
        <v>2512</v>
      </c>
      <c r="G3380" s="88" t="s">
        <v>1924</v>
      </c>
      <c r="H3380" s="88" t="s">
        <v>596</v>
      </c>
    </row>
    <row r="3381" spans="1:8" ht="28.8" x14ac:dyDescent="0.3">
      <c r="A3381" s="88" t="s">
        <v>716</v>
      </c>
      <c r="B3381" s="88">
        <v>153</v>
      </c>
      <c r="C3381" s="88">
        <v>16</v>
      </c>
      <c r="D3381" s="88" t="s">
        <v>237</v>
      </c>
      <c r="E3381" s="88" t="s">
        <v>2513</v>
      </c>
      <c r="F3381" s="88" t="s">
        <v>2514</v>
      </c>
      <c r="G3381" s="88" t="s">
        <v>1921</v>
      </c>
      <c r="H3381" s="88" t="s">
        <v>596</v>
      </c>
    </row>
    <row r="3382" spans="1:8" ht="28.8" x14ac:dyDescent="0.3">
      <c r="A3382" s="88" t="s">
        <v>716</v>
      </c>
      <c r="B3382" s="88">
        <v>153</v>
      </c>
      <c r="C3382" s="88">
        <v>17</v>
      </c>
      <c r="D3382" s="88" t="s">
        <v>237</v>
      </c>
      <c r="E3382" s="88" t="s">
        <v>2515</v>
      </c>
      <c r="F3382" s="88" t="s">
        <v>2516</v>
      </c>
      <c r="G3382" s="88" t="s">
        <v>1924</v>
      </c>
      <c r="H3382" s="88" t="s">
        <v>596</v>
      </c>
    </row>
    <row r="3383" spans="1:8" ht="28.8" x14ac:dyDescent="0.3">
      <c r="A3383" s="88" t="s">
        <v>716</v>
      </c>
      <c r="B3383" s="88">
        <v>154</v>
      </c>
      <c r="C3383" s="88">
        <v>16</v>
      </c>
      <c r="D3383" s="88" t="s">
        <v>238</v>
      </c>
      <c r="E3383" s="88" t="s">
        <v>2517</v>
      </c>
      <c r="F3383" s="88" t="s">
        <v>2518</v>
      </c>
      <c r="G3383" s="88" t="s">
        <v>1921</v>
      </c>
      <c r="H3383" s="88" t="s">
        <v>596</v>
      </c>
    </row>
    <row r="3384" spans="1:8" ht="28.8" x14ac:dyDescent="0.3">
      <c r="A3384" s="88" t="s">
        <v>716</v>
      </c>
      <c r="B3384" s="88">
        <v>154</v>
      </c>
      <c r="C3384" s="88">
        <v>17</v>
      </c>
      <c r="D3384" s="88" t="s">
        <v>238</v>
      </c>
      <c r="E3384" s="88" t="s">
        <v>2519</v>
      </c>
      <c r="F3384" s="88" t="s">
        <v>2520</v>
      </c>
      <c r="G3384" s="88" t="s">
        <v>1924</v>
      </c>
      <c r="H3384" s="88" t="s">
        <v>596</v>
      </c>
    </row>
    <row r="3385" spans="1:8" ht="28.8" x14ac:dyDescent="0.3">
      <c r="A3385" s="88" t="s">
        <v>716</v>
      </c>
      <c r="B3385" s="88">
        <v>155</v>
      </c>
      <c r="C3385" s="88">
        <v>16</v>
      </c>
      <c r="D3385" s="88" t="s">
        <v>239</v>
      </c>
      <c r="E3385" s="88" t="s">
        <v>2521</v>
      </c>
      <c r="F3385" s="88" t="s">
        <v>2522</v>
      </c>
      <c r="G3385" s="88" t="s">
        <v>1921</v>
      </c>
      <c r="H3385" s="88" t="s">
        <v>596</v>
      </c>
    </row>
    <row r="3386" spans="1:8" ht="28.8" x14ac:dyDescent="0.3">
      <c r="A3386" s="88" t="s">
        <v>716</v>
      </c>
      <c r="B3386" s="88">
        <v>155</v>
      </c>
      <c r="C3386" s="88">
        <v>17</v>
      </c>
      <c r="D3386" s="88" t="s">
        <v>239</v>
      </c>
      <c r="E3386" s="88" t="s">
        <v>2523</v>
      </c>
      <c r="F3386" s="88" t="s">
        <v>2524</v>
      </c>
      <c r="G3386" s="88" t="s">
        <v>1924</v>
      </c>
      <c r="H3386" s="88" t="s">
        <v>596</v>
      </c>
    </row>
    <row r="3387" spans="1:8" ht="28.8" x14ac:dyDescent="0.3">
      <c r="A3387" s="88" t="s">
        <v>716</v>
      </c>
      <c r="B3387" s="88">
        <v>156</v>
      </c>
      <c r="C3387" s="88">
        <v>16</v>
      </c>
      <c r="D3387" s="88" t="s">
        <v>240</v>
      </c>
      <c r="E3387" s="88" t="s">
        <v>2525</v>
      </c>
      <c r="F3387" s="88" t="s">
        <v>2526</v>
      </c>
      <c r="G3387" s="88" t="s">
        <v>1921</v>
      </c>
      <c r="H3387" s="88" t="s">
        <v>596</v>
      </c>
    </row>
    <row r="3388" spans="1:8" ht="28.8" x14ac:dyDescent="0.3">
      <c r="A3388" s="88" t="s">
        <v>716</v>
      </c>
      <c r="B3388" s="88">
        <v>156</v>
      </c>
      <c r="C3388" s="88">
        <v>17</v>
      </c>
      <c r="D3388" s="88" t="s">
        <v>240</v>
      </c>
      <c r="E3388" s="88" t="s">
        <v>2527</v>
      </c>
      <c r="F3388" s="88" t="s">
        <v>2528</v>
      </c>
      <c r="G3388" s="88" t="s">
        <v>1924</v>
      </c>
      <c r="H3388" s="88" t="s">
        <v>596</v>
      </c>
    </row>
    <row r="3389" spans="1:8" ht="28.8" x14ac:dyDescent="0.3">
      <c r="A3389" s="88" t="s">
        <v>716</v>
      </c>
      <c r="B3389" s="88">
        <v>157</v>
      </c>
      <c r="C3389" s="88">
        <v>16</v>
      </c>
      <c r="D3389" s="88" t="s">
        <v>241</v>
      </c>
      <c r="E3389" s="88" t="s">
        <v>2529</v>
      </c>
      <c r="F3389" s="88" t="s">
        <v>2530</v>
      </c>
      <c r="G3389" s="88" t="s">
        <v>1921</v>
      </c>
      <c r="H3389" s="88" t="s">
        <v>596</v>
      </c>
    </row>
    <row r="3390" spans="1:8" ht="28.8" x14ac:dyDescent="0.3">
      <c r="A3390" s="88" t="s">
        <v>716</v>
      </c>
      <c r="B3390" s="88">
        <v>157</v>
      </c>
      <c r="C3390" s="88">
        <v>17</v>
      </c>
      <c r="D3390" s="88" t="s">
        <v>241</v>
      </c>
      <c r="E3390" s="88" t="s">
        <v>2531</v>
      </c>
      <c r="F3390" s="88" t="s">
        <v>2532</v>
      </c>
      <c r="G3390" s="88" t="s">
        <v>1924</v>
      </c>
      <c r="H3390" s="88" t="s">
        <v>596</v>
      </c>
    </row>
    <row r="3391" spans="1:8" ht="28.8" x14ac:dyDescent="0.3">
      <c r="A3391" s="88" t="s">
        <v>716</v>
      </c>
      <c r="B3391" s="88">
        <v>158</v>
      </c>
      <c r="C3391" s="88">
        <v>16</v>
      </c>
      <c r="D3391" s="88" t="s">
        <v>242</v>
      </c>
      <c r="E3391" s="88" t="s">
        <v>2533</v>
      </c>
      <c r="F3391" s="88" t="s">
        <v>2534</v>
      </c>
      <c r="G3391" s="88" t="s">
        <v>1921</v>
      </c>
      <c r="H3391" s="88" t="s">
        <v>596</v>
      </c>
    </row>
    <row r="3392" spans="1:8" ht="28.8" x14ac:dyDescent="0.3">
      <c r="A3392" s="88" t="s">
        <v>716</v>
      </c>
      <c r="B3392" s="88">
        <v>158</v>
      </c>
      <c r="C3392" s="88">
        <v>17</v>
      </c>
      <c r="D3392" s="88" t="s">
        <v>242</v>
      </c>
      <c r="E3392" s="88" t="s">
        <v>2535</v>
      </c>
      <c r="F3392" s="88" t="s">
        <v>2536</v>
      </c>
      <c r="G3392" s="88" t="s">
        <v>1924</v>
      </c>
      <c r="H3392" s="88" t="s">
        <v>596</v>
      </c>
    </row>
    <row r="3393" spans="1:8" ht="28.8" x14ac:dyDescent="0.3">
      <c r="A3393" s="88" t="s">
        <v>716</v>
      </c>
      <c r="B3393" s="88">
        <v>159</v>
      </c>
      <c r="C3393" s="88">
        <v>16</v>
      </c>
      <c r="D3393" s="88" t="s">
        <v>243</v>
      </c>
      <c r="E3393" s="88" t="s">
        <v>2537</v>
      </c>
      <c r="F3393" s="88" t="s">
        <v>2538</v>
      </c>
      <c r="G3393" s="88" t="s">
        <v>1921</v>
      </c>
      <c r="H3393" s="88" t="s">
        <v>596</v>
      </c>
    </row>
    <row r="3394" spans="1:8" ht="28.8" x14ac:dyDescent="0.3">
      <c r="A3394" s="88" t="s">
        <v>716</v>
      </c>
      <c r="B3394" s="88">
        <v>159</v>
      </c>
      <c r="C3394" s="88">
        <v>17</v>
      </c>
      <c r="D3394" s="88" t="s">
        <v>243</v>
      </c>
      <c r="E3394" s="88" t="s">
        <v>2539</v>
      </c>
      <c r="F3394" s="88" t="s">
        <v>2540</v>
      </c>
      <c r="G3394" s="88" t="s">
        <v>1924</v>
      </c>
      <c r="H3394" s="88" t="s">
        <v>596</v>
      </c>
    </row>
    <row r="3395" spans="1:8" ht="28.8" x14ac:dyDescent="0.3">
      <c r="A3395" s="88" t="s">
        <v>716</v>
      </c>
      <c r="B3395" s="88">
        <v>160</v>
      </c>
      <c r="C3395" s="88">
        <v>16</v>
      </c>
      <c r="D3395" s="88" t="s">
        <v>244</v>
      </c>
      <c r="E3395" s="88" t="s">
        <v>2541</v>
      </c>
      <c r="F3395" s="88" t="s">
        <v>2542</v>
      </c>
      <c r="G3395" s="88" t="s">
        <v>1921</v>
      </c>
      <c r="H3395" s="88" t="s">
        <v>596</v>
      </c>
    </row>
    <row r="3396" spans="1:8" ht="28.8" x14ac:dyDescent="0.3">
      <c r="A3396" s="88" t="s">
        <v>716</v>
      </c>
      <c r="B3396" s="88">
        <v>160</v>
      </c>
      <c r="C3396" s="88">
        <v>17</v>
      </c>
      <c r="D3396" s="88" t="s">
        <v>244</v>
      </c>
      <c r="E3396" s="88" t="s">
        <v>2543</v>
      </c>
      <c r="F3396" s="88" t="s">
        <v>2544</v>
      </c>
      <c r="G3396" s="88" t="s">
        <v>1924</v>
      </c>
      <c r="H3396" s="88" t="s">
        <v>596</v>
      </c>
    </row>
    <row r="3397" spans="1:8" ht="28.8" x14ac:dyDescent="0.3">
      <c r="A3397" s="88" t="s">
        <v>716</v>
      </c>
      <c r="B3397" s="88">
        <v>161</v>
      </c>
      <c r="C3397" s="88">
        <v>16</v>
      </c>
      <c r="D3397" s="88" t="s">
        <v>245</v>
      </c>
      <c r="E3397" s="88" t="s">
        <v>2545</v>
      </c>
      <c r="F3397" s="88" t="s">
        <v>2546</v>
      </c>
      <c r="G3397" s="88" t="s">
        <v>1921</v>
      </c>
      <c r="H3397" s="88" t="s">
        <v>596</v>
      </c>
    </row>
    <row r="3398" spans="1:8" ht="28.8" x14ac:dyDescent="0.3">
      <c r="A3398" s="88" t="s">
        <v>716</v>
      </c>
      <c r="B3398" s="88">
        <v>161</v>
      </c>
      <c r="C3398" s="88">
        <v>17</v>
      </c>
      <c r="D3398" s="88" t="s">
        <v>245</v>
      </c>
      <c r="E3398" s="88" t="s">
        <v>2547</v>
      </c>
      <c r="F3398" s="88" t="s">
        <v>2548</v>
      </c>
      <c r="G3398" s="88" t="s">
        <v>1924</v>
      </c>
      <c r="H3398" s="88" t="s">
        <v>596</v>
      </c>
    </row>
    <row r="3399" spans="1:8" ht="28.8" x14ac:dyDescent="0.3">
      <c r="A3399" s="88" t="s">
        <v>716</v>
      </c>
      <c r="B3399" s="88">
        <v>162</v>
      </c>
      <c r="C3399" s="88">
        <v>16</v>
      </c>
      <c r="D3399" s="88" t="s">
        <v>246</v>
      </c>
      <c r="E3399" s="88" t="s">
        <v>622</v>
      </c>
      <c r="F3399" s="88" t="s">
        <v>2549</v>
      </c>
      <c r="G3399" s="88" t="s">
        <v>1921</v>
      </c>
      <c r="H3399" s="88" t="s">
        <v>596</v>
      </c>
    </row>
    <row r="3400" spans="1:8" ht="28.8" x14ac:dyDescent="0.3">
      <c r="A3400" s="88" t="s">
        <v>716</v>
      </c>
      <c r="B3400" s="88">
        <v>162</v>
      </c>
      <c r="C3400" s="88">
        <v>17</v>
      </c>
      <c r="D3400" s="88" t="s">
        <v>246</v>
      </c>
      <c r="E3400" s="88" t="s">
        <v>624</v>
      </c>
      <c r="F3400" s="88" t="s">
        <v>2550</v>
      </c>
      <c r="G3400" s="88" t="s">
        <v>1924</v>
      </c>
      <c r="H3400" s="88" t="s">
        <v>596</v>
      </c>
    </row>
    <row r="3401" spans="1:8" ht="28.8" x14ac:dyDescent="0.3">
      <c r="A3401" s="88" t="s">
        <v>716</v>
      </c>
      <c r="B3401" s="88">
        <v>163</v>
      </c>
      <c r="C3401" s="88">
        <v>16</v>
      </c>
      <c r="D3401" s="88" t="s">
        <v>247</v>
      </c>
      <c r="E3401" s="88" t="s">
        <v>621</v>
      </c>
      <c r="F3401" s="88" t="s">
        <v>2551</v>
      </c>
      <c r="G3401" s="88" t="s">
        <v>1921</v>
      </c>
      <c r="H3401" s="88" t="s">
        <v>596</v>
      </c>
    </row>
    <row r="3402" spans="1:8" ht="28.8" x14ac:dyDescent="0.3">
      <c r="A3402" s="88" t="s">
        <v>716</v>
      </c>
      <c r="B3402" s="88">
        <v>163</v>
      </c>
      <c r="C3402" s="88">
        <v>17</v>
      </c>
      <c r="D3402" s="88" t="s">
        <v>247</v>
      </c>
      <c r="E3402" s="88" t="s">
        <v>623</v>
      </c>
      <c r="F3402" s="88" t="s">
        <v>2552</v>
      </c>
      <c r="G3402" s="88" t="s">
        <v>1924</v>
      </c>
      <c r="H3402" s="88" t="s">
        <v>596</v>
      </c>
    </row>
    <row r="3403" spans="1:8" ht="28.8" x14ac:dyDescent="0.3">
      <c r="A3403" s="88" t="s">
        <v>716</v>
      </c>
      <c r="B3403" s="88">
        <v>164</v>
      </c>
      <c r="C3403" s="88">
        <v>16</v>
      </c>
      <c r="D3403" s="88" t="s">
        <v>248</v>
      </c>
      <c r="E3403" s="88" t="s">
        <v>690</v>
      </c>
      <c r="F3403" s="88" t="s">
        <v>2553</v>
      </c>
      <c r="G3403" s="88" t="s">
        <v>1921</v>
      </c>
      <c r="H3403" s="88" t="s">
        <v>596</v>
      </c>
    </row>
    <row r="3404" spans="1:8" ht="28.8" x14ac:dyDescent="0.3">
      <c r="A3404" s="88" t="s">
        <v>716</v>
      </c>
      <c r="B3404" s="88">
        <v>164</v>
      </c>
      <c r="C3404" s="88">
        <v>17</v>
      </c>
      <c r="D3404" s="88" t="s">
        <v>248</v>
      </c>
      <c r="E3404" s="88" t="s">
        <v>691</v>
      </c>
      <c r="F3404" s="88" t="s">
        <v>2554</v>
      </c>
      <c r="G3404" s="88" t="s">
        <v>1924</v>
      </c>
      <c r="H3404" s="88" t="s">
        <v>596</v>
      </c>
    </row>
    <row r="3405" spans="1:8" ht="28.8" x14ac:dyDescent="0.3">
      <c r="A3405" s="88" t="s">
        <v>716</v>
      </c>
      <c r="B3405" s="88">
        <v>165</v>
      </c>
      <c r="C3405" s="88">
        <v>16</v>
      </c>
      <c r="D3405" s="88" t="s">
        <v>249</v>
      </c>
      <c r="E3405" s="88" t="s">
        <v>2555</v>
      </c>
      <c r="F3405" s="88" t="s">
        <v>2556</v>
      </c>
      <c r="G3405" s="88" t="s">
        <v>1921</v>
      </c>
      <c r="H3405" s="88" t="s">
        <v>596</v>
      </c>
    </row>
    <row r="3406" spans="1:8" ht="28.8" x14ac:dyDescent="0.3">
      <c r="A3406" s="88" t="s">
        <v>716</v>
      </c>
      <c r="B3406" s="88">
        <v>165</v>
      </c>
      <c r="C3406" s="88">
        <v>17</v>
      </c>
      <c r="D3406" s="88" t="s">
        <v>249</v>
      </c>
      <c r="E3406" s="88" t="s">
        <v>2557</v>
      </c>
      <c r="F3406" s="88" t="s">
        <v>2558</v>
      </c>
      <c r="G3406" s="88" t="s">
        <v>1924</v>
      </c>
      <c r="H3406" s="88" t="s">
        <v>596</v>
      </c>
    </row>
    <row r="3407" spans="1:8" ht="28.8" x14ac:dyDescent="0.3">
      <c r="A3407" s="88" t="s">
        <v>716</v>
      </c>
      <c r="B3407" s="88">
        <v>166</v>
      </c>
      <c r="C3407" s="88">
        <v>16</v>
      </c>
      <c r="D3407" s="88" t="s">
        <v>250</v>
      </c>
      <c r="E3407" s="88" t="s">
        <v>2559</v>
      </c>
      <c r="F3407" s="88" t="s">
        <v>2560</v>
      </c>
      <c r="G3407" s="88" t="s">
        <v>1921</v>
      </c>
      <c r="H3407" s="88" t="s">
        <v>596</v>
      </c>
    </row>
    <row r="3408" spans="1:8" ht="28.8" x14ac:dyDescent="0.3">
      <c r="A3408" s="88" t="s">
        <v>716</v>
      </c>
      <c r="B3408" s="88">
        <v>166</v>
      </c>
      <c r="C3408" s="88">
        <v>17</v>
      </c>
      <c r="D3408" s="88" t="s">
        <v>250</v>
      </c>
      <c r="E3408" s="88" t="s">
        <v>2561</v>
      </c>
      <c r="F3408" s="88" t="s">
        <v>2562</v>
      </c>
      <c r="G3408" s="88" t="s">
        <v>1924</v>
      </c>
      <c r="H3408" s="88" t="s">
        <v>596</v>
      </c>
    </row>
    <row r="3409" spans="1:8" ht="28.8" x14ac:dyDescent="0.3">
      <c r="A3409" s="88" t="s">
        <v>716</v>
      </c>
      <c r="B3409" s="88">
        <v>167</v>
      </c>
      <c r="C3409" s="88">
        <v>16</v>
      </c>
      <c r="D3409" s="88" t="s">
        <v>251</v>
      </c>
      <c r="E3409" s="88" t="s">
        <v>2563</v>
      </c>
      <c r="F3409" s="88" t="s">
        <v>2564</v>
      </c>
      <c r="G3409" s="88" t="s">
        <v>1921</v>
      </c>
      <c r="H3409" s="88" t="s">
        <v>596</v>
      </c>
    </row>
    <row r="3410" spans="1:8" ht="28.8" x14ac:dyDescent="0.3">
      <c r="A3410" s="88" t="s">
        <v>716</v>
      </c>
      <c r="B3410" s="88">
        <v>167</v>
      </c>
      <c r="C3410" s="88">
        <v>17</v>
      </c>
      <c r="D3410" s="88" t="s">
        <v>251</v>
      </c>
      <c r="E3410" s="88" t="s">
        <v>2565</v>
      </c>
      <c r="F3410" s="88" t="s">
        <v>2566</v>
      </c>
      <c r="G3410" s="88" t="s">
        <v>1924</v>
      </c>
      <c r="H3410" s="88" t="s">
        <v>596</v>
      </c>
    </row>
    <row r="3411" spans="1:8" ht="28.8" x14ac:dyDescent="0.3">
      <c r="A3411" s="88" t="s">
        <v>716</v>
      </c>
      <c r="B3411" s="88">
        <v>168</v>
      </c>
      <c r="C3411" s="88">
        <v>16</v>
      </c>
      <c r="D3411" s="88" t="s">
        <v>252</v>
      </c>
      <c r="E3411" s="88" t="s">
        <v>2567</v>
      </c>
      <c r="F3411" s="88" t="s">
        <v>2568</v>
      </c>
      <c r="G3411" s="88" t="s">
        <v>1921</v>
      </c>
      <c r="H3411" s="88" t="s">
        <v>596</v>
      </c>
    </row>
    <row r="3412" spans="1:8" ht="28.8" x14ac:dyDescent="0.3">
      <c r="A3412" s="88" t="s">
        <v>716</v>
      </c>
      <c r="B3412" s="88">
        <v>168</v>
      </c>
      <c r="C3412" s="88">
        <v>17</v>
      </c>
      <c r="D3412" s="88" t="s">
        <v>252</v>
      </c>
      <c r="E3412" s="88" t="s">
        <v>2569</v>
      </c>
      <c r="F3412" s="88" t="s">
        <v>2570</v>
      </c>
      <c r="G3412" s="88" t="s">
        <v>1924</v>
      </c>
      <c r="H3412" s="88" t="s">
        <v>596</v>
      </c>
    </row>
    <row r="3413" spans="1:8" ht="28.8" x14ac:dyDescent="0.3">
      <c r="A3413" s="88" t="s">
        <v>716</v>
      </c>
      <c r="B3413" s="88">
        <v>169</v>
      </c>
      <c r="C3413" s="88">
        <v>16</v>
      </c>
      <c r="D3413" s="88" t="s">
        <v>253</v>
      </c>
      <c r="E3413" s="88" t="s">
        <v>2571</v>
      </c>
      <c r="F3413" s="88" t="s">
        <v>2572</v>
      </c>
      <c r="G3413" s="88" t="s">
        <v>1921</v>
      </c>
      <c r="H3413" s="88" t="s">
        <v>596</v>
      </c>
    </row>
    <row r="3414" spans="1:8" ht="28.8" x14ac:dyDescent="0.3">
      <c r="A3414" s="88" t="s">
        <v>716</v>
      </c>
      <c r="B3414" s="88">
        <v>169</v>
      </c>
      <c r="C3414" s="88">
        <v>17</v>
      </c>
      <c r="D3414" s="88" t="s">
        <v>253</v>
      </c>
      <c r="E3414" s="88" t="s">
        <v>2573</v>
      </c>
      <c r="F3414" s="88" t="s">
        <v>2574</v>
      </c>
      <c r="G3414" s="88" t="s">
        <v>1924</v>
      </c>
      <c r="H3414" s="88" t="s">
        <v>596</v>
      </c>
    </row>
    <row r="3415" spans="1:8" ht="28.8" x14ac:dyDescent="0.3">
      <c r="A3415" s="88" t="s">
        <v>716</v>
      </c>
      <c r="B3415" s="88">
        <v>170</v>
      </c>
      <c r="C3415" s="88">
        <v>16</v>
      </c>
      <c r="D3415" s="88" t="s">
        <v>254</v>
      </c>
      <c r="E3415" s="88" t="s">
        <v>2575</v>
      </c>
      <c r="F3415" s="88" t="s">
        <v>2576</v>
      </c>
      <c r="G3415" s="88" t="s">
        <v>1921</v>
      </c>
      <c r="H3415" s="88" t="s">
        <v>596</v>
      </c>
    </row>
    <row r="3416" spans="1:8" ht="28.8" x14ac:dyDescent="0.3">
      <c r="A3416" s="88" t="s">
        <v>716</v>
      </c>
      <c r="B3416" s="88">
        <v>170</v>
      </c>
      <c r="C3416" s="88">
        <v>17</v>
      </c>
      <c r="D3416" s="88" t="s">
        <v>254</v>
      </c>
      <c r="E3416" s="88" t="s">
        <v>2577</v>
      </c>
      <c r="F3416" s="88" t="s">
        <v>2578</v>
      </c>
      <c r="G3416" s="88" t="s">
        <v>1924</v>
      </c>
      <c r="H3416" s="88" t="s">
        <v>596</v>
      </c>
    </row>
    <row r="3417" spans="1:8" ht="28.8" x14ac:dyDescent="0.3">
      <c r="A3417" s="88" t="s">
        <v>716</v>
      </c>
      <c r="B3417" s="88">
        <v>171</v>
      </c>
      <c r="C3417" s="88">
        <v>16</v>
      </c>
      <c r="D3417" s="88" t="s">
        <v>255</v>
      </c>
      <c r="E3417" s="88" t="s">
        <v>2579</v>
      </c>
      <c r="F3417" s="88" t="s">
        <v>2580</v>
      </c>
      <c r="G3417" s="88" t="s">
        <v>1921</v>
      </c>
      <c r="H3417" s="88" t="s">
        <v>596</v>
      </c>
    </row>
    <row r="3418" spans="1:8" ht="28.8" x14ac:dyDescent="0.3">
      <c r="A3418" s="88" t="s">
        <v>716</v>
      </c>
      <c r="B3418" s="88">
        <v>171</v>
      </c>
      <c r="C3418" s="88">
        <v>17</v>
      </c>
      <c r="D3418" s="88" t="s">
        <v>255</v>
      </c>
      <c r="E3418" s="88" t="s">
        <v>2581</v>
      </c>
      <c r="F3418" s="88" t="s">
        <v>2582</v>
      </c>
      <c r="G3418" s="88" t="s">
        <v>1924</v>
      </c>
      <c r="H3418" s="88" t="s">
        <v>596</v>
      </c>
    </row>
    <row r="3419" spans="1:8" ht="28.8" x14ac:dyDescent="0.3">
      <c r="A3419" s="88" t="s">
        <v>716</v>
      </c>
      <c r="B3419" s="88">
        <v>172</v>
      </c>
      <c r="C3419" s="88">
        <v>16</v>
      </c>
      <c r="D3419" s="88" t="s">
        <v>256</v>
      </c>
      <c r="E3419" s="88" t="s">
        <v>2583</v>
      </c>
      <c r="F3419" s="88" t="s">
        <v>2584</v>
      </c>
      <c r="G3419" s="88" t="s">
        <v>1921</v>
      </c>
      <c r="H3419" s="88" t="s">
        <v>596</v>
      </c>
    </row>
    <row r="3420" spans="1:8" ht="28.8" x14ac:dyDescent="0.3">
      <c r="A3420" s="88" t="s">
        <v>716</v>
      </c>
      <c r="B3420" s="88">
        <v>172</v>
      </c>
      <c r="C3420" s="88">
        <v>17</v>
      </c>
      <c r="D3420" s="88" t="s">
        <v>256</v>
      </c>
      <c r="E3420" s="88" t="s">
        <v>2585</v>
      </c>
      <c r="F3420" s="88" t="s">
        <v>2586</v>
      </c>
      <c r="G3420" s="88" t="s">
        <v>1924</v>
      </c>
      <c r="H3420" s="88" t="s">
        <v>596</v>
      </c>
    </row>
    <row r="3421" spans="1:8" ht="28.8" x14ac:dyDescent="0.3">
      <c r="A3421" s="88" t="s">
        <v>716</v>
      </c>
      <c r="B3421" s="88">
        <v>173</v>
      </c>
      <c r="C3421" s="88">
        <v>16</v>
      </c>
      <c r="D3421" s="88" t="s">
        <v>257</v>
      </c>
      <c r="E3421" s="88" t="s">
        <v>2587</v>
      </c>
      <c r="F3421" s="88" t="s">
        <v>2588</v>
      </c>
      <c r="G3421" s="88" t="s">
        <v>1921</v>
      </c>
      <c r="H3421" s="88" t="s">
        <v>596</v>
      </c>
    </row>
    <row r="3422" spans="1:8" ht="28.8" x14ac:dyDescent="0.3">
      <c r="A3422" s="88" t="s">
        <v>716</v>
      </c>
      <c r="B3422" s="88">
        <v>173</v>
      </c>
      <c r="C3422" s="88">
        <v>17</v>
      </c>
      <c r="D3422" s="88" t="s">
        <v>257</v>
      </c>
      <c r="E3422" s="88" t="s">
        <v>2589</v>
      </c>
      <c r="F3422" s="88" t="s">
        <v>2590</v>
      </c>
      <c r="G3422" s="88" t="s">
        <v>1924</v>
      </c>
      <c r="H3422" s="88" t="s">
        <v>596</v>
      </c>
    </row>
    <row r="3423" spans="1:8" ht="28.8" x14ac:dyDescent="0.3">
      <c r="A3423" s="88" t="s">
        <v>716</v>
      </c>
      <c r="B3423" s="88">
        <v>174</v>
      </c>
      <c r="C3423" s="88">
        <v>16</v>
      </c>
      <c r="D3423" s="88" t="s">
        <v>258</v>
      </c>
      <c r="E3423" s="88" t="s">
        <v>2591</v>
      </c>
      <c r="F3423" s="88" t="s">
        <v>2592</v>
      </c>
      <c r="G3423" s="88" t="s">
        <v>1921</v>
      </c>
      <c r="H3423" s="88" t="s">
        <v>596</v>
      </c>
    </row>
    <row r="3424" spans="1:8" ht="28.8" x14ac:dyDescent="0.3">
      <c r="A3424" s="88" t="s">
        <v>716</v>
      </c>
      <c r="B3424" s="88">
        <v>174</v>
      </c>
      <c r="C3424" s="88">
        <v>17</v>
      </c>
      <c r="D3424" s="88" t="s">
        <v>258</v>
      </c>
      <c r="E3424" s="88" t="s">
        <v>2593</v>
      </c>
      <c r="F3424" s="88" t="s">
        <v>2594</v>
      </c>
      <c r="G3424" s="88" t="s">
        <v>1924</v>
      </c>
      <c r="H3424" s="88" t="s">
        <v>596</v>
      </c>
    </row>
    <row r="3425" spans="1:8" ht="28.8" x14ac:dyDescent="0.3">
      <c r="A3425" s="88" t="s">
        <v>716</v>
      </c>
      <c r="B3425" s="88">
        <v>175</v>
      </c>
      <c r="C3425" s="88">
        <v>16</v>
      </c>
      <c r="D3425" s="88" t="s">
        <v>259</v>
      </c>
      <c r="E3425" s="88" t="s">
        <v>2595</v>
      </c>
      <c r="F3425" s="88" t="s">
        <v>2596</v>
      </c>
      <c r="G3425" s="88" t="s">
        <v>1921</v>
      </c>
      <c r="H3425" s="88" t="s">
        <v>596</v>
      </c>
    </row>
    <row r="3426" spans="1:8" ht="28.8" x14ac:dyDescent="0.3">
      <c r="A3426" s="88" t="s">
        <v>716</v>
      </c>
      <c r="B3426" s="88">
        <v>175</v>
      </c>
      <c r="C3426" s="88">
        <v>17</v>
      </c>
      <c r="D3426" s="88" t="s">
        <v>259</v>
      </c>
      <c r="E3426" s="88" t="s">
        <v>2597</v>
      </c>
      <c r="F3426" s="88" t="s">
        <v>2598</v>
      </c>
      <c r="G3426" s="88" t="s">
        <v>1924</v>
      </c>
      <c r="H3426" s="88" t="s">
        <v>596</v>
      </c>
    </row>
    <row r="3427" spans="1:8" ht="28.8" x14ac:dyDescent="0.3">
      <c r="A3427" s="88" t="s">
        <v>716</v>
      </c>
      <c r="B3427" s="88">
        <v>176</v>
      </c>
      <c r="C3427" s="88">
        <v>16</v>
      </c>
      <c r="D3427" s="88" t="s">
        <v>260</v>
      </c>
      <c r="E3427" s="88" t="s">
        <v>2599</v>
      </c>
      <c r="F3427" s="88" t="s">
        <v>2600</v>
      </c>
      <c r="G3427" s="88" t="s">
        <v>1921</v>
      </c>
      <c r="H3427" s="88" t="s">
        <v>596</v>
      </c>
    </row>
    <row r="3428" spans="1:8" ht="28.8" x14ac:dyDescent="0.3">
      <c r="A3428" s="88" t="s">
        <v>716</v>
      </c>
      <c r="B3428" s="88">
        <v>176</v>
      </c>
      <c r="C3428" s="88">
        <v>17</v>
      </c>
      <c r="D3428" s="88" t="s">
        <v>260</v>
      </c>
      <c r="E3428" s="88" t="s">
        <v>2601</v>
      </c>
      <c r="F3428" s="88" t="s">
        <v>2602</v>
      </c>
      <c r="G3428" s="88" t="s">
        <v>1924</v>
      </c>
      <c r="H3428" s="88" t="s">
        <v>596</v>
      </c>
    </row>
    <row r="3429" spans="1:8" ht="28.8" x14ac:dyDescent="0.3">
      <c r="A3429" s="88" t="s">
        <v>716</v>
      </c>
      <c r="B3429" s="88">
        <v>177</v>
      </c>
      <c r="C3429" s="88">
        <v>16</v>
      </c>
      <c r="D3429" s="88" t="s">
        <v>261</v>
      </c>
      <c r="E3429" s="88" t="s">
        <v>2603</v>
      </c>
      <c r="F3429" s="88" t="s">
        <v>2604</v>
      </c>
      <c r="G3429" s="88" t="s">
        <v>1921</v>
      </c>
      <c r="H3429" s="88" t="s">
        <v>596</v>
      </c>
    </row>
    <row r="3430" spans="1:8" ht="28.8" x14ac:dyDescent="0.3">
      <c r="A3430" s="88" t="s">
        <v>716</v>
      </c>
      <c r="B3430" s="88">
        <v>177</v>
      </c>
      <c r="C3430" s="88">
        <v>17</v>
      </c>
      <c r="D3430" s="88" t="s">
        <v>261</v>
      </c>
      <c r="E3430" s="88" t="s">
        <v>2605</v>
      </c>
      <c r="F3430" s="88" t="s">
        <v>2606</v>
      </c>
      <c r="G3430" s="88" t="s">
        <v>1924</v>
      </c>
      <c r="H3430" s="88" t="s">
        <v>596</v>
      </c>
    </row>
    <row r="3431" spans="1:8" ht="28.8" x14ac:dyDescent="0.3">
      <c r="A3431" s="88" t="s">
        <v>716</v>
      </c>
      <c r="B3431" s="88">
        <v>178</v>
      </c>
      <c r="C3431" s="88">
        <v>16</v>
      </c>
      <c r="D3431" s="88" t="s">
        <v>262</v>
      </c>
      <c r="E3431" s="88" t="s">
        <v>2607</v>
      </c>
      <c r="F3431" s="88" t="s">
        <v>2608</v>
      </c>
      <c r="G3431" s="88" t="s">
        <v>1921</v>
      </c>
      <c r="H3431" s="88" t="s">
        <v>596</v>
      </c>
    </row>
    <row r="3432" spans="1:8" ht="28.8" x14ac:dyDescent="0.3">
      <c r="A3432" s="88" t="s">
        <v>716</v>
      </c>
      <c r="B3432" s="88">
        <v>178</v>
      </c>
      <c r="C3432" s="88">
        <v>17</v>
      </c>
      <c r="D3432" s="88" t="s">
        <v>262</v>
      </c>
      <c r="E3432" s="88" t="s">
        <v>2609</v>
      </c>
      <c r="F3432" s="88" t="s">
        <v>2610</v>
      </c>
      <c r="G3432" s="88" t="s">
        <v>1924</v>
      </c>
      <c r="H3432" s="88" t="s">
        <v>596</v>
      </c>
    </row>
    <row r="3433" spans="1:8" ht="28.8" x14ac:dyDescent="0.3">
      <c r="A3433" s="88" t="s">
        <v>716</v>
      </c>
      <c r="B3433" s="88">
        <v>179</v>
      </c>
      <c r="C3433" s="88">
        <v>16</v>
      </c>
      <c r="D3433" s="88" t="s">
        <v>263</v>
      </c>
      <c r="E3433" s="88" t="s">
        <v>2611</v>
      </c>
      <c r="F3433" s="88" t="s">
        <v>2612</v>
      </c>
      <c r="G3433" s="88" t="s">
        <v>1921</v>
      </c>
      <c r="H3433" s="88" t="s">
        <v>596</v>
      </c>
    </row>
    <row r="3434" spans="1:8" ht="28.8" x14ac:dyDescent="0.3">
      <c r="A3434" s="88" t="s">
        <v>716</v>
      </c>
      <c r="B3434" s="88">
        <v>179</v>
      </c>
      <c r="C3434" s="88">
        <v>17</v>
      </c>
      <c r="D3434" s="88" t="s">
        <v>263</v>
      </c>
      <c r="E3434" s="88" t="s">
        <v>2613</v>
      </c>
      <c r="F3434" s="88" t="s">
        <v>2614</v>
      </c>
      <c r="G3434" s="88" t="s">
        <v>1924</v>
      </c>
      <c r="H3434" s="88" t="s">
        <v>596</v>
      </c>
    </row>
    <row r="3435" spans="1:8" ht="28.8" x14ac:dyDescent="0.3">
      <c r="A3435" s="88" t="s">
        <v>716</v>
      </c>
      <c r="B3435" s="88">
        <v>180</v>
      </c>
      <c r="C3435" s="88">
        <v>16</v>
      </c>
      <c r="D3435" s="88" t="s">
        <v>264</v>
      </c>
      <c r="E3435" s="88" t="s">
        <v>2615</v>
      </c>
      <c r="F3435" s="88" t="s">
        <v>2616</v>
      </c>
      <c r="G3435" s="88" t="s">
        <v>1921</v>
      </c>
      <c r="H3435" s="88" t="s">
        <v>596</v>
      </c>
    </row>
    <row r="3436" spans="1:8" ht="28.8" x14ac:dyDescent="0.3">
      <c r="A3436" s="88" t="s">
        <v>716</v>
      </c>
      <c r="B3436" s="88">
        <v>180</v>
      </c>
      <c r="C3436" s="88">
        <v>17</v>
      </c>
      <c r="D3436" s="88" t="s">
        <v>264</v>
      </c>
      <c r="E3436" s="88" t="s">
        <v>2617</v>
      </c>
      <c r="F3436" s="88" t="s">
        <v>2618</v>
      </c>
      <c r="G3436" s="88" t="s">
        <v>1924</v>
      </c>
      <c r="H3436" s="88" t="s">
        <v>596</v>
      </c>
    </row>
    <row r="3437" spans="1:8" ht="28.8" x14ac:dyDescent="0.3">
      <c r="A3437" s="88" t="s">
        <v>716</v>
      </c>
      <c r="B3437" s="88">
        <v>181</v>
      </c>
      <c r="C3437" s="88">
        <v>16</v>
      </c>
      <c r="D3437" s="88" t="s">
        <v>265</v>
      </c>
      <c r="E3437" s="88" t="s">
        <v>2619</v>
      </c>
      <c r="F3437" s="88" t="s">
        <v>2620</v>
      </c>
      <c r="G3437" s="88" t="s">
        <v>1921</v>
      </c>
      <c r="H3437" s="88" t="s">
        <v>596</v>
      </c>
    </row>
    <row r="3438" spans="1:8" ht="28.8" x14ac:dyDescent="0.3">
      <c r="A3438" s="88" t="s">
        <v>716</v>
      </c>
      <c r="B3438" s="88">
        <v>181</v>
      </c>
      <c r="C3438" s="88">
        <v>17</v>
      </c>
      <c r="D3438" s="88" t="s">
        <v>265</v>
      </c>
      <c r="E3438" s="88" t="s">
        <v>2621</v>
      </c>
      <c r="F3438" s="88" t="s">
        <v>2622</v>
      </c>
      <c r="G3438" s="88" t="s">
        <v>1924</v>
      </c>
      <c r="H3438" s="88" t="s">
        <v>596</v>
      </c>
    </row>
    <row r="3439" spans="1:8" ht="28.8" x14ac:dyDescent="0.3">
      <c r="A3439" s="88" t="s">
        <v>716</v>
      </c>
      <c r="B3439" s="88">
        <v>182</v>
      </c>
      <c r="C3439" s="88">
        <v>16</v>
      </c>
      <c r="D3439" s="88" t="s">
        <v>266</v>
      </c>
      <c r="E3439" s="88" t="s">
        <v>2623</v>
      </c>
      <c r="F3439" s="88" t="s">
        <v>2624</v>
      </c>
      <c r="G3439" s="88" t="s">
        <v>1921</v>
      </c>
      <c r="H3439" s="88" t="s">
        <v>596</v>
      </c>
    </row>
    <row r="3440" spans="1:8" ht="28.8" x14ac:dyDescent="0.3">
      <c r="A3440" s="88" t="s">
        <v>716</v>
      </c>
      <c r="B3440" s="88">
        <v>182</v>
      </c>
      <c r="C3440" s="88">
        <v>17</v>
      </c>
      <c r="D3440" s="88" t="s">
        <v>266</v>
      </c>
      <c r="E3440" s="88" t="s">
        <v>2625</v>
      </c>
      <c r="F3440" s="88" t="s">
        <v>2626</v>
      </c>
      <c r="G3440" s="88" t="s">
        <v>1924</v>
      </c>
      <c r="H3440" s="88" t="s">
        <v>596</v>
      </c>
    </row>
    <row r="3441" spans="1:8" ht="28.8" x14ac:dyDescent="0.3">
      <c r="A3441" s="88" t="s">
        <v>716</v>
      </c>
      <c r="B3441" s="88">
        <v>183</v>
      </c>
      <c r="C3441" s="88">
        <v>16</v>
      </c>
      <c r="D3441" s="88" t="s">
        <v>267</v>
      </c>
      <c r="E3441" s="88" t="s">
        <v>2627</v>
      </c>
      <c r="F3441" s="88" t="s">
        <v>2628</v>
      </c>
      <c r="G3441" s="88" t="s">
        <v>1921</v>
      </c>
      <c r="H3441" s="88" t="s">
        <v>596</v>
      </c>
    </row>
    <row r="3442" spans="1:8" ht="28.8" x14ac:dyDescent="0.3">
      <c r="A3442" s="88" t="s">
        <v>716</v>
      </c>
      <c r="B3442" s="88">
        <v>183</v>
      </c>
      <c r="C3442" s="88">
        <v>17</v>
      </c>
      <c r="D3442" s="88" t="s">
        <v>267</v>
      </c>
      <c r="E3442" s="88" t="s">
        <v>2629</v>
      </c>
      <c r="F3442" s="88" t="s">
        <v>2630</v>
      </c>
      <c r="G3442" s="88" t="s">
        <v>1924</v>
      </c>
      <c r="H3442" s="88" t="s">
        <v>596</v>
      </c>
    </row>
    <row r="3443" spans="1:8" ht="28.8" x14ac:dyDescent="0.3">
      <c r="A3443" s="88" t="s">
        <v>716</v>
      </c>
      <c r="B3443" s="88">
        <v>184</v>
      </c>
      <c r="C3443" s="88">
        <v>16</v>
      </c>
      <c r="D3443" s="88" t="s">
        <v>268</v>
      </c>
      <c r="E3443" s="88" t="s">
        <v>2631</v>
      </c>
      <c r="F3443" s="88" t="s">
        <v>2632</v>
      </c>
      <c r="G3443" s="88" t="s">
        <v>1921</v>
      </c>
      <c r="H3443" s="88" t="s">
        <v>596</v>
      </c>
    </row>
    <row r="3444" spans="1:8" ht="28.8" x14ac:dyDescent="0.3">
      <c r="A3444" s="88" t="s">
        <v>716</v>
      </c>
      <c r="B3444" s="88">
        <v>184</v>
      </c>
      <c r="C3444" s="88">
        <v>17</v>
      </c>
      <c r="D3444" s="88" t="s">
        <v>268</v>
      </c>
      <c r="E3444" s="88" t="s">
        <v>2633</v>
      </c>
      <c r="F3444" s="88" t="s">
        <v>2634</v>
      </c>
      <c r="G3444" s="88" t="s">
        <v>1924</v>
      </c>
      <c r="H3444" s="88" t="s">
        <v>596</v>
      </c>
    </row>
    <row r="3445" spans="1:8" ht="28.8" x14ac:dyDescent="0.3">
      <c r="A3445" s="88" t="s">
        <v>716</v>
      </c>
      <c r="B3445" s="88">
        <v>185</v>
      </c>
      <c r="C3445" s="88">
        <v>16</v>
      </c>
      <c r="D3445" s="88" t="s">
        <v>269</v>
      </c>
      <c r="E3445" s="88" t="s">
        <v>2635</v>
      </c>
      <c r="F3445" s="88" t="s">
        <v>2636</v>
      </c>
      <c r="G3445" s="88" t="s">
        <v>1921</v>
      </c>
      <c r="H3445" s="88" t="s">
        <v>596</v>
      </c>
    </row>
    <row r="3446" spans="1:8" ht="28.8" x14ac:dyDescent="0.3">
      <c r="A3446" s="88" t="s">
        <v>716</v>
      </c>
      <c r="B3446" s="88">
        <v>185</v>
      </c>
      <c r="C3446" s="88">
        <v>17</v>
      </c>
      <c r="D3446" s="88" t="s">
        <v>269</v>
      </c>
      <c r="E3446" s="88" t="s">
        <v>2637</v>
      </c>
      <c r="F3446" s="88" t="s">
        <v>2638</v>
      </c>
      <c r="G3446" s="88" t="s">
        <v>1924</v>
      </c>
      <c r="H3446" s="88" t="s">
        <v>596</v>
      </c>
    </row>
    <row r="3447" spans="1:8" ht="28.8" x14ac:dyDescent="0.3">
      <c r="A3447" s="88" t="s">
        <v>716</v>
      </c>
      <c r="B3447" s="88">
        <v>186</v>
      </c>
      <c r="C3447" s="88">
        <v>16</v>
      </c>
      <c r="D3447" s="88" t="s">
        <v>270</v>
      </c>
      <c r="E3447" s="88" t="s">
        <v>2639</v>
      </c>
      <c r="F3447" s="88" t="s">
        <v>2640</v>
      </c>
      <c r="G3447" s="88" t="s">
        <v>1921</v>
      </c>
      <c r="H3447" s="88" t="s">
        <v>596</v>
      </c>
    </row>
    <row r="3448" spans="1:8" ht="28.8" x14ac:dyDescent="0.3">
      <c r="A3448" s="88" t="s">
        <v>716</v>
      </c>
      <c r="B3448" s="88">
        <v>186</v>
      </c>
      <c r="C3448" s="88">
        <v>17</v>
      </c>
      <c r="D3448" s="88" t="s">
        <v>270</v>
      </c>
      <c r="E3448" s="88" t="s">
        <v>2641</v>
      </c>
      <c r="F3448" s="88" t="s">
        <v>2642</v>
      </c>
      <c r="G3448" s="88" t="s">
        <v>1924</v>
      </c>
      <c r="H3448" s="88" t="s">
        <v>596</v>
      </c>
    </row>
    <row r="3449" spans="1:8" ht="28.8" x14ac:dyDescent="0.3">
      <c r="A3449" s="88" t="s">
        <v>716</v>
      </c>
      <c r="B3449" s="88">
        <v>187</v>
      </c>
      <c r="C3449" s="88">
        <v>16</v>
      </c>
      <c r="D3449" s="88" t="s">
        <v>271</v>
      </c>
      <c r="E3449" s="88" t="s">
        <v>2643</v>
      </c>
      <c r="F3449" s="88" t="s">
        <v>2644</v>
      </c>
      <c r="G3449" s="88" t="s">
        <v>1921</v>
      </c>
      <c r="H3449" s="88" t="s">
        <v>596</v>
      </c>
    </row>
    <row r="3450" spans="1:8" ht="28.8" x14ac:dyDescent="0.3">
      <c r="A3450" s="88" t="s">
        <v>716</v>
      </c>
      <c r="B3450" s="88">
        <v>187</v>
      </c>
      <c r="C3450" s="88">
        <v>17</v>
      </c>
      <c r="D3450" s="88" t="s">
        <v>271</v>
      </c>
      <c r="E3450" s="88" t="s">
        <v>2645</v>
      </c>
      <c r="F3450" s="88" t="s">
        <v>2646</v>
      </c>
      <c r="G3450" s="88" t="s">
        <v>1924</v>
      </c>
      <c r="H3450" s="88" t="s">
        <v>596</v>
      </c>
    </row>
    <row r="3451" spans="1:8" ht="28.8" x14ac:dyDescent="0.3">
      <c r="A3451" s="88" t="s">
        <v>716</v>
      </c>
      <c r="B3451" s="88">
        <v>188</v>
      </c>
      <c r="C3451" s="88">
        <v>16</v>
      </c>
      <c r="D3451" s="88" t="s">
        <v>272</v>
      </c>
      <c r="E3451" s="88" t="s">
        <v>2647</v>
      </c>
      <c r="F3451" s="88" t="s">
        <v>2648</v>
      </c>
      <c r="G3451" s="88" t="s">
        <v>1921</v>
      </c>
      <c r="H3451" s="88" t="s">
        <v>596</v>
      </c>
    </row>
    <row r="3452" spans="1:8" ht="28.8" x14ac:dyDescent="0.3">
      <c r="A3452" s="88" t="s">
        <v>716</v>
      </c>
      <c r="B3452" s="88">
        <v>188</v>
      </c>
      <c r="C3452" s="88">
        <v>17</v>
      </c>
      <c r="D3452" s="88" t="s">
        <v>272</v>
      </c>
      <c r="E3452" s="88" t="s">
        <v>2649</v>
      </c>
      <c r="F3452" s="88" t="s">
        <v>2650</v>
      </c>
      <c r="G3452" s="88" t="s">
        <v>1924</v>
      </c>
      <c r="H3452" s="88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Apresentação</vt:lpstr>
      <vt:lpstr>Glossário</vt:lpstr>
      <vt:lpstr>Estatisticas</vt:lpstr>
      <vt:lpstr>Correlações</vt:lpstr>
      <vt:lpstr>Matriz de Correlações</vt:lpstr>
      <vt:lpstr>raw</vt:lpstr>
      <vt:lpstr>AUDITORIA_CORRECOES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Siqueira</cp:lastModifiedBy>
  <dcterms:created xsi:type="dcterms:W3CDTF">2026-08-18T07:37:28Z</dcterms:created>
  <dcterms:modified xsi:type="dcterms:W3CDTF">2026-08-18T23:51:05Z</dcterms:modified>
</cp:coreProperties>
</file>